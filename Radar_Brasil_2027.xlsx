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drawings/charts/chart5.xml" ContentType="application/vnd.openxmlformats-officedocument.drawingml.char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13d04cb67243f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_Dashboard" sheetId="1" r:id="R375c79606a044a08"/>
    <x:sheet xmlns:r="http://schemas.openxmlformats.org/officeDocument/2006/relationships" name="02_Eventos" sheetId="2" r:id="R73e26bd71ad84eb6"/>
    <x:sheet xmlns:r="http://schemas.openxmlformats.org/officeDocument/2006/relationships" name="03_Agenda" sheetId="3" r:id="R8b4fa5fcd54a41bb"/>
    <x:sheet xmlns:r="http://schemas.openxmlformats.org/officeDocument/2006/relationships" name="04_Radar_IAC" sheetId="4" r:id="Rbbdcea2c0fed4ae2"/>
    <x:sheet xmlns:r="http://schemas.openxmlformats.org/officeDocument/2006/relationships" name="05_Radar_INP" sheetId="5" r:id="R2fb1ff27b5874e79"/>
    <x:sheet xmlns:r="http://schemas.openxmlformats.org/officeDocument/2006/relationships" name="06_Noticias" sheetId="6" r:id="R1f8dec3bb1ec400c"/>
    <x:sheet xmlns:r="http://schemas.openxmlformats.org/officeDocument/2006/relationships" name="07_Mapa_Base" sheetId="7" r:id="Rac4d014c37104b63"/>
    <x:sheet xmlns:r="http://schemas.openxmlformats.org/officeDocument/2006/relationships" name="08_Patrocinadores" sheetId="8" r:id="Rc745e6e531554752"/>
    <x:sheet xmlns:r="http://schemas.openxmlformats.org/officeDocument/2006/relationships" name="09_Cidades" sheetId="9" r:id="R8a8ff2521cf84c77"/>
    <x:sheet xmlns:r="http://schemas.openxmlformats.org/officeDocument/2006/relationships" name="10_Legado" sheetId="10" r:id="Re3da242b40e44cbe"/>
    <x:sheet xmlns:r="http://schemas.openxmlformats.org/officeDocument/2006/relationships" name="11_Obras" sheetId="11" r:id="Rde2109a727e94368"/>
    <x:sheet xmlns:r="http://schemas.openxmlformats.org/officeDocument/2006/relationships" name="12_Voluntariado" sheetId="12" r:id="R486dc48558c54b4f"/>
    <x:sheet xmlns:r="http://schemas.openxmlformats.org/officeDocument/2006/relationships" name="13_Midia" sheetId="13" r:id="Rc40d197e09c6462e"/>
    <x:sheet xmlns:r="http://schemas.openxmlformats.org/officeDocument/2006/relationships" name="14_Riscos" sheetId="14" r:id="Rd20305bbc27d4b18"/>
    <x:sheet xmlns:r="http://schemas.openxmlformats.org/officeDocument/2006/relationships" name="15_Config" sheetId="15" r:id="Ra79b3c053a0b40d8"/>
    <x:sheet xmlns:r="http://schemas.openxmlformats.org/officeDocument/2006/relationships" name="16_Manual" sheetId="16" r:id="R937184d7c41040ce"/>
    <x:sheet xmlns:r="http://schemas.openxmlformats.org/officeDocument/2006/relationships" name="17_Base_Geografica_Brasil" sheetId="17" r:id="R4c03ce71f1f34ddd"/>
    <x:sheet xmlns:r="http://schemas.openxmlformats.org/officeDocument/2006/relationships" name="18_PowerBI_Guia" sheetId="18" r:id="Rbca2b502d2f447af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164" formatCode="0.0000"/>
    <x:numFmt numFmtId="165" formatCode="0.0"/>
    <x:numFmt numFmtId="166" formatCode="\R\$\ #,##0.00"/>
    <x:numFmt numFmtId="167" formatCode="0&quot;%&quot;"/>
    <x:numFmt numFmtId="168" formatCode="dd/mm/yyyy"/>
  </x:numFmts>
  <x:fonts count="8">
    <x:font>
      <x:sz val="11"/>
      <x:name val="Carlito"/>
    </x:font>
    <x:font>
      <x:b/>
      <x:sz val="20"/>
      <x:color rgb="FFFFFFFF"/>
      <x:name val="Carlito"/>
    </x:font>
    <x:font>
      <x:i/>
      <x:sz val="11"/>
      <x:color rgb="FF17365D"/>
      <x:name val="Carlito"/>
    </x:font>
    <x:font>
      <x:b/>
      <x:sz val="14"/>
      <x:color rgb="FF17365D"/>
      <x:name val="Carlito"/>
    </x:font>
    <x:font>
      <x:b/>
      <x:sz val="11"/>
      <x:color rgb="FFFFFFFF"/>
      <x:name val="Carlito"/>
    </x:font>
    <x:font>
      <x:b/>
      <x:sz val="11"/>
      <x:color rgb="FF1F1F1F"/>
      <x:name val="Carlito"/>
    </x:font>
    <x:font>
      <x:b/>
      <x:sz val="18"/>
      <x:color rgb="FFFFFFFF"/>
      <x:name val="Carlito"/>
    </x:font>
    <x:font>
      <x:b/>
      <x:sz val="16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  <x:fill>
      <x:patternFill patternType="solid">
        <x:fgColor rgb="FF2F75B5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1"/>
  </x:cellStyleXfs>
  <x:cellXfs count="31">
    <x:xf numFmtId="0" fontId="0" fillId="0" borderId="0" xfId="0"/>
    <x:xf numFmtId="0" fontId="0" fillId="0" borderId="0" xfId="0"/>
    <x:xf numFmtId="0" fontId="0" fillId="0" borderId="1" xfId="0" applyAlignment="1">
      <x:alignment wrapText="1"/>
    </x:xf>
    <x:xf numFmtId="0" fontId="5" fillId="3" borderId="1" xfId="0" applyAlignment="1">
      <x:alignment horizontal="center" vertical="center" wrapText="1"/>
    </x:xf>
    <x:xf numFmtId="0" fontId="4" fillId="2" borderId="1" xfId="0" applyAlignment="1">
      <x:alignment horizontal="center" vertical="center"/>
    </x:xf>
    <x:xf numFmtId="0" fontId="0" fillId="0" borderId="1" xfId="0"/>
    <x:xf numFmtId="14" fontId="0" fillId="0" borderId="1" xfId="0"/>
    <x:xf numFmtId="3" fontId="0" fillId="0" borderId="1" xfId="0"/>
    <x:xf numFmtId="164" fontId="0" fillId="0" borderId="1" xfId="0"/>
    <x:xf numFmtId="0" fontId="0" fillId="0" borderId="1" xfId="0" applyAlignment="1">
      <x:alignment wrapText="1"/>
    </x:xf>
    <x:xf numFmtId="14" fontId="0" fillId="0" borderId="1" xfId="0" applyAlignment="1">
      <x:alignment wrapText="1"/>
    </x:xf>
    <x:xf numFmtId="3" fontId="0" fillId="0" borderId="1" xfId="0" applyAlignment="1">
      <x:alignment wrapText="1"/>
    </x:xf>
    <x:xf numFmtId="164" fontId="0" fillId="0" borderId="1" xfId="0" applyAlignment="1">
      <x:alignment wrapText="1"/>
    </x:xf>
    <x:xf numFmtId="165" fontId="0" fillId="0" borderId="1" xfId="0"/>
    <x:xf numFmtId="2" fontId="0" fillId="0" borderId="1" xfId="0"/>
    <x:xf numFmtId="166" fontId="0" fillId="0" borderId="1" xfId="0"/>
    <x:xf numFmtId="167" fontId="0" fillId="0" borderId="1" xfId="0"/>
    <x:xf numFmtId="9" fontId="0" fillId="0" borderId="1" xfId="0"/>
    <x:xf numFmtId="0" fontId="4" fillId="6" borderId="1" xfId="0"/>
    <x:xf numFmtId="0" fontId="7" fillId="0" borderId="1" xfId="0"/>
    <x:xf numFmtId="0" fontId="4" fillId="5" borderId="1" xfId="0" applyAlignment="1">
      <x:alignment horizontal="left" vertical="center" wrapText="1"/>
    </x:xf>
    <x:xf numFmtId="0" fontId="0" fillId="0" borderId="1" xfId="0"/>
    <x:xf numFmtId="0" fontId="3" fillId="4" borderId="1" xfId="0" applyAlignment="1">
      <x:alignment horizontal="center" vertical="center" wrapText="1"/>
    </x:xf>
    <x:xf numFmtId="0" fontId="0" fillId="0" borderId="1" xfId="0"/>
    <x:xf numFmtId="0" fontId="1" fillId="2" borderId="1" xfId="0" applyAlignment="1">
      <x:alignment horizontal="center" vertical="center" wrapText="1"/>
    </x:xf>
    <x:xf numFmtId="0" fontId="2" fillId="3" borderId="1" xfId="0" applyAlignment="1">
      <x:alignment horizontal="center" wrapText="1"/>
    </x:xf>
    <x:xf numFmtId="0" fontId="6" fillId="2" borderId="1" xfId="0" applyAlignment="1">
      <x:alignment horizontal="center" vertical="center"/>
    </x:xf>
    <x:xf numFmtId="168" fontId="0" fillId="0" borderId="0" xfId="0"/>
    <x:xf numFmtId="168" fontId="0" fillId="0" borderId="0" xfId="0" applyAlignment="1">
      <x:alignment wrapText="1"/>
    </x:xf>
    <x:xf numFmtId="168" fontId="0" fillId="0" borderId="0" xfId="0"/>
    <x:xf numFmtId="168" fontId="0" fillId="0" borderId="0" xfId="0" applyAlignment="1">
      <x:alignment wrapText="1"/>
    </x:xf>
  </x:cellXfs>
  <x:cellStyles count="1">
    <x:cellStyle name="Normal" xfId="0"/>
  </x:cellStyles>
  <x:dxfs count="3">
    <x:dxf>
      <x:font>
        <x:b/>
        <x:color rgb="FFC00000"/>
      </x:font>
      <x:fill>
        <x:patternFill>
          <x:bgColor rgb="FFF4CCCC"/>
        </x:patternFill>
      </x:fill>
    </x:dxf>
    <x:dxf>
      <x:font>
        <x:color rgb="FF70AD47"/>
      </x:font>
      <x:fill>
        <x:patternFill>
          <x:bgColor rgb="FFE2F0D9"/>
        </x:patternFill>
      </x:fill>
    </x:dxf>
    <x:dxf>
      <x:font>
        <x:color rgb="FFC00000"/>
      </x:font>
      <x:fill>
        <x:patternFill>
          <x:bgColor rgb="FFF4CC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03dfa21b762468d" /><Relationship Type="http://schemas.openxmlformats.org/officeDocument/2006/relationships/theme" Target="/xl/theme/theme1.xml" Id="Ra6350dcf3db64674" /><Relationship Type="http://schemas.openxmlformats.org/officeDocument/2006/relationships/sheetMetadata" Target="/xl/metadata1.xml" Id="R9750668e88264c58" /><Relationship Type="http://schemas.openxmlformats.org/officeDocument/2006/relationships/sharedStrings" Target="/xl/sharedStrings.xml" Id="R087e985e3c53427d" /><Relationship Type="http://schemas.openxmlformats.org/officeDocument/2006/relationships/worksheet" Target="/xl/worksheets/sheet1.xml" Id="R375c79606a044a08" /><Relationship Type="http://schemas.openxmlformats.org/officeDocument/2006/relationships/worksheet" Target="/xl/worksheets/sheet2.xml" Id="R73e26bd71ad84eb6" /><Relationship Type="http://schemas.openxmlformats.org/officeDocument/2006/relationships/worksheet" Target="/xl/worksheets/sheet3.xml" Id="R8b4fa5fcd54a41bb" /><Relationship Type="http://schemas.openxmlformats.org/officeDocument/2006/relationships/worksheet" Target="/xl/worksheets/sheet4.xml" Id="Rbbdcea2c0fed4ae2" /><Relationship Type="http://schemas.openxmlformats.org/officeDocument/2006/relationships/worksheet" Target="/xl/worksheets/sheet5.xml" Id="R2fb1ff27b5874e79" /><Relationship Type="http://schemas.openxmlformats.org/officeDocument/2006/relationships/worksheet" Target="/xl/worksheets/sheet6.xml" Id="R1f8dec3bb1ec400c" /><Relationship Type="http://schemas.openxmlformats.org/officeDocument/2006/relationships/worksheet" Target="/xl/worksheets/sheet7.xml" Id="Rac4d014c37104b63" /><Relationship Type="http://schemas.openxmlformats.org/officeDocument/2006/relationships/worksheet" Target="/xl/worksheets/sheet8.xml" Id="Rc745e6e531554752" /><Relationship Type="http://schemas.openxmlformats.org/officeDocument/2006/relationships/worksheet" Target="/xl/worksheets/sheet9.xml" Id="R8a8ff2521cf84c77" /><Relationship Type="http://schemas.openxmlformats.org/officeDocument/2006/relationships/worksheet" Target="/xl/worksheets/sheet10.xml" Id="Re3da242b40e44cbe" /><Relationship Type="http://schemas.openxmlformats.org/officeDocument/2006/relationships/worksheet" Target="/xl/worksheets/sheet11.xml" Id="Rde2109a727e94368" /><Relationship Type="http://schemas.openxmlformats.org/officeDocument/2006/relationships/worksheet" Target="/xl/worksheets/sheet12.xml" Id="R486dc48558c54b4f" /><Relationship Type="http://schemas.openxmlformats.org/officeDocument/2006/relationships/worksheet" Target="/xl/worksheets/sheet13.xml" Id="Rc40d197e09c6462e" /><Relationship Type="http://schemas.openxmlformats.org/officeDocument/2006/relationships/worksheet" Target="/xl/worksheets/sheet14.xml" Id="Rd20305bbc27d4b18" /><Relationship Type="http://schemas.openxmlformats.org/officeDocument/2006/relationships/worksheet" Target="/xl/worksheets/sheet15.xml" Id="Ra79b3c053a0b40d8" /><Relationship Type="http://schemas.openxmlformats.org/officeDocument/2006/relationships/worksheet" Target="/xl/worksheets/sheet16.xml" Id="R937184d7c41040ce" /><Relationship Type="http://schemas.openxmlformats.org/officeDocument/2006/relationships/worksheet" Target="/xl/worksheets/sheet17.xml" Id="R4c03ce71f1f34ddd" /><Relationship Type="http://schemas.openxmlformats.org/officeDocument/2006/relationships/worksheet" Target="/xl/worksheets/sheet18.xml" Id="Rbca2b502d2f447a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5ce090496ac4cde" /><Relationship Type="http://schemas.openxmlformats.org/officeDocument/2006/relationships/chart" Target="/xl/drawings/charts/chart2.xml" Id="R6eea2d7424d642b5" /><Relationship Type="http://schemas.openxmlformats.org/officeDocument/2006/relationships/chart" Target="/xl/drawings/charts/chart3.xml" Id="Rf50db3e3a5484e19" /><Relationship Type="http://schemas.openxmlformats.org/officeDocument/2006/relationships/chart" Target="/xl/drawings/charts/chart4.xml" Id="R57a525948abc4f78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5.xml" Id="R2bdca2dc56f142b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Eventos por Status</a:t>
            </a:r>
          </a:p>
        </c:rich>
      </c:tx>
      <c:overlay val="1"/>
    </c:title>
    <c:plotArea>
      <c:barChart>
        <c:barDir val="col"/>
        <c:grouping val="clustered"/>
        <c:varyColors val="0"/>
        <c:ser>
          <c:idx val="0"/>
          <c:order val="0"/>
          <c:tx>
            <c:v>Eventos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'01_Dashboard'!$A$16:$A$20</c:f>
              <c:strCache>
                <c:ptCount val="5"/>
                <c:pt idx="0">
                  <c:v>Planejado</c:v>
                </c:pt>
                <c:pt idx="1">
                  <c:v>Confirmado</c:v>
                </c:pt>
                <c:pt idx="2">
                  <c:v>Em execução</c:v>
                </c:pt>
                <c:pt idx="3">
                  <c:v>Realizado</c:v>
                </c:pt>
                <c:pt idx="4">
                  <c:v>Cancelado</c:v>
                </c:pt>
              </c:strCache>
            </c:strRef>
          </c:cat>
          <c:val>
            <c:numRef>
              <c:f>'01_Dashboard'!$B$16:$B$20</c:f>
              <c:numCache>
                <c:formatCode>General</c:formatCode>
                <c:ptCount val="5"/>
                <c:pt idx="0">
                  <c:v>7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Eventos por Categoria</a:t>
            </a:r>
          </a:p>
        </c:rich>
      </c:tx>
      <c:overlay val="1"/>
    </c:title>
    <c:plotArea>
      <c:pieChart>
        <c:ser>
          <c:idx val="0"/>
          <c:order val="0"/>
          <c:tx>
            <c:v>Eventos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'01_Dashboard'!$D$16:$D$22</c:f>
              <c:strCache>
                <c:ptCount val="7"/>
                <c:pt idx="0">
                  <c:v>Fan Fest</c:v>
                </c:pt>
                <c:pt idx="1">
                  <c:v>Workshop</c:v>
                </c:pt>
                <c:pt idx="2">
                  <c:v>Clínica esportiva</c:v>
                </c:pt>
                <c:pt idx="3">
                  <c:v>Seminário</c:v>
                </c:pt>
                <c:pt idx="4">
                  <c:v>Ativação patrocinador</c:v>
                </c:pt>
                <c:pt idx="5">
                  <c:v>Legado</c:v>
                </c:pt>
                <c:pt idx="6">
                  <c:v>Outro</c:v>
                </c:pt>
              </c:strCache>
            </c:strRef>
          </c:cat>
          <c:val>
            <c:numRef>
              <c:f>'01_Dashboard'!$E$16:$E$22</c:f>
              <c:numCache>
                <c:formatCode>General</c:formatCode>
                <c:ptCount val="7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r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IAC por Cidade</a:t>
            </a:r>
          </a:p>
        </c:rich>
      </c:tx>
      <c:overlay val="1"/>
    </c:title>
    <c:plotArea>
      <c:barChart>
        <c:barDir val="col"/>
        <c:grouping val="clustered"/>
        <c:varyColors val="0"/>
        <c:ser>
          <c:idx val="0"/>
          <c:order val="0"/>
          <c:tx>
            <c:v>IAC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'01_Dashboard'!$G$16:$G$23</c:f>
              <c:strCache>
                <c:ptCount val="8"/>
                <c:pt idx="0">
                  <c:v>Rio de Janeiro</c:v>
                </c:pt>
                <c:pt idx="1">
                  <c:v>São Paulo</c:v>
                </c:pt>
                <c:pt idx="2">
                  <c:v>Belo Horizonte</c:v>
                </c:pt>
                <c:pt idx="3">
                  <c:v>Salvador</c:v>
                </c:pt>
                <c:pt idx="4">
                  <c:v>Recife</c:v>
                </c:pt>
                <c:pt idx="5">
                  <c:v>Fortaleza</c:v>
                </c:pt>
                <c:pt idx="6">
                  <c:v>Brasília</c:v>
                </c:pt>
                <c:pt idx="7">
                  <c:v>Porto Alegre</c:v>
                </c:pt>
              </c:strCache>
            </c:strRef>
          </c:cat>
          <c:val>
            <c:numRef>
              <c:f>'01_Dashboard'!$H$16:$H$23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INP por Cidade</a:t>
            </a:r>
          </a:p>
        </c:rich>
      </c:tx>
      <c:overlay val="1"/>
    </c:title>
    <c:plotArea>
      <c:barChart>
        <c:barDir val="col"/>
        <c:grouping val="clustered"/>
        <c:varyColors val="0"/>
        <c:ser>
          <c:idx val="0"/>
          <c:order val="0"/>
          <c:tx>
            <c:v>INP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'01_Dashboard'!$J$16:$J$23</c:f>
              <c:strCache>
                <c:ptCount val="8"/>
                <c:pt idx="0">
                  <c:v>Rio de Janeiro</c:v>
                </c:pt>
                <c:pt idx="1">
                  <c:v>São Paulo</c:v>
                </c:pt>
                <c:pt idx="2">
                  <c:v>Belo Horizonte</c:v>
                </c:pt>
                <c:pt idx="3">
                  <c:v>Salvador</c:v>
                </c:pt>
                <c:pt idx="4">
                  <c:v>Recife</c:v>
                </c:pt>
                <c:pt idx="5">
                  <c:v>Fortaleza</c:v>
                </c:pt>
                <c:pt idx="6">
                  <c:v>Brasília</c:v>
                </c:pt>
                <c:pt idx="7">
                  <c:v>Porto Alegre</c:v>
                </c:pt>
              </c:strCache>
            </c:strRef>
          </c:cat>
          <c:val>
            <c:numRef>
              <c:f>'01_Dashboard'!$K$16:$K$23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Evolução de Menções</a:t>
            </a:r>
          </a:p>
        </c:rich>
      </c:tx>
      <c:overlay val="1"/>
    </c:title>
    <c:plotArea>
      <c:lineChart>
        <c:grouping val="standard"/>
        <c:varyColors val="0"/>
        <c:ser>
          <c:idx val="0"/>
          <c:order val="0"/>
          <c:tx>
            <c:v>Menções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cat>
            <c:strRef>
              <c:f>'13_Midia'!$A$2:$A$5</c:f>
              <c:strCache>
                <c:ptCount val="4"/>
                <c:pt idx="0">
                  <c:v>Jul/2026</c:v>
                </c:pt>
                <c:pt idx="1">
                  <c:v>Ago/2026</c:v>
                </c:pt>
                <c:pt idx="2">
                  <c:v>Set/2026</c:v>
                </c:pt>
                <c:pt idx="3">
                  <c:v>Out/2026</c:v>
                </c:pt>
              </c:strCache>
            </c:strRef>
          </c:cat>
          <c:val>
            <c:numRef>
              <c:f>'13_Midia'!$B$2:$B$5</c:f>
              <c:numCache>
                <c:formatCode>#,##0</c:formatCode>
                <c:ptCount val="4"/>
                <c:pt idx="0">
                  <c:v>1250</c:v>
                </c:pt>
                <c:pt idx="1">
                  <c:v>1640</c:v>
                </c:pt>
                <c:pt idx="2">
                  <c:v>1920</c:v>
                </c:pt>
                <c:pt idx="3">
                  <c:v>0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24</xdr:row>
      <xdr:rowOff>0</xdr:rowOff>
    </xdr:from>
    <xdr:to>
      <xdr:col>6</xdr:col>
      <xdr:colOff>0</xdr:colOff>
      <xdr:row>42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5ce090496ac4cde"/>
        </a:graphicData>
      </a:graphic>
    </xdr:graphicFrame>
    <xdr:clientData/>
  </xdr:twoCellAnchor>
  <xdr:twoCellAnchor>
    <xdr:from>
      <xdr:col>6</xdr:col>
      <xdr:colOff>0</xdr:colOff>
      <xdr:row>24</xdr:row>
      <xdr:rowOff>0</xdr:rowOff>
    </xdr:from>
    <xdr:to>
      <xdr:col>14</xdr:col>
      <xdr:colOff>0</xdr:colOff>
      <xdr:row>42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ea2d7424d642b5"/>
        </a:graphicData>
      </a:graphic>
    </xdr:graphicFrame>
    <xdr:clientData/>
  </xdr:twoCellAnchor>
  <xdr:twoCellAnchor>
    <xdr:from>
      <xdr:col>0</xdr:col>
      <xdr:colOff>0</xdr:colOff>
      <xdr:row>43</xdr:row>
      <xdr:rowOff>0</xdr:rowOff>
    </xdr:from>
    <xdr:to>
      <xdr:col>6</xdr:col>
      <xdr:colOff>0</xdr:colOff>
      <xdr:row>61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50db3e3a5484e19"/>
        </a:graphicData>
      </a:graphic>
    </xdr:graphicFrame>
    <xdr:clientData/>
  </xdr:twoCellAnchor>
  <xdr:twoCellAnchor>
    <xdr:from>
      <xdr:col>6</xdr:col>
      <xdr:colOff>0</xdr:colOff>
      <xdr:row>43</xdr:row>
      <xdr:rowOff>0</xdr:rowOff>
    </xdr:from>
    <xdr:to>
      <xdr:col>14</xdr:col>
      <xdr:colOff>0</xdr:colOff>
      <xdr:row>61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7a525948abc4f7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10</xdr:col>
      <xdr:colOff>0</xdr:colOff>
      <xdr:row>1</xdr:row>
      <xdr:rowOff>0</xdr:rowOff>
    </xdr:from>
    <xdr:to>
      <xdr:col>18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bdca2dc56f142b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ventosTable" displayName="EventosTable" ref="A1:P86" headerRowCount="1">
  <x:tableColumns count="16">
    <x:tableColumn id="1" name="ID"/>
    <x:tableColumn id="2" name="Status"/>
    <x:tableColumn id="3" name="Data"/>
    <x:tableColumn id="4" name="UF"/>
    <x:tableColumn id="5" name="Cidade"/>
    <x:tableColumn id="6" name="Categoria"/>
    <x:tableColumn id="7" name="Organizador"/>
    <x:tableColumn id="8" name="Público Estimado"/>
    <x:tableColumn id="9" name="Patrocinador"/>
    <x:tableColumn id="10" name="Local"/>
    <x:tableColumn id="11" name="Latitude"/>
    <x:tableColumn id="12" name="Longitude"/>
    <x:tableColumn id="13" name="Link/Fonte"/>
    <x:tableColumn id="14" name="Observações"/>
    <x:tableColumn id="15" name="Mês"/>
    <x:tableColumn id="16" name="An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ACTable" displayName="IACTable" ref="A1:K100" headerRowCount="1">
  <x:tableColumns count="11">
    <x:tableColumn id="1" name="Cidade"/>
    <x:tableColumn id="2" name="UF"/>
    <x:tableColumn id="3" name="Nº Eventos"/>
    <x:tableColumn id="4" name="Público"/>
    <x:tableColumn id="5" name="Patrocinadores"/>
    <x:tableColumn id="6" name="Diversidade"/>
    <x:tableColumn id="7" name="Eventos Oficiais"/>
    <x:tableColumn id="8" name="Mídia"/>
    <x:tableColumn id="9" name="Legado"/>
    <x:tableColumn id="10" name="IAC"/>
    <x:tableColumn id="11" name="Classificaçã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INPTable" displayName="INPTable" ref="A1:K100" headerRowCount="1">
  <x:tableColumns count="11">
    <x:tableColumn id="1" name="Cidade"/>
    <x:tableColumn id="2" name="UF"/>
    <x:tableColumn id="3" name="Infraestrutura"/>
    <x:tableColumn id="4" name="Mobilidade"/>
    <x:tableColumn id="5" name="Turismo"/>
    <x:tableColumn id="6" name="Hospitalidade"/>
    <x:tableColumn id="7" name="Voluntariado"/>
    <x:tableColumn id="8" name="Comunicação"/>
    <x:tableColumn id="9" name="Segurança"/>
    <x:tableColumn id="10" name="INP"/>
    <x:tableColumn id="11" name="Classificação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NoticiasTable" displayName="NoticiasTable" ref="A1:I42" headerRowCount="1" totalsRowCount="0">
  <x:tableColumns count="9">
    <x:tableColumn id="1" name="Data"/>
    <x:tableColumn id="2" name="Título"/>
    <x:tableColumn id="3" name="Tema"/>
    <x:tableColumn id="4" name="Cidade/UF"/>
    <x:tableColumn id="5" name="Veículo"/>
    <x:tableColumn id="6" name="Link"/>
    <x:tableColumn id="7" name="Sentimento"/>
    <x:tableColumn id="8" name="Impacto"/>
    <x:tableColumn id="9" name="Resumo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MapaTable" displayName="MapaTable" ref="A1:H100" headerRowCount="1">
  <x:tableColumns count="8">
    <x:tableColumn id="1" name="Cidade"/>
    <x:tableColumn id="2" name="UF"/>
    <x:tableColumn id="3" name="Latitude"/>
    <x:tableColumn id="4" name="Longitude"/>
    <x:tableColumn id="5" name="IAC"/>
    <x:tableColumn id="6" name="INP"/>
    <x:tableColumn id="7" name="Eventos"/>
    <x:tableColumn id="8" name="Público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PatrocinadoresTable" displayName="PatrocinadoresTable" ref="A1:H200" headerRowCount="1">
  <x:tableColumns count="8">
    <x:tableColumn id="1" name="Patrocinador"/>
    <x:tableColumn id="2" name="Segmento"/>
    <x:tableColumn id="3" name="Status"/>
    <x:tableColumn id="4" name="Nº Ativações"/>
    <x:tableColumn id="5" name="Público Alcançado"/>
    <x:tableColumn id="6" name="Cidades"/>
    <x:tableColumn id="7" name="Investimento Estimado"/>
    <x:tableColumn id="8" name="Observaçõ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idadesTable" displayName="CidadesTable" ref="A1:J100" headerRowCount="1">
  <x:tableColumns count="10">
    <x:tableColumn id="1" name="Cidade"/>
    <x:tableColumn id="2" name="UF"/>
    <x:tableColumn id="3" name="Região"/>
    <x:tableColumn id="4" name="População"/>
    <x:tableColumn id="5" name="Estádio/Arena"/>
    <x:tableColumn id="6" name="Aeroporto"/>
    <x:tableColumn id="7" name="IAC"/>
    <x:tableColumn id="8" name="INP"/>
    <x:tableColumn id="9" name="Eventos"/>
    <x:tableColumn id="10" name="Observaçõ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LegadoTable" displayName="LegadoTable" ref="A1:J500" headerRowCount="1">
  <x:tableColumns count="10">
    <x:tableColumn id="1" name="ID"/>
    <x:tableColumn id="2" name="Projeto"/>
    <x:tableColumn id="3" name="Cidade/UF"/>
    <x:tableColumn id="4" name="Eixo"/>
    <x:tableColumn id="5" name="Responsável"/>
    <x:tableColumn id="6" name="Início"/>
    <x:tableColumn id="7" name="Fim"/>
    <x:tableColumn id="8" name="Status"/>
    <x:tableColumn id="9" name="Beneficiários"/>
    <x:tableColumn id="10" name="Resultado Esperado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ObrasTable" displayName="ObrasTable" ref="A1:J500" headerRowCount="1">
  <x:tableColumns count="10">
    <x:tableColumn id="1" name="ID"/>
    <x:tableColumn id="2" name="Obra"/>
    <x:tableColumn id="3" name="Cidade/UF"/>
    <x:tableColumn id="4" name="Tipo"/>
    <x:tableColumn id="5" name="Responsável"/>
    <x:tableColumn id="6" name="Prazo"/>
    <x:tableColumn id="7" name="% Conclusão"/>
    <x:tableColumn id="8" name="Status"/>
    <x:tableColumn id="9" name="Risco"/>
    <x:tableColumn id="10" name="Observaçõ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VoluntariadoTable" displayName="VoluntariadoTable" ref="A1:I100" headerRowCount="1">
  <x:tableColumns count="9">
    <x:tableColumn id="1" name="Cidade"/>
    <x:tableColumn id="2" name="Meta"/>
    <x:tableColumn id="3" name="Inscritos"/>
    <x:tableColumn id="4" name="Selecionados"/>
    <x:tableColumn id="5" name="Treinados"/>
    <x:tableColumn id="6" name="% Meta"/>
    <x:tableColumn id="7" name="Status"/>
    <x:tableColumn id="8" name="Responsável"/>
    <x:tableColumn id="9" name="Observaçõ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MidiaTable" displayName="MidiaTable" ref="A1:I500" headerRowCount="1">
  <x:tableColumns count="9">
    <x:tableColumn id="1" name="Período"/>
    <x:tableColumn id="2" name="Menções"/>
    <x:tableColumn id="3" name="Positivas"/>
    <x:tableColumn id="4" name="Neutras"/>
    <x:tableColumn id="5" name="Negativas"/>
    <x:tableColumn id="6" name="Alcance"/>
    <x:tableColumn id="7" name="Engajamento"/>
    <x:tableColumn id="8" name="Tema Principal"/>
    <x:tableColumn id="9" name="Observaçõ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RiscosTable" displayName="RiscosTable" ref="A1:J500" headerRowCount="1">
  <x:tableColumns count="10">
    <x:tableColumn id="1" name="ID"/>
    <x:tableColumn id="2" name="Risco"/>
    <x:tableColumn id="3" name="Área"/>
    <x:tableColumn id="4" name="Cidade/UF"/>
    <x:tableColumn id="5" name="Probabilidade"/>
    <x:tableColumn id="6" name="Impacto"/>
    <x:tableColumn id="7" name="Nível"/>
    <x:tableColumn id="8" name="Responsável"/>
    <x:tableColumn id="9" name="Plano de Mitigação"/>
    <x:tableColumn id="10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2d5a291d62f4a6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98dd87f9a8e467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71bfc99edc7c4fe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58431f6cd4264c9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396d8c260d834e4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f9f2cb28f4e2466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5c7b508d103f4f6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5a692b4ae1b14d7e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821cd750aa904ef7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3ff65f6c51344a61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0.xml" Id="R7a895b589ba342d1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drawing" Target="/xl/drawings/drawing2.xml" Id="R7dcfbd1856ff40e8" /><Relationship Type="http://schemas.openxmlformats.org/officeDocument/2006/relationships/table" Target="/xl/tables/table11.xml" Id="Rea4838bab5cd49bb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2.xml" Id="R385f45b154254ad8" /></Relationships>
</file>

<file path=xl/worksheets/sheet1.xml><?xml version="1.0" encoding="utf-8"?>
<x:worksheet xmlns:x="http://schemas.openxmlformats.org/spreadsheetml/2006/main">
  <x:sheetFormatPr baseColWidth="8" defaultRowHeight="14.25"/>
  <x:cols>
    <x:col min="1" max="14" width="14" style="1" customWidth="1"/>
  </x:cols>
  <x:sheetData>
    <x:row r="1" s="1" customFormat="1" ht="24" customHeight="1">
      <x:c r="A1" s="24" t="inlineStr">
        <x:is>
          <x:t xml:space="preserve">RADAR BRASIL 2027 | VERSÃO 6.1</x:t>
        </x:is>
      </x:c>
      <x:c r="B1" s="23" t="n"/>
      <x:c r="C1" s="23" t="n"/>
      <x:c r="D1" s="23" t="n"/>
      <x:c r="E1" s="23" t="n"/>
      <x:c r="F1" s="23" t="n"/>
      <x:c r="G1" s="23" t="n"/>
      <x:c r="H1" s="23" t="n"/>
      <x:c r="I1" s="23" t="n"/>
      <x:c r="J1" s="23" t="n"/>
      <x:c r="K1" s="23" t="n"/>
      <x:c r="L1" s="23" t="n"/>
      <x:c r="M1" s="23" t="n"/>
      <x:c r="N1" s="23" t="n"/>
    </x:row>
    <x:row r="2">
      <x:c r="A2" s="23" t="n"/>
      <x:c r="B2" s="23" t="n"/>
      <x:c r="C2" s="23" t="n"/>
      <x:c r="D2" s="23" t="n"/>
      <x:c r="E2" s="23" t="n"/>
      <x:c r="F2" s="23" t="n"/>
      <x:c r="G2" s="23" t="n"/>
      <x:c r="H2" s="23" t="n"/>
      <x:c r="I2" s="23" t="n"/>
      <x:c r="J2" s="23" t="n"/>
      <x:c r="K2" s="23" t="n"/>
      <x:c r="L2" s="23" t="n"/>
      <x:c r="M2" s="23" t="n"/>
      <x:c r="N2" s="23" t="n"/>
    </x:row>
    <x:row r="3">
      <x:c r="A3" s="25" t="inlineStr">
        <x:is>
          <x:t xml:space="preserve">Centro de Inteligência da Copa do Mundo Feminina FIFA Brasil 2027</x:t>
        </x:is>
      </x:c>
      <x:c r="B3" s="23" t="n"/>
      <x:c r="C3" s="23" t="n"/>
      <x:c r="D3" s="23" t="n"/>
      <x:c r="E3" s="23" t="n"/>
      <x:c r="F3" s="23" t="n"/>
      <x:c r="G3" s="23" t="n"/>
      <x:c r="H3" s="23" t="n"/>
      <x:c r="I3" s="23" t="n"/>
      <x:c r="J3" s="23" t="n"/>
      <x:c r="K3" s="23" t="n"/>
      <x:c r="L3" s="23" t="n"/>
      <x:c r="M3" s="23" t="n"/>
      <x:c r="N3" s="23" t="n"/>
    </x:row>
    <x:row r="4">
      <x:c r="A4" s="9" t="n"/>
      <x:c r="B4" s="9" t="n"/>
      <x:c r="C4" s="9" t="n"/>
      <x:c r="D4" s="9" t="n"/>
      <x:c r="E4" s="9" t="n"/>
      <x:c r="F4" s="9" t="n"/>
      <x:c r="G4" s="9" t="n"/>
      <x:c r="H4" s="9" t="n"/>
      <x:c r="I4" s="9" t="n"/>
      <x:c r="J4" s="9" t="n"/>
      <x:c r="K4" s="9" t="n"/>
      <x:c r="L4" s="9" t="n"/>
      <x:c r="M4" s="9" t="n"/>
      <x:c r="N4" s="9" t="n"/>
    </x:row>
    <x:row r="5">
      <x:c r="A5" s="22" t="inlineStr">
        <x:is>
          <x:t xml:space="preserve">TOTAL DE EVENTOS
85</x:t>
        </x:is>
      </x:c>
      <x:c r="B5" s="23" t="n"/>
      <x:c r="C5" s="23" t="n"/>
      <x:c r="D5" s="22" t="inlineStr">
        <x:is>
          <x:t xml:space="preserve">EVENTOS FUTUROS
26</x:t>
        </x:is>
      </x:c>
      <x:c r="E5" s="23" t="n"/>
      <x:c r="F5" s="23" t="n"/>
      <x:c r="G5" s="22" t="inlineStr">
        <x:is>
          <x:t xml:space="preserve">PÚBLICO ESTIMADO
127.244</x:t>
        </x:is>
      </x:c>
      <x:c r="H5" s="23" t="n"/>
      <x:c r="I5" s="23" t="n"/>
      <x:c r="J5" s="22" t="inlineStr">
        <x:is>
          <x:t xml:space="preserve">PATROCINADORES
5</x:t>
        </x:is>
      </x:c>
      <x:c r="K5" s="23" t="n"/>
      <x:c r="L5" s="23" t="n"/>
      <x:c r="M5" s="9" t="n"/>
      <x:c r="N5" s="9" t="n"/>
    </x:row>
    <x:row r="6">
      <x:c r="A6" s="23" t="n"/>
      <x:c r="C6" s="23" t="n"/>
      <x:c r="D6" s="23" t="n"/>
      <x:c r="F6" s="23" t="n"/>
      <x:c r="G6" s="23" t="n"/>
      <x:c r="I6" s="23" t="n"/>
      <x:c r="J6" s="23" t="n"/>
      <x:c r="L6" s="23" t="n"/>
      <x:c r="M6" s="9" t="n"/>
      <x:c r="N6" s="9" t="n"/>
    </x:row>
    <x:row r="7">
      <x:c r="A7" s="23" t="n"/>
      <x:c r="B7" s="23" t="n"/>
      <x:c r="C7" s="23" t="n"/>
      <x:c r="D7" s="23" t="n"/>
      <x:c r="E7" s="23" t="n"/>
      <x:c r="F7" s="23" t="n"/>
      <x:c r="G7" s="23" t="n"/>
      <x:c r="H7" s="23" t="n"/>
      <x:c r="I7" s="23" t="n"/>
      <x:c r="J7" s="23" t="n"/>
      <x:c r="K7" s="23" t="n"/>
      <x:c r="L7" s="23" t="n"/>
      <x:c r="M7" s="9" t="n"/>
      <x:c r="N7" s="9" t="n"/>
    </x:row>
    <x:row r="8">
      <x:c r="A8" s="9" t="n"/>
      <x:c r="B8" s="9" t="n"/>
      <x:c r="C8" s="9" t="n"/>
      <x:c r="D8" s="9" t="n"/>
      <x:c r="E8" s="9" t="n"/>
      <x:c r="F8" s="9" t="n"/>
      <x:c r="G8" s="9" t="n"/>
      <x:c r="H8" s="9" t="n"/>
      <x:c r="I8" s="9" t="n"/>
      <x:c r="J8" s="9" t="n"/>
      <x:c r="K8" s="9" t="n"/>
      <x:c r="L8" s="9" t="n"/>
      <x:c r="M8" s="9" t="n"/>
      <x:c r="N8" s="9" t="n"/>
    </x:row>
    <x:row r="9">
      <x:c r="A9" s="22" t="inlineStr">
        <x:is>
          <x:t xml:space="preserve">CIDADES MONITORADAS
15</x:t>
        </x:is>
      </x:c>
      <x:c r="B9" s="23" t="n"/>
      <x:c r="C9" s="23" t="n"/>
      <x:c r="D9" s="22" t="inlineStr">
        <x:is>
          <x:t xml:space="preserve">IAC MÉDIO
32.9</x:t>
        </x:is>
      </x:c>
      <x:c r="E9" s="23" t="n"/>
      <x:c r="F9" s="23" t="n"/>
      <x:c r="G9" s="22" t="inlineStr">
        <x:is>
          <x:t xml:space="preserve">INP MÉDIO
76.8</x:t>
        </x:is>
      </x:c>
      <x:c r="H9" s="23" t="n"/>
      <x:c r="I9" s="23" t="n"/>
      <x:c r="J9" s="22" t="inlineStr">
        <x:is>
          <x:t xml:space="preserve">ALERTAS CRÍTICOS
0.0</x:t>
        </x:is>
      </x:c>
      <x:c r="K9" s="23" t="n"/>
      <x:c r="L9" s="23" t="n"/>
      <x:c r="M9" s="9" t="n"/>
      <x:c r="N9" s="9" t="n"/>
    </x:row>
    <x:row r="10">
      <x:c r="A10" s="23" t="n"/>
      <x:c r="C10" s="23" t="n"/>
      <x:c r="D10" s="23" t="n"/>
      <x:c r="F10" s="23" t="n"/>
      <x:c r="G10" s="23" t="n"/>
      <x:c r="I10" s="23" t="n"/>
      <x:c r="J10" s="23" t="n"/>
      <x:c r="L10" s="23" t="n"/>
      <x:c r="M10" s="9" t="n"/>
      <x:c r="N10" s="9" t="n"/>
    </x:row>
    <x:row r="11">
      <x:c r="A11" s="23" t="n"/>
      <x:c r="B11" s="23" t="n"/>
      <x:c r="C11" s="23" t="n"/>
      <x:c r="D11" s="23" t="n"/>
      <x:c r="E11" s="23" t="n"/>
      <x:c r="F11" s="23" t="n"/>
      <x:c r="G11" s="23" t="n"/>
      <x:c r="H11" s="23" t="n"/>
      <x:c r="I11" s="23" t="n"/>
      <x:c r="J11" s="23" t="n"/>
      <x:c r="K11" s="23" t="n"/>
      <x:c r="L11" s="23" t="n"/>
      <x:c r="M11" s="9" t="n"/>
      <x:c r="N11" s="9" t="n"/>
    </x:row>
    <x:row r="12">
      <x:c r="A12" s="9" t="n"/>
      <x:c r="B12" s="9" t="n"/>
      <x:c r="C12" s="9" t="n"/>
      <x:c r="D12" s="9" t="n"/>
      <x:c r="E12" s="9" t="n"/>
      <x:c r="F12" s="9" t="n"/>
      <x:c r="G12" s="9" t="n"/>
      <x:c r="H12" s="9" t="n"/>
      <x:c r="I12" s="9" t="n"/>
      <x:c r="J12" s="9" t="n"/>
      <x:c r="K12" s="9" t="n"/>
      <x:c r="L12" s="9" t="n"/>
      <x:c r="M12" s="9" t="n"/>
      <x:c r="N12" s="9" t="n"/>
    </x:row>
    <x:row r="13">
      <x:c r="A13" s="20" t="inlineStr">
        <x:is>
          <x:t xml:space="preserve">VISÃO EXECUTIVA</x:t>
        </x:is>
      </x:c>
      <x:c r="B13" s="23" t="n"/>
      <x:c r="C13" s="23" t="n"/>
      <x:c r="D13" s="23" t="n"/>
      <x:c r="E13" s="23" t="n"/>
      <x:c r="F13" s="23" t="n"/>
      <x:c r="G13" s="23" t="n"/>
      <x:c r="H13" s="23" t="n"/>
      <x:c r="I13" s="23" t="n"/>
      <x:c r="J13" s="23" t="n"/>
      <x:c r="K13" s="23" t="n"/>
      <x:c r="L13" s="23" t="n"/>
      <x:c r="M13" s="23" t="n"/>
      <x:c r="N13" s="23" t="n"/>
    </x:row>
    <x:row r="14">
      <x:c r="A14" s="9" t="n"/>
      <x:c r="B14" s="9" t="n"/>
      <x:c r="C14" s="9" t="n"/>
      <x:c r="D14" s="9" t="n"/>
      <x:c r="E14" s="9" t="n"/>
      <x:c r="F14" s="9" t="n"/>
      <x:c r="G14" s="9" t="n"/>
      <x:c r="H14" s="9" t="n"/>
      <x:c r="I14" s="9" t="n"/>
      <x:c r="J14" s="9" t="n"/>
      <x:c r="K14" s="9" t="n"/>
      <x:c r="L14" s="9" t="n"/>
      <x:c r="M14" s="9" t="n"/>
      <x:c r="N14" s="9" t="n"/>
    </x:row>
    <x:row r="15" s="1" customFormat="1" ht="15" customHeight="1">
      <x:c r="A15" s="3" t="inlineStr">
        <x:is>
          <x:t xml:space="preserve">Status</x:t>
        </x:is>
      </x:c>
      <x:c r="B15" s="9" t="inlineStr">
        <x:is>
          <x:t xml:space="preserve">Eventos</x:t>
        </x:is>
      </x:c>
      <x:c r="C15" s="9" t="n"/>
      <x:c r="D15" s="3" t="inlineStr">
        <x:is>
          <x:t xml:space="preserve">Categoria</x:t>
        </x:is>
      </x:c>
      <x:c r="E15" s="9" t="inlineStr">
        <x:is>
          <x:t xml:space="preserve">Eventos</x:t>
        </x:is>
      </x:c>
      <x:c r="F15" s="9" t="n"/>
      <x:c r="G15" s="3" t="inlineStr">
        <x:is>
          <x:t xml:space="preserve">Cidade</x:t>
        </x:is>
      </x:c>
      <x:c r="H15" s="9" t="inlineStr">
        <x:is>
          <x:t xml:space="preserve">IAC</x:t>
        </x:is>
      </x:c>
      <x:c r="I15" s="9" t="n"/>
      <x:c r="J15" s="3" t="inlineStr">
        <x:is>
          <x:t xml:space="preserve">Cidade</x:t>
        </x:is>
      </x:c>
      <x:c r="K15" s="9" t="inlineStr">
        <x:is>
          <x:t xml:space="preserve">INP</x:t>
        </x:is>
      </x:c>
      <x:c r="L15" s="9" t="n"/>
      <x:c r="M15" s="9" t="n"/>
      <x:c r="N15" s="9" t="n"/>
    </x:row>
    <x:row r="16">
      <x:c r="A16" s="9" t="inlineStr">
        <x:is>
          <x:t xml:space="preserve">Planejado</x:t>
        </x:is>
      </x:c>
      <x:c r="B16" s="9" t="n">
        <x:v>27</x:v>
      </x:c>
      <x:c r="C16" s="9" t="n"/>
      <x:c r="D16" s="9" t="inlineStr">
        <x:is>
          <x:t xml:space="preserve">Fan Fest</x:t>
        </x:is>
      </x:c>
      <x:c r="E16" s="9" t="n">
        <x:f>COUNTIF('02_Eventos'!F2:F495,"Fan Fest")</x:f>
        <x:v>0</x:v>
      </x:c>
      <x:c r="F16" s="9" t="n"/>
      <x:c r="G16" s="9" t="inlineStr">
        <x:is>
          <x:t xml:space="preserve">Rio de Janeiro</x:t>
        </x:is>
      </x:c>
      <x:c r="H16" s="9" t="e">
        <x:f>IFERROR(_xludf.XLOOKUP(G16,'04_Radar_IAC'!A:A,'04_Radar_IAC'!J:J),0)</x:f>
        <x:v>#NAME?</x:v>
      </x:c>
      <x:c r="I16" s="9" t="n"/>
      <x:c r="J16" s="9" t="inlineStr">
        <x:is>
          <x:t xml:space="preserve">Rio de Janeiro</x:t>
        </x:is>
      </x:c>
      <x:c r="K16" s="9" t="e">
        <x:f>IFERROR(_xludf.XLOOKUP(J16,'05_Radar_INP'!A:A,'05_Radar_INP'!J:J),0)</x:f>
        <x:v>#NAME?</x:v>
      </x:c>
      <x:c r="L16" s="9" t="n"/>
      <x:c r="M16" s="9" t="n"/>
      <x:c r="N16" s="9" t="n"/>
    </x:row>
    <x:row r="17">
      <x:c r="A17" s="9" t="inlineStr">
        <x:is>
          <x:t xml:space="preserve">Confirmado</x:t>
        </x:is>
      </x:c>
      <x:c r="B17" s="9" t="n">
        <x:v>0</x:v>
      </x:c>
      <x:c r="C17" s="9" t="n"/>
      <x:c r="D17" s="9" t="inlineStr">
        <x:is>
          <x:t xml:space="preserve">Workshop</x:t>
        </x:is>
      </x:c>
      <x:c r="E17" s="9" t="n">
        <x:f>COUNTIF('02_Eventos'!F2:F495,"Workshop")</x:f>
        <x:v>2</x:v>
      </x:c>
      <x:c r="F17" s="9" t="n"/>
      <x:c r="G17" s="9" t="inlineStr">
        <x:is>
          <x:t xml:space="preserve">São Paulo</x:t>
        </x:is>
      </x:c>
      <x:c r="H17" s="9" t="e">
        <x:f>IFERROR(_xludf.XLOOKUP(G17,'04_Radar_IAC'!A:A,'04_Radar_IAC'!J:J),0)</x:f>
        <x:v>#NAME?</x:v>
      </x:c>
      <x:c r="I17" s="9" t="n"/>
      <x:c r="J17" s="9" t="inlineStr">
        <x:is>
          <x:t xml:space="preserve">São Paulo</x:t>
        </x:is>
      </x:c>
      <x:c r="K17" s="9" t="e">
        <x:f>IFERROR(_xludf.XLOOKUP(J17,'05_Radar_INP'!A:A,'05_Radar_INP'!J:J),0)</x:f>
        <x:v>#NAME?</x:v>
      </x:c>
      <x:c r="L17" s="9" t="n"/>
      <x:c r="M17" s="9" t="n"/>
      <x:c r="N17" s="9" t="n"/>
    </x:row>
    <x:row r="18" s="1" customFormat="1" ht="28.5" customHeight="1">
      <x:c r="A18" s="9" t="inlineStr">
        <x:is>
          <x:t xml:space="preserve">Em execução</x:t>
        </x:is>
      </x:c>
      <x:c r="B18" s="9" t="n">
        <x:v>0</x:v>
      </x:c>
      <x:c r="C18" s="9" t="n"/>
      <x:c r="D18" s="9" t="inlineStr">
        <x:is>
          <x:t xml:space="preserve">Clínica esportiva</x:t>
        </x:is>
      </x:c>
      <x:c r="E18" s="9" t="n">
        <x:f>COUNTIF('02_Eventos'!F2:F495,"Clínica esportiva")</x:f>
        <x:v>0</x:v>
      </x:c>
      <x:c r="F18" s="9" t="n"/>
      <x:c r="G18" s="9" t="inlineStr">
        <x:is>
          <x:t xml:space="preserve">Belo Horizonte</x:t>
        </x:is>
      </x:c>
      <x:c r="H18" s="9" t="e">
        <x:f>IFERROR(_xludf.XLOOKUP(G18,'04_Radar_IAC'!A:A,'04_Radar_IAC'!J:J),0)</x:f>
        <x:v>#NAME?</x:v>
      </x:c>
      <x:c r="I18" s="9" t="n"/>
      <x:c r="J18" s="9" t="inlineStr">
        <x:is>
          <x:t xml:space="preserve">Belo Horizonte</x:t>
        </x:is>
      </x:c>
      <x:c r="K18" s="9" t="e">
        <x:f>IFERROR(_xludf.XLOOKUP(J18,'05_Radar_INP'!A:A,'05_Radar_INP'!J:J),0)</x:f>
        <x:v>#NAME?</x:v>
      </x:c>
      <x:c r="L18" s="9" t="n"/>
      <x:c r="M18" s="9" t="n"/>
      <x:c r="N18" s="9" t="n"/>
    </x:row>
    <x:row r="19">
      <x:c r="A19" s="9" t="inlineStr">
        <x:is>
          <x:t xml:space="preserve">Realizado</x:t>
        </x:is>
      </x:c>
      <x:c r="B19" s="9" t="n">
        <x:v>58</x:v>
      </x:c>
      <x:c r="C19" s="9" t="n"/>
      <x:c r="D19" s="9" t="inlineStr">
        <x:is>
          <x:t xml:space="preserve">Seminário</x:t>
        </x:is>
      </x:c>
      <x:c r="E19" s="9" t="n">
        <x:f>COUNTIF('02_Eventos'!F2:F495,"Seminário")</x:f>
        <x:v>2</x:v>
      </x:c>
      <x:c r="F19" s="9" t="n"/>
      <x:c r="G19" s="9" t="inlineStr">
        <x:is>
          <x:t xml:space="preserve">Salvador</x:t>
        </x:is>
      </x:c>
      <x:c r="H19" s="9" t="e">
        <x:f>IFERROR(_xludf.XLOOKUP(G19,'04_Radar_IAC'!A:A,'04_Radar_IAC'!J:J),0)</x:f>
        <x:v>#NAME?</x:v>
      </x:c>
      <x:c r="I19" s="9" t="n"/>
      <x:c r="J19" s="9" t="inlineStr">
        <x:is>
          <x:t xml:space="preserve">Salvador</x:t>
        </x:is>
      </x:c>
      <x:c r="K19" s="9" t="e">
        <x:f>IFERROR(_xludf.XLOOKUP(J19,'05_Radar_INP'!A:A,'05_Radar_INP'!J:J),0)</x:f>
        <x:v>#NAME?</x:v>
      </x:c>
      <x:c r="L19" s="9" t="n"/>
      <x:c r="M19" s="9" t="n"/>
      <x:c r="N19" s="9" t="n"/>
    </x:row>
    <x:row r="20" s="1" customFormat="1" ht="28.5" customHeight="1">
      <x:c r="A20" s="9" t="inlineStr">
        <x:is>
          <x:t xml:space="preserve">Cancelado</x:t>
        </x:is>
      </x:c>
      <x:c r="B20" s="9" t="n">
        <x:v>0</x:v>
      </x:c>
      <x:c r="C20" s="9" t="n"/>
      <x:c r="D20" s="9" t="inlineStr">
        <x:is>
          <x:t xml:space="preserve">Ativação patrocinador</x:t>
        </x:is>
      </x:c>
      <x:c r="E20" s="9" t="n">
        <x:f>COUNTIF('02_Eventos'!F2:F495,"Ativação patrocinador")</x:f>
        <x:v>1</x:v>
      </x:c>
      <x:c r="F20" s="9" t="n"/>
      <x:c r="G20" s="9" t="inlineStr">
        <x:is>
          <x:t xml:space="preserve">Recife</x:t>
        </x:is>
      </x:c>
      <x:c r="H20" s="9" t="e">
        <x:f>IFERROR(_xludf.XLOOKUP(G20,'04_Radar_IAC'!A:A,'04_Radar_IAC'!J:J),0)</x:f>
        <x:v>#NAME?</x:v>
      </x:c>
      <x:c r="I20" s="9" t="n"/>
      <x:c r="J20" s="9" t="inlineStr">
        <x:is>
          <x:t xml:space="preserve">Recife</x:t>
        </x:is>
      </x:c>
      <x:c r="K20" s="9" t="e">
        <x:f>IFERROR(_xludf.XLOOKUP(J20,'05_Radar_INP'!A:A,'05_Radar_INP'!J:J),0)</x:f>
        <x:v>#NAME?</x:v>
      </x:c>
      <x:c r="L20" s="9" t="n"/>
      <x:c r="M20" s="9" t="n"/>
      <x:c r="N20" s="9" t="n"/>
    </x:row>
    <x:row r="21">
      <x:c r="A21" s="9" t="n"/>
      <x:c r="B21" s="9" t="n"/>
      <x:c r="C21" s="9" t="n"/>
      <x:c r="D21" s="9" t="inlineStr">
        <x:is>
          <x:t xml:space="preserve">Legado</x:t>
        </x:is>
      </x:c>
      <x:c r="E21" s="9" t="n">
        <x:f>COUNTIF('02_Eventos'!F2:F495,"Legado")</x:f>
        <x:v>0</x:v>
      </x:c>
      <x:c r="F21" s="9" t="n"/>
      <x:c r="G21" s="9" t="inlineStr">
        <x:is>
          <x:t xml:space="preserve">Fortaleza</x:t>
        </x:is>
      </x:c>
      <x:c r="H21" s="9" t="e">
        <x:f>IFERROR(_xludf.XLOOKUP(G21,'04_Radar_IAC'!A:A,'04_Radar_IAC'!J:J),0)</x:f>
        <x:v>#NAME?</x:v>
      </x:c>
      <x:c r="I21" s="9" t="n"/>
      <x:c r="J21" s="9" t="inlineStr">
        <x:is>
          <x:t xml:space="preserve">Fortaleza</x:t>
        </x:is>
      </x:c>
      <x:c r="K21" s="9" t="e">
        <x:f>IFERROR(_xludf.XLOOKUP(J21,'05_Radar_INP'!A:A,'05_Radar_INP'!J:J),0)</x:f>
        <x:v>#NAME?</x:v>
      </x:c>
      <x:c r="L21" s="9" t="n"/>
      <x:c r="M21" s="9" t="n"/>
      <x:c r="N21" s="9" t="n"/>
    </x:row>
    <x:row r="22">
      <x:c r="A22" s="9" t="n"/>
      <x:c r="B22" s="9" t="n"/>
      <x:c r="C22" s="9" t="n"/>
      <x:c r="D22" s="9" t="inlineStr">
        <x:is>
          <x:t xml:space="preserve">Outro</x:t>
        </x:is>
      </x:c>
      <x:c r="E22" s="9" t="n">
        <x:f>COUNTIF('02_Eventos'!F2:F495,"Outro")</x:f>
        <x:v>0</x:v>
      </x:c>
      <x:c r="F22" s="9" t="n"/>
      <x:c r="G22" s="9" t="inlineStr">
        <x:is>
          <x:t xml:space="preserve">Brasília</x:t>
        </x:is>
      </x:c>
      <x:c r="H22" s="9" t="e">
        <x:f>IFERROR(_xludf.XLOOKUP(G22,'04_Radar_IAC'!A:A,'04_Radar_IAC'!J:J),0)</x:f>
        <x:v>#NAME?</x:v>
      </x:c>
      <x:c r="I22" s="9" t="n"/>
      <x:c r="J22" s="9" t="inlineStr">
        <x:is>
          <x:t xml:space="preserve">Brasília</x:t>
        </x:is>
      </x:c>
      <x:c r="K22" s="9" t="e">
        <x:f>IFERROR(_xludf.XLOOKUP(J22,'05_Radar_INP'!A:A,'05_Radar_INP'!J:J),0)</x:f>
        <x:v>#NAME?</x:v>
      </x:c>
      <x:c r="L22" s="9" t="n"/>
      <x:c r="M22" s="9" t="n"/>
      <x:c r="N22" s="9" t="n"/>
    </x:row>
    <x:row r="23">
      <x:c r="A23" s="9" t="n"/>
      <x:c r="B23" s="9" t="n"/>
      <x:c r="C23" s="9" t="n"/>
      <x:c r="D23" s="9" t="n"/>
      <x:c r="E23" s="9" t="n"/>
      <x:c r="F23" s="9" t="n"/>
      <x:c r="G23" s="9" t="inlineStr">
        <x:is>
          <x:t xml:space="preserve">Porto Alegre</x:t>
        </x:is>
      </x:c>
      <x:c r="H23" s="9" t="e">
        <x:f>IFERROR(_xludf.XLOOKUP(G23,'04_Radar_IAC'!A:A,'04_Radar_IAC'!J:J),0)</x:f>
        <x:v>#NAME?</x:v>
      </x:c>
      <x:c r="I23" s="9" t="n"/>
      <x:c r="J23" s="9" t="inlineStr">
        <x:is>
          <x:t xml:space="preserve">Porto Alegre</x:t>
        </x:is>
      </x:c>
      <x:c r="K23" s="9" t="e">
        <x:f>IFERROR(_xludf.XLOOKUP(J23,'05_Radar_INP'!A:A,'05_Radar_INP'!J:J),0)</x:f>
        <x:v>#NAME?</x:v>
      </x:c>
      <x:c r="L23" s="9" t="n"/>
      <x:c r="M23" s="9" t="n"/>
      <x:c r="N23" s="9" t="n"/>
    </x:row>
    <x:row r="24">
      <x:c r="A24" s="9" t="n"/>
      <x:c r="B24" s="9" t="n"/>
      <x:c r="C24" s="9" t="n"/>
      <x:c r="D24" s="9" t="n"/>
      <x:c r="E24" s="9" t="n"/>
      <x:c r="F24" s="9" t="n"/>
      <x:c r="G24" s="9" t="n"/>
      <x:c r="H24" s="9" t="n"/>
      <x:c r="I24" s="9" t="n"/>
      <x:c r="J24" s="9" t="n"/>
      <x:c r="K24" s="9" t="n"/>
      <x:c r="L24" s="9" t="n"/>
      <x:c r="M24" s="9" t="n"/>
      <x:c r="N24" s="9" t="n"/>
    </x:row>
    <x:row r="25">
      <x:c r="A25" s="9" t="n"/>
      <x:c r="B25" s="9" t="n"/>
      <x:c r="C25" s="9" t="n"/>
      <x:c r="D25" s="9" t="n"/>
      <x:c r="E25" s="9" t="n"/>
      <x:c r="F25" s="9" t="n"/>
      <x:c r="G25" s="9" t="n"/>
      <x:c r="H25" s="9" t="n"/>
      <x:c r="I25" s="9" t="n"/>
      <x:c r="J25" s="9" t="n"/>
      <x:c r="K25" s="9" t="n"/>
      <x:c r="L25" s="9" t="n"/>
      <x:c r="M25" s="9" t="n"/>
      <x:c r="N25" s="9" t="n"/>
    </x:row>
    <x:row r="26">
      <x:c r="A26" s="9" t="n"/>
      <x:c r="B26" s="9" t="n"/>
      <x:c r="C26" s="9" t="n"/>
      <x:c r="D26" s="9" t="n"/>
      <x:c r="E26" s="9" t="n"/>
      <x:c r="F26" s="9" t="n"/>
      <x:c r="G26" s="9" t="n"/>
      <x:c r="H26" s="9" t="n"/>
      <x:c r="I26" s="9" t="n"/>
      <x:c r="J26" s="9" t="n"/>
      <x:c r="K26" s="9" t="n"/>
      <x:c r="L26" s="9" t="n"/>
      <x:c r="M26" s="9" t="n"/>
      <x:c r="N26" s="9" t="n"/>
    </x:row>
    <x:row r="27">
      <x:c r="A27" s="9" t="n"/>
      <x:c r="B27" s="9" t="n"/>
      <x:c r="C27" s="9" t="n"/>
      <x:c r="D27" s="9" t="n"/>
      <x:c r="E27" s="9" t="n"/>
      <x:c r="F27" s="9" t="n"/>
      <x:c r="G27" s="9" t="n"/>
      <x:c r="H27" s="9" t="n"/>
      <x:c r="I27" s="9" t="n"/>
      <x:c r="J27" s="9" t="n"/>
      <x:c r="K27" s="9" t="n"/>
      <x:c r="L27" s="9" t="n"/>
      <x:c r="M27" s="9" t="n"/>
      <x:c r="N27" s="9" t="n"/>
    </x:row>
    <x:row r="28">
      <x:c r="A28" s="9" t="n"/>
      <x:c r="B28" s="9" t="n"/>
      <x:c r="C28" s="9" t="n"/>
      <x:c r="D28" s="9" t="n"/>
      <x:c r="E28" s="9" t="n"/>
      <x:c r="F28" s="9" t="n"/>
      <x:c r="G28" s="9" t="n"/>
      <x:c r="H28" s="9" t="n"/>
      <x:c r="I28" s="9" t="n"/>
      <x:c r="J28" s="9" t="n"/>
      <x:c r="K28" s="9" t="n"/>
      <x:c r="L28" s="9" t="n"/>
      <x:c r="M28" s="9" t="n"/>
      <x:c r="N28" s="9" t="n"/>
    </x:row>
    <x:row r="29">
      <x:c r="A29" s="9" t="n"/>
      <x:c r="B29" s="9" t="n"/>
      <x:c r="C29" s="9" t="n"/>
      <x:c r="D29" s="9" t="n"/>
      <x:c r="E29" s="9" t="n"/>
      <x:c r="F29" s="9" t="n"/>
      <x:c r="G29" s="9" t="n"/>
      <x:c r="H29" s="9" t="n"/>
      <x:c r="I29" s="9" t="n"/>
      <x:c r="J29" s="9" t="n"/>
      <x:c r="K29" s="9" t="n"/>
      <x:c r="L29" s="9" t="n"/>
      <x:c r="M29" s="9" t="n"/>
      <x:c r="N29" s="9" t="n"/>
    </x:row>
    <x:row r="30">
      <x:c r="A30" s="9" t="n"/>
      <x:c r="B30" s="9" t="n"/>
      <x:c r="C30" s="9" t="n"/>
      <x:c r="D30" s="9" t="n"/>
      <x:c r="E30" s="9" t="n"/>
      <x:c r="F30" s="9" t="n"/>
      <x:c r="G30" s="9" t="n"/>
      <x:c r="H30" s="9" t="n"/>
      <x:c r="I30" s="9" t="n"/>
      <x:c r="J30" s="9" t="n"/>
      <x:c r="K30" s="9" t="n"/>
      <x:c r="L30" s="9" t="n"/>
      <x:c r="M30" s="9" t="n"/>
      <x:c r="N30" s="9" t="n"/>
    </x:row>
    <x:row r="31">
      <x:c r="A31" s="9" t="n"/>
      <x:c r="B31" s="9" t="n"/>
      <x:c r="C31" s="9" t="n"/>
      <x:c r="D31" s="9" t="n"/>
      <x:c r="E31" s="9" t="n"/>
      <x:c r="F31" s="9" t="n"/>
      <x:c r="G31" s="9" t="n"/>
      <x:c r="H31" s="9" t="n"/>
      <x:c r="I31" s="9" t="n"/>
      <x:c r="J31" s="9" t="n"/>
      <x:c r="K31" s="9" t="n"/>
      <x:c r="L31" s="9" t="n"/>
      <x:c r="M31" s="9" t="n"/>
      <x:c r="N31" s="9" t="n"/>
    </x:row>
    <x:row r="32">
      <x:c r="A32" s="9" t="n"/>
      <x:c r="B32" s="9" t="n"/>
      <x:c r="C32" s="9" t="n"/>
      <x:c r="D32" s="9" t="n"/>
      <x:c r="E32" s="9" t="n"/>
      <x:c r="F32" s="9" t="n"/>
      <x:c r="G32" s="9" t="n"/>
      <x:c r="H32" s="9" t="n"/>
      <x:c r="I32" s="9" t="n"/>
      <x:c r="J32" s="9" t="n"/>
      <x:c r="K32" s="9" t="n"/>
      <x:c r="L32" s="9" t="n"/>
      <x:c r="M32" s="9" t="n"/>
      <x:c r="N32" s="9" t="n"/>
    </x:row>
    <x:row r="33">
      <x:c r="A33" s="9" t="n"/>
      <x:c r="B33" s="9" t="n"/>
      <x:c r="C33" s="9" t="n"/>
      <x:c r="D33" s="9" t="n"/>
      <x:c r="E33" s="9" t="n"/>
      <x:c r="F33" s="9" t="n"/>
      <x:c r="G33" s="9" t="n"/>
      <x:c r="H33" s="9" t="n"/>
      <x:c r="I33" s="9" t="n"/>
      <x:c r="J33" s="9" t="n"/>
      <x:c r="K33" s="9" t="n"/>
      <x:c r="L33" s="9" t="n"/>
      <x:c r="M33" s="9" t="n"/>
      <x:c r="N33" s="9" t="n"/>
    </x:row>
    <x:row r="34">
      <x:c r="A34" s="9" t="n"/>
      <x:c r="B34" s="9" t="n"/>
      <x:c r="C34" s="9" t="n"/>
      <x:c r="D34" s="9" t="n"/>
      <x:c r="E34" s="9" t="n"/>
      <x:c r="F34" s="9" t="n"/>
      <x:c r="G34" s="9" t="n"/>
      <x:c r="H34" s="9" t="n"/>
      <x:c r="I34" s="9" t="n"/>
      <x:c r="J34" s="9" t="n"/>
      <x:c r="K34" s="9" t="n"/>
      <x:c r="L34" s="9" t="n"/>
      <x:c r="M34" s="9" t="n"/>
      <x:c r="N34" s="9" t="n"/>
    </x:row>
    <x:row r="35">
      <x:c r="A35" s="9" t="n"/>
      <x:c r="B35" s="9" t="n"/>
      <x:c r="C35" s="9" t="n"/>
      <x:c r="D35" s="9" t="n"/>
      <x:c r="E35" s="9" t="n"/>
      <x:c r="F35" s="9" t="n"/>
      <x:c r="G35" s="9" t="n"/>
      <x:c r="H35" s="9" t="n"/>
      <x:c r="I35" s="9" t="n"/>
      <x:c r="J35" s="9" t="n"/>
      <x:c r="K35" s="9" t="n"/>
      <x:c r="L35" s="9" t="n"/>
      <x:c r="M35" s="9" t="n"/>
      <x:c r="N35" s="9" t="n"/>
    </x:row>
    <x:row r="36">
      <x:c r="A36" s="9" t="n"/>
      <x:c r="B36" s="9" t="n"/>
      <x:c r="C36" s="9" t="n"/>
      <x:c r="D36" s="9" t="n"/>
      <x:c r="E36" s="9" t="n"/>
      <x:c r="F36" s="9" t="n"/>
      <x:c r="G36" s="9" t="n"/>
      <x:c r="H36" s="9" t="n"/>
      <x:c r="I36" s="9" t="n"/>
      <x:c r="J36" s="9" t="n"/>
      <x:c r="K36" s="9" t="n"/>
      <x:c r="L36" s="9" t="n"/>
      <x:c r="M36" s="9" t="n"/>
      <x:c r="N36" s="9" t="n"/>
    </x:row>
    <x:row r="37">
      <x:c r="A37" s="9" t="n"/>
      <x:c r="B37" s="9" t="n"/>
      <x:c r="C37" s="9" t="n"/>
      <x:c r="D37" s="9" t="n"/>
      <x:c r="E37" s="9" t="n"/>
      <x:c r="F37" s="9" t="n"/>
      <x:c r="G37" s="9" t="n"/>
      <x:c r="H37" s="9" t="n"/>
      <x:c r="I37" s="9" t="n"/>
      <x:c r="J37" s="9" t="n"/>
      <x:c r="K37" s="9" t="n"/>
      <x:c r="L37" s="9" t="n"/>
      <x:c r="M37" s="9" t="n"/>
      <x:c r="N37" s="9" t="n"/>
    </x:row>
    <x:row r="38">
      <x:c r="A38" s="9" t="n"/>
      <x:c r="B38" s="9" t="n"/>
      <x:c r="C38" s="9" t="n"/>
      <x:c r="D38" s="9" t="n"/>
      <x:c r="E38" s="9" t="n"/>
      <x:c r="F38" s="9" t="n"/>
      <x:c r="G38" s="9" t="n"/>
      <x:c r="H38" s="9" t="n"/>
      <x:c r="I38" s="9" t="n"/>
      <x:c r="J38" s="9" t="n"/>
      <x:c r="K38" s="9" t="n"/>
      <x:c r="L38" s="9" t="n"/>
      <x:c r="M38" s="9" t="n"/>
      <x:c r="N38" s="9" t="n"/>
    </x:row>
    <x:row r="39">
      <x:c r="A39" s="9" t="n"/>
      <x:c r="B39" s="9" t="n"/>
      <x:c r="C39" s="9" t="n"/>
      <x:c r="D39" s="9" t="n"/>
      <x:c r="E39" s="9" t="n"/>
      <x:c r="F39" s="9" t="n"/>
      <x:c r="G39" s="9" t="n"/>
      <x:c r="H39" s="9" t="n"/>
      <x:c r="I39" s="9" t="n"/>
      <x:c r="J39" s="9" t="n"/>
      <x:c r="K39" s="9" t="n"/>
      <x:c r="L39" s="9" t="n"/>
      <x:c r="M39" s="9" t="n"/>
      <x:c r="N39" s="9" t="n"/>
    </x:row>
    <x:row r="40">
      <x:c r="A40" s="9" t="n"/>
      <x:c r="B40" s="9" t="n"/>
      <x:c r="C40" s="9" t="n"/>
      <x:c r="D40" s="9" t="n"/>
      <x:c r="E40" s="9" t="n"/>
      <x:c r="F40" s="9" t="n"/>
      <x:c r="G40" s="9" t="n"/>
      <x:c r="H40" s="9" t="n"/>
      <x:c r="I40" s="9" t="n"/>
      <x:c r="J40" s="9" t="n"/>
      <x:c r="K40" s="9" t="n"/>
      <x:c r="L40" s="9" t="n"/>
      <x:c r="M40" s="9" t="n"/>
      <x:c r="N40" s="9" t="n"/>
    </x:row>
    <x:row r="41">
      <x:c r="A41" s="9" t="n"/>
      <x:c r="B41" s="9" t="n"/>
      <x:c r="C41" s="9" t="n"/>
      <x:c r="D41" s="9" t="n"/>
      <x:c r="E41" s="9" t="n"/>
      <x:c r="F41" s="9" t="n"/>
      <x:c r="G41" s="9" t="n"/>
      <x:c r="H41" s="9" t="n"/>
      <x:c r="I41" s="9" t="n"/>
      <x:c r="J41" s="9" t="n"/>
      <x:c r="K41" s="9" t="n"/>
      <x:c r="L41" s="9" t="n"/>
      <x:c r="M41" s="9" t="n"/>
      <x:c r="N41" s="9" t="n"/>
    </x:row>
    <x:row r="42">
      <x:c r="A42" s="9" t="n"/>
      <x:c r="B42" s="9" t="n"/>
      <x:c r="C42" s="9" t="n"/>
      <x:c r="D42" s="9" t="n"/>
      <x:c r="E42" s="9" t="n"/>
      <x:c r="F42" s="9" t="n"/>
      <x:c r="G42" s="9" t="n"/>
      <x:c r="H42" s="9" t="n"/>
      <x:c r="I42" s="9" t="n"/>
      <x:c r="J42" s="9" t="n"/>
      <x:c r="K42" s="9" t="n"/>
      <x:c r="L42" s="9" t="n"/>
      <x:c r="M42" s="9" t="n"/>
      <x:c r="N42" s="9" t="n"/>
    </x:row>
    <x:row r="43">
      <x:c r="A43" s="9" t="n"/>
      <x:c r="B43" s="9" t="n"/>
      <x:c r="C43" s="9" t="n"/>
      <x:c r="D43" s="9" t="n"/>
      <x:c r="E43" s="9" t="n"/>
      <x:c r="F43" s="9" t="n"/>
      <x:c r="G43" s="9" t="n"/>
      <x:c r="H43" s="9" t="n"/>
      <x:c r="I43" s="9" t="n"/>
      <x:c r="J43" s="9" t="n"/>
      <x:c r="K43" s="9" t="n"/>
      <x:c r="L43" s="9" t="n"/>
      <x:c r="M43" s="9" t="n"/>
      <x:c r="N43" s="9" t="n"/>
    </x:row>
    <x:row r="44">
      <x:c r="A44" s="9" t="n"/>
      <x:c r="B44" s="9" t="n"/>
      <x:c r="C44" s="9" t="n"/>
      <x:c r="D44" s="9" t="n"/>
      <x:c r="E44" s="9" t="n"/>
      <x:c r="F44" s="9" t="n"/>
      <x:c r="G44" s="9" t="n"/>
      <x:c r="H44" s="9" t="n"/>
      <x:c r="I44" s="9" t="n"/>
      <x:c r="J44" s="9" t="n"/>
      <x:c r="K44" s="9" t="n"/>
      <x:c r="L44" s="9" t="n"/>
      <x:c r="M44" s="9" t="n"/>
      <x:c r="N44" s="9" t="n"/>
    </x:row>
    <x:row r="45">
      <x:c r="A45" s="9" t="n"/>
      <x:c r="B45" s="9" t="n"/>
      <x:c r="C45" s="9" t="n"/>
      <x:c r="D45" s="9" t="n"/>
      <x:c r="E45" s="9" t="n"/>
      <x:c r="F45" s="9" t="n"/>
      <x:c r="G45" s="9" t="n"/>
      <x:c r="H45" s="9" t="n"/>
      <x:c r="I45" s="9" t="n"/>
      <x:c r="J45" s="9" t="n"/>
      <x:c r="K45" s="9" t="n"/>
      <x:c r="L45" s="9" t="n"/>
      <x:c r="M45" s="9" t="n"/>
      <x:c r="N45" s="9" t="n"/>
    </x:row>
    <x:row r="46">
      <x:c r="A46" s="9" t="n"/>
      <x:c r="B46" s="9" t="n"/>
      <x:c r="C46" s="9" t="n"/>
      <x:c r="D46" s="9" t="n"/>
      <x:c r="E46" s="9" t="n"/>
      <x:c r="F46" s="9" t="n"/>
      <x:c r="G46" s="9" t="n"/>
      <x:c r="H46" s="9" t="n"/>
      <x:c r="I46" s="9" t="n"/>
      <x:c r="J46" s="9" t="n"/>
      <x:c r="K46" s="9" t="n"/>
      <x:c r="L46" s="9" t="n"/>
      <x:c r="M46" s="9" t="n"/>
      <x:c r="N46" s="9" t="n"/>
    </x:row>
    <x:row r="47">
      <x:c r="A47" s="9" t="n"/>
      <x:c r="B47" s="9" t="n"/>
      <x:c r="C47" s="9" t="n"/>
      <x:c r="D47" s="9" t="n"/>
      <x:c r="E47" s="9" t="n"/>
      <x:c r="F47" s="9" t="n"/>
      <x:c r="G47" s="9" t="n"/>
      <x:c r="H47" s="9" t="n"/>
      <x:c r="I47" s="9" t="n"/>
      <x:c r="J47" s="9" t="n"/>
      <x:c r="K47" s="9" t="n"/>
      <x:c r="L47" s="9" t="n"/>
      <x:c r="M47" s="9" t="n"/>
      <x:c r="N47" s="9" t="n"/>
    </x:row>
    <x:row r="48">
      <x:c r="A48" s="9" t="n"/>
      <x:c r="B48" s="9" t="n"/>
      <x:c r="C48" s="9" t="n"/>
      <x:c r="D48" s="9" t="n"/>
      <x:c r="E48" s="9" t="n"/>
      <x:c r="F48" s="9" t="n"/>
      <x:c r="G48" s="9" t="n"/>
      <x:c r="H48" s="9" t="n"/>
      <x:c r="I48" s="9" t="n"/>
      <x:c r="J48" s="9" t="n"/>
      <x:c r="K48" s="9" t="n"/>
      <x:c r="L48" s="9" t="n"/>
      <x:c r="M48" s="9" t="n"/>
      <x:c r="N48" s="9" t="n"/>
    </x:row>
    <x:row r="49">
      <x:c r="A49" s="9" t="n"/>
      <x:c r="B49" s="9" t="n"/>
      <x:c r="C49" s="9" t="n"/>
      <x:c r="D49" s="9" t="n"/>
      <x:c r="E49" s="9" t="n"/>
      <x:c r="F49" s="9" t="n"/>
      <x:c r="G49" s="9" t="n"/>
      <x:c r="H49" s="9" t="n"/>
      <x:c r="I49" s="9" t="n"/>
      <x:c r="J49" s="9" t="n"/>
      <x:c r="K49" s="9" t="n"/>
      <x:c r="L49" s="9" t="n"/>
      <x:c r="M49" s="9" t="n"/>
      <x:c r="N49" s="9" t="n"/>
    </x:row>
    <x:row r="50">
      <x:c r="A50" s="9" t="n"/>
      <x:c r="B50" s="9" t="n"/>
      <x:c r="C50" s="9" t="n"/>
      <x:c r="D50" s="9" t="n"/>
      <x:c r="E50" s="9" t="n"/>
      <x:c r="F50" s="9" t="n"/>
      <x:c r="G50" s="9" t="n"/>
      <x:c r="H50" s="9" t="n"/>
      <x:c r="I50" s="9" t="n"/>
      <x:c r="J50" s="9" t="n"/>
      <x:c r="K50" s="9" t="n"/>
      <x:c r="L50" s="9" t="n"/>
      <x:c r="M50" s="9" t="n"/>
      <x:c r="N50" s="9" t="n"/>
    </x:row>
    <x:row r="51">
      <x:c r="A51" s="9" t="n"/>
      <x:c r="B51" s="9" t="n"/>
      <x:c r="C51" s="9" t="n"/>
      <x:c r="D51" s="9" t="n"/>
      <x:c r="E51" s="9" t="n"/>
      <x:c r="F51" s="9" t="n"/>
      <x:c r="G51" s="9" t="n"/>
      <x:c r="H51" s="9" t="n"/>
      <x:c r="I51" s="9" t="n"/>
      <x:c r="J51" s="9" t="n"/>
      <x:c r="K51" s="9" t="n"/>
      <x:c r="L51" s="9" t="n"/>
      <x:c r="M51" s="9" t="n"/>
      <x:c r="N51" s="9" t="n"/>
    </x:row>
    <x:row r="52">
      <x:c r="A52" s="9" t="n"/>
      <x:c r="B52" s="9" t="n"/>
      <x:c r="C52" s="9" t="n"/>
      <x:c r="D52" s="9" t="n"/>
      <x:c r="E52" s="9" t="n"/>
      <x:c r="F52" s="9" t="n"/>
      <x:c r="G52" s="9" t="n"/>
      <x:c r="H52" s="9" t="n"/>
      <x:c r="I52" s="9" t="n"/>
      <x:c r="J52" s="9" t="n"/>
      <x:c r="K52" s="9" t="n"/>
      <x:c r="L52" s="9" t="n"/>
      <x:c r="M52" s="9" t="n"/>
      <x:c r="N52" s="9" t="n"/>
    </x:row>
    <x:row r="53">
      <x:c r="A53" s="9" t="n"/>
      <x:c r="B53" s="9" t="n"/>
      <x:c r="C53" s="9" t="n"/>
      <x:c r="D53" s="9" t="n"/>
      <x:c r="E53" s="9" t="n"/>
      <x:c r="F53" s="9" t="n"/>
      <x:c r="G53" s="9" t="n"/>
      <x:c r="H53" s="9" t="n"/>
      <x:c r="I53" s="9" t="n"/>
      <x:c r="J53" s="9" t="n"/>
      <x:c r="K53" s="9" t="n"/>
      <x:c r="L53" s="9" t="n"/>
      <x:c r="M53" s="9" t="n"/>
      <x:c r="N53" s="9" t="n"/>
    </x:row>
    <x:row r="54">
      <x:c r="A54" s="9" t="n"/>
      <x:c r="B54" s="9" t="n"/>
      <x:c r="C54" s="9" t="n"/>
      <x:c r="D54" s="9" t="n"/>
      <x:c r="E54" s="9" t="n"/>
      <x:c r="F54" s="9" t="n"/>
      <x:c r="G54" s="9" t="n"/>
      <x:c r="H54" s="9" t="n"/>
      <x:c r="I54" s="9" t="n"/>
      <x:c r="J54" s="9" t="n"/>
      <x:c r="K54" s="9" t="n"/>
      <x:c r="L54" s="9" t="n"/>
      <x:c r="M54" s="9" t="n"/>
      <x:c r="N54" s="9" t="n"/>
    </x:row>
    <x:row r="55">
      <x:c r="A55" s="9" t="n"/>
      <x:c r="B55" s="9" t="n"/>
      <x:c r="C55" s="9" t="n"/>
      <x:c r="D55" s="9" t="n"/>
      <x:c r="E55" s="9" t="n"/>
      <x:c r="F55" s="9" t="n"/>
      <x:c r="G55" s="9" t="n"/>
      <x:c r="H55" s="9" t="n"/>
      <x:c r="I55" s="9" t="n"/>
      <x:c r="J55" s="9" t="n"/>
      <x:c r="K55" s="9" t="n"/>
      <x:c r="L55" s="9" t="n"/>
      <x:c r="M55" s="9" t="n"/>
      <x:c r="N55" s="9" t="n"/>
    </x:row>
    <x:row r="56">
      <x:c r="A56" s="9" t="n"/>
      <x:c r="B56" s="9" t="n"/>
      <x:c r="C56" s="9" t="n"/>
      <x:c r="D56" s="9" t="n"/>
      <x:c r="E56" s="9" t="n"/>
      <x:c r="F56" s="9" t="n"/>
      <x:c r="G56" s="9" t="n"/>
      <x:c r="H56" s="9" t="n"/>
      <x:c r="I56" s="9" t="n"/>
      <x:c r="J56" s="9" t="n"/>
      <x:c r="K56" s="9" t="n"/>
      <x:c r="L56" s="9" t="n"/>
      <x:c r="M56" s="9" t="n"/>
      <x:c r="N56" s="9" t="n"/>
    </x:row>
    <x:row r="57">
      <x:c r="A57" s="9" t="n"/>
      <x:c r="B57" s="9" t="n"/>
      <x:c r="C57" s="9" t="n"/>
      <x:c r="D57" s="9" t="n"/>
      <x:c r="E57" s="9" t="n"/>
      <x:c r="F57" s="9" t="n"/>
      <x:c r="G57" s="9" t="n"/>
      <x:c r="H57" s="9" t="n"/>
      <x:c r="I57" s="9" t="n"/>
      <x:c r="J57" s="9" t="n"/>
      <x:c r="K57" s="9" t="n"/>
      <x:c r="L57" s="9" t="n"/>
      <x:c r="M57" s="9" t="n"/>
      <x:c r="N57" s="9" t="n"/>
    </x:row>
    <x:row r="58">
      <x:c r="A58" s="9" t="n"/>
      <x:c r="B58" s="9" t="n"/>
      <x:c r="C58" s="9" t="n"/>
      <x:c r="D58" s="9" t="n"/>
      <x:c r="E58" s="9" t="n"/>
      <x:c r="F58" s="9" t="n"/>
      <x:c r="G58" s="9" t="n"/>
      <x:c r="H58" s="9" t="n"/>
      <x:c r="I58" s="9" t="n"/>
      <x:c r="J58" s="9" t="n"/>
      <x:c r="K58" s="9" t="n"/>
      <x:c r="L58" s="9" t="n"/>
      <x:c r="M58" s="9" t="n"/>
      <x:c r="N58" s="9" t="n"/>
    </x:row>
    <x:row r="59">
      <x:c r="A59" s="9" t="n"/>
      <x:c r="B59" s="9" t="n"/>
      <x:c r="C59" s="9" t="n"/>
      <x:c r="D59" s="9" t="n"/>
      <x:c r="E59" s="9" t="n"/>
      <x:c r="F59" s="9" t="n"/>
      <x:c r="G59" s="9" t="n"/>
      <x:c r="H59" s="9" t="n"/>
      <x:c r="I59" s="9" t="n"/>
      <x:c r="J59" s="9" t="n"/>
      <x:c r="K59" s="9" t="n"/>
      <x:c r="L59" s="9" t="n"/>
      <x:c r="M59" s="9" t="n"/>
      <x:c r="N59" s="9" t="n"/>
    </x:row>
    <x:row r="60">
      <x:c r="A60" s="9" t="n"/>
      <x:c r="B60" s="9" t="n"/>
      <x:c r="C60" s="9" t="n"/>
      <x:c r="D60" s="9" t="n"/>
      <x:c r="E60" s="9" t="n"/>
      <x:c r="F60" s="9" t="n"/>
      <x:c r="G60" s="9" t="n"/>
      <x:c r="H60" s="9" t="n"/>
      <x:c r="I60" s="9" t="n"/>
      <x:c r="J60" s="9" t="n"/>
      <x:c r="K60" s="9" t="n"/>
      <x:c r="L60" s="9" t="n"/>
      <x:c r="M60" s="9" t="n"/>
      <x:c r="N60" s="9" t="n"/>
    </x:row>
    <x:row r="61">
      <x:c r="A61" s="9" t="n"/>
      <x:c r="B61" s="9" t="n"/>
      <x:c r="C61" s="9" t="n"/>
      <x:c r="D61" s="9" t="n"/>
      <x:c r="E61" s="9" t="n"/>
      <x:c r="F61" s="9" t="n"/>
      <x:c r="G61" s="9" t="n"/>
      <x:c r="H61" s="9" t="n"/>
      <x:c r="I61" s="9" t="n"/>
      <x:c r="J61" s="9" t="n"/>
      <x:c r="K61" s="9" t="n"/>
      <x:c r="L61" s="9" t="n"/>
      <x:c r="M61" s="9" t="n"/>
      <x:c r="N61" s="9" t="n"/>
    </x:row>
    <x:row r="62">
      <x:c r="A62" s="9" t="n"/>
      <x:c r="B62" s="9" t="n"/>
      <x:c r="C62" s="9" t="n"/>
      <x:c r="D62" s="9" t="n"/>
      <x:c r="E62" s="9" t="n"/>
      <x:c r="F62" s="9" t="n"/>
      <x:c r="G62" s="9" t="n"/>
      <x:c r="H62" s="9" t="n"/>
      <x:c r="I62" s="9" t="n"/>
      <x:c r="J62" s="9" t="n"/>
      <x:c r="K62" s="9" t="n"/>
      <x:c r="L62" s="9" t="n"/>
      <x:c r="M62" s="9" t="n"/>
      <x:c r="N62" s="9" t="n"/>
    </x:row>
    <x:row r="63">
      <x:c r="A63" s="9" t="n"/>
      <x:c r="B63" s="9" t="n"/>
      <x:c r="C63" s="9" t="n"/>
      <x:c r="D63" s="9" t="n"/>
      <x:c r="E63" s="9" t="n"/>
      <x:c r="F63" s="9" t="n"/>
      <x:c r="G63" s="9" t="n"/>
      <x:c r="H63" s="9" t="n"/>
      <x:c r="I63" s="9" t="n"/>
      <x:c r="J63" s="9" t="n"/>
      <x:c r="K63" s="9" t="n"/>
      <x:c r="L63" s="9" t="n"/>
      <x:c r="M63" s="9" t="n"/>
      <x:c r="N63" s="9" t="n"/>
    </x:row>
    <x:row r="64">
      <x:c r="A64" s="9" t="n"/>
      <x:c r="B64" s="9" t="n"/>
      <x:c r="C64" s="9" t="n"/>
      <x:c r="D64" s="9" t="n"/>
      <x:c r="E64" s="9" t="n"/>
      <x:c r="F64" s="9" t="n"/>
      <x:c r="G64" s="9" t="n"/>
      <x:c r="H64" s="9" t="n"/>
      <x:c r="I64" s="9" t="n"/>
      <x:c r="J64" s="9" t="n"/>
      <x:c r="K64" s="9" t="n"/>
      <x:c r="L64" s="9" t="n"/>
      <x:c r="M64" s="9" t="n"/>
      <x:c r="N64" s="9" t="n"/>
    </x:row>
    <x:row r="65">
      <x:c r="A65" s="9" t="n"/>
      <x:c r="B65" s="9" t="n"/>
      <x:c r="C65" s="9" t="n"/>
      <x:c r="D65" s="9" t="n"/>
      <x:c r="E65" s="9" t="n"/>
      <x:c r="F65" s="9" t="n"/>
      <x:c r="G65" s="9" t="n"/>
      <x:c r="H65" s="9" t="n"/>
      <x:c r="I65" s="9" t="n"/>
      <x:c r="J65" s="9" t="n"/>
      <x:c r="K65" s="9" t="n"/>
      <x:c r="L65" s="9" t="n"/>
      <x:c r="M65" s="9" t="n"/>
      <x:c r="N65" s="9" t="n"/>
    </x:row>
  </x:sheetData>
  <x:mergeCells>
    <x:mergeCell ref="G5:I7"/>
    <x:mergeCell ref="A1:N2"/>
    <x:mergeCell ref="A3:N3"/>
    <x:mergeCell ref="J5:L7"/>
    <x:mergeCell ref="A9:C11"/>
    <x:mergeCell ref="D9:F11"/>
    <x:mergeCell ref="J9:L11"/>
    <x:mergeCell ref="G9:I11"/>
    <x:mergeCell ref="D5:F7"/>
    <x:mergeCell ref="A13:N13"/>
    <x:mergeCell ref="A5:C7"/>
  </x:mergeCells>
  <x:pageMargins left="0.7" right="0.7" top="0.75" bottom="0.75" header="0.3" footer="0.3"/>
  <x:drawing xmlns:r="http://schemas.openxmlformats.org/officeDocument/2006/relationships" r:id="Re2d5a291d62f4a69"/>
</x:worksheet>
</file>

<file path=xl/worksheets/sheet2.xml><?xml version="1.0" encoding="utf-8"?>
<x:worksheet xmlns:x="http://schemas.openxmlformats.org/spreadsheetml/2006/main">
  <x:sheetFormatPr baseColWidth="8" defaultRowHeight="14.25"/>
  <x:cols>
    <x:col min="1" max="6" width="16" style="1" customWidth="1"/>
    <x:col min="7" max="7" width="24" style="1" customWidth="1"/>
    <x:col min="8" max="12" width="16" style="1" customWidth="1"/>
    <x:col min="13" max="14" width="28" style="1" customWidth="1"/>
    <x:col min="15" max="16" width="16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Status</x:t>
        </x:is>
      </x:c>
      <x:c r="C1" s="4" t="inlineStr">
        <x:is>
          <x:t xml:space="preserve">Data</x:t>
        </x:is>
      </x:c>
      <x:c r="D1" s="4" t="inlineStr">
        <x:is>
          <x:t xml:space="preserve">UF</x:t>
        </x:is>
      </x:c>
      <x:c r="E1" s="4" t="inlineStr">
        <x:is>
          <x:t xml:space="preserve">Cidade</x:t>
        </x:is>
      </x:c>
      <x:c r="F1" s="4" t="inlineStr">
        <x:is>
          <x:t xml:space="preserve">Categoria</x:t>
        </x:is>
      </x:c>
      <x:c r="G1" s="4" t="inlineStr">
        <x:is>
          <x:t xml:space="preserve">Organizador</x:t>
        </x:is>
      </x:c>
      <x:c r="H1" s="4" t="inlineStr">
        <x:is>
          <x:t xml:space="preserve">Público Estimado</x:t>
        </x:is>
      </x:c>
      <x:c r="I1" s="4" t="inlineStr">
        <x:is>
          <x:t xml:space="preserve">Patrocinador</x:t>
        </x:is>
      </x:c>
      <x:c r="J1" s="4" t="inlineStr">
        <x:is>
          <x:t xml:space="preserve">Local</x:t>
        </x:is>
      </x:c>
      <x:c r="K1" s="4" t="inlineStr">
        <x:is>
          <x:t xml:space="preserve">Latitude</x:t>
        </x:is>
      </x:c>
      <x:c r="L1" s="4" t="inlineStr">
        <x:is>
          <x:t xml:space="preserve">Longitude</x:t>
        </x:is>
      </x:c>
      <x:c r="M1" s="4" t="inlineStr">
        <x:is>
          <x:t xml:space="preserve">Link/Fonte</x:t>
        </x:is>
      </x:c>
      <x:c r="N1" s="4" t="inlineStr">
        <x:is>
          <x:t xml:space="preserve">Observações</x:t>
        </x:is>
      </x:c>
      <x:c r="O1" s="4" t="inlineStr">
        <x:is>
          <x:t xml:space="preserve">Mês</x:t>
        </x:is>
      </x:c>
      <x:c r="P1" s="4" t="inlineStr">
        <x:is>
          <x:t xml:space="preserve">Ano</x:t>
        </x:is>
      </x:c>
    </x:row>
    <x:row r="2" s="1" customFormat="1" ht="42.75" customHeight="1">
      <x:c r="A2" s="23" t="inlineStr">
        <x:is>
          <x:t xml:space="preserve">EVT-0070</x:t>
        </x:is>
      </x:c>
      <x:c r="B2" s="23" t="inlineStr">
        <x:is>
          <x:t xml:space="preserve">Realizado</x:t>
        </x:is>
      </x:c>
      <x:c r="C2" s="29" t="n">
        <x:v>45859</x:v>
      </x:c>
      <x:c r="D2" s="23" t="inlineStr">
        <x:is>
          <x:t xml:space="preserve">MG</x:t>
        </x:is>
      </x:c>
      <x:c r="E2" s="23" t="inlineStr">
        <x:is>
          <x:t xml:space="preserve">Belo Horizonte</x:t>
        </x:is>
      </x:c>
      <x:c r="F2" s="23" t="inlineStr">
        <x:is>
          <x:t xml:space="preserve">Ativação itinerante</x:t>
        </x:is>
      </x:c>
      <x:c r="G2" s="23" t="inlineStr">
        <x:is>
          <x:t xml:space="preserve">Petrobras / Ministério da Cultura / D+ Projetos</x:t>
        </x:is>
      </x:c>
      <x:c r="H2" s="7" t="n">
        <x:v>0</x:v>
      </x:c>
      <x:c r="I2" s="23" t="inlineStr">
        <x:is>
          <x:t xml:space="preserve">Petrobras</x:t>
        </x:is>
      </x:c>
      <x:c r="J2" s="23" t="inlineStr">
        <x:is>
          <x:t xml:space="preserve">Parque Jornalista Eduardo Couri (Barragem Santa Lúcia)</x:t>
        </x:is>
      </x:c>
      <x:c r="K2" s="8" t="n"/>
      <x:c r="L2" s="8" t="n"/>
      <x:c r="M2" s="23" t="inlineStr">
        <x:is>
          <x:t xml:space="preserve">https://agencia.petrobras.com.br/w/regionais/caravana-do-futebol-feminino-petrobras-chega-a-belo-horizonte-com-programacao-gratuita</x:t>
        </x:is>
      </x:c>
      <x:c r="N2" s="9" t="inlineStr">
        <x:is>
          <x:t xml:space="preserve"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x:t>
        </x:is>
      </x:c>
      <x:c r="O2" s="23" t="inlineStr">
        <x:is>
          <x:t xml:space="preserve">Jul</x:t>
        </x:is>
      </x:c>
      <x:c r="P2" s="23" t="n">
        <x:v>2025</x:v>
      </x:c>
    </x:row>
    <x:row r="3" s="1" customFormat="1" ht="42.75" customHeight="1">
      <x:c r="A3" s="23" t="inlineStr">
        <x:is>
          <x:t xml:space="preserve">EVT-0071</x:t>
        </x:is>
      </x:c>
      <x:c r="B3" s="23" t="inlineStr">
        <x:is>
          <x:t xml:space="preserve">Realizado</x:t>
        </x:is>
      </x:c>
      <x:c r="C3" s="29" t="n">
        <x:v>45887</x:v>
      </x:c>
      <x:c r="D3" s="23" t="inlineStr">
        <x:is>
          <x:t xml:space="preserve">SP</x:t>
        </x:is>
      </x:c>
      <x:c r="E3" s="23" t="inlineStr">
        <x:is>
          <x:t xml:space="preserve">São Paulo</x:t>
        </x:is>
      </x:c>
      <x:c r="F3" s="23" t="inlineStr">
        <x:is>
          <x:t xml:space="preserve">Ativação itinerante</x:t>
        </x:is>
      </x:c>
      <x:c r="G3" s="23" t="inlineStr">
        <x:is>
          <x:t xml:space="preserve">Petrobras / Ministério da Cultura / D+ Projetos / Prefeitura de São Paulo</x:t>
        </x:is>
      </x:c>
      <x:c r="H3" s="7" t="n">
        <x:v>0</x:v>
      </x:c>
      <x:c r="I3" s="23" t="inlineStr">
        <x:is>
          <x:t xml:space="preserve">Petrobras</x:t>
        </x:is>
      </x:c>
      <x:c r="J3" s="23" t="inlineStr">
        <x:is>
          <x:t xml:space="preserve">Mercado Livre Arena Pacaembu</x:t>
        </x:is>
      </x:c>
      <x:c r="K3" s="8" t="n"/>
      <x:c r="L3" s="8" t="n"/>
      <x:c r="M3" s="23" t="inlineStr">
        <x:is>
          <x:t xml:space="preserve">https://prefeitura.sp.gov.br/web/cultura/w/caravana-do-futebol-feminino-chega-na-cidade-com-apoio-da-prefeitura-de-s%C3%A3o-paulo</x:t>
        </x:is>
      </x:c>
      <x:c r="N3" s="9" t="inlineStr">
        <x:is>
          <x:t xml:space="preserve"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x:t>
        </x:is>
      </x:c>
      <x:c r="O3" s="23" t="inlineStr">
        <x:is>
          <x:t xml:space="preserve">Ago</x:t>
        </x:is>
      </x:c>
      <x:c r="P3" s="23" t="n">
        <x:v>2025</x:v>
      </x:c>
    </x:row>
    <x:row r="4" s="1" customFormat="1" ht="57" customHeight="1">
      <x:c r="A4" s="23" t="inlineStr">
        <x:is>
          <x:t xml:space="preserve">EVT-0072</x:t>
        </x:is>
      </x:c>
      <x:c r="B4" s="23" t="inlineStr">
        <x:is>
          <x:t xml:space="preserve">Realizado</x:t>
        </x:is>
      </x:c>
      <x:c r="C4" s="29" t="n">
        <x:v>45936</x:v>
      </x:c>
      <x:c r="D4" s="23" t="inlineStr">
        <x:is>
          <x:t xml:space="preserve">RS</x:t>
        </x:is>
      </x:c>
      <x:c r="E4" s="23" t="inlineStr">
        <x:is>
          <x:t xml:space="preserve">Porto Alegre</x:t>
        </x:is>
      </x:c>
      <x:c r="F4" s="23" t="inlineStr">
        <x:is>
          <x:t xml:space="preserve">Ativação itinerante</x:t>
        </x:is>
      </x:c>
      <x:c r="G4" s="23" t="inlineStr">
        <x:is>
          <x:t xml:space="preserve">Petrobras / Ministério da Cultura / D+ Projetos</x:t>
        </x:is>
      </x:c>
      <x:c r="H4" s="7" t="n">
        <x:v>0</x:v>
      </x:c>
      <x:c r="I4" s="23" t="inlineStr">
        <x:is>
          <x:t xml:space="preserve">Petrobras</x:t>
        </x:is>
      </x:c>
      <x:c r="J4" s="23" t="inlineStr">
        <x:is>
          <x:t xml:space="preserve">Avenida Borges de Medeiros, 2651–2729, Praia de Belas</x:t>
        </x:is>
      </x:c>
      <x:c r="K4" s="8" t="n"/>
      <x:c r="L4" s="8" t="n"/>
      <x:c r="M4" s="23" t="inlineStr">
        <x:is>
          <x:t xml:space="preserve">https://agencia.petrobras.com.br/w/caravana-do-futebol-feminino-petrobras-chega-em-porto-alegre-com-programa%C3%A7%C3%A3o-gratuita</x:t>
        </x:is>
      </x:c>
      <x:c r="N4" s="9" t="inlineStr">
        <x:is>
          <x:t xml:space="preserve"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x:t>
        </x:is>
      </x:c>
      <x:c r="O4" s="23" t="inlineStr">
        <x:is>
          <x:t xml:space="preserve">Out</x:t>
        </x:is>
      </x:c>
      <x:c r="P4" s="23" t="n">
        <x:v>2025</x:v>
      </x:c>
    </x:row>
    <x:row r="5" s="1" customFormat="1" ht="71.25" customHeight="1">
      <x:c r="A5" s="23" t="inlineStr">
        <x:is>
          <x:t xml:space="preserve">EVT-0073</x:t>
        </x:is>
      </x:c>
      <x:c r="B5" s="23" t="inlineStr">
        <x:is>
          <x:t xml:space="preserve">Realizado</x:t>
        </x:is>
      </x:c>
      <x:c r="C5" s="29" t="n">
        <x:v>45975</x:v>
      </x:c>
      <x:c r="D5" s="23" t="inlineStr">
        <x:is>
          <x:t xml:space="preserve">BA</x:t>
        </x:is>
      </x:c>
      <x:c r="E5" s="23" t="inlineStr">
        <x:is>
          <x:t xml:space="preserve">Salvador</x:t>
        </x:is>
      </x:c>
      <x:c r="F5" s="23" t="inlineStr">
        <x:is>
          <x:t xml:space="preserve">Ativação itinerante</x:t>
        </x:is>
      </x:c>
      <x:c r="G5" s="23" t="inlineStr">
        <x:is>
          <x:t xml:space="preserve">Petrobras / Ministério da Cultura / D+ Projetos</x:t>
        </x:is>
      </x:c>
      <x:c r="H5" s="7" t="n">
        <x:v>0</x:v>
      </x:c>
      <x:c r="I5" s="23" t="inlineStr">
        <x:is>
          <x:t xml:space="preserve">Petrobras</x:t>
        </x:is>
      </x:c>
      <x:c r="J5" s="23" t="inlineStr">
        <x:is>
          <x:t xml:space="preserve">Parque Costa Azul</x:t>
        </x:is>
      </x:c>
      <x:c r="K5" s="8" t="n"/>
      <x:c r="L5" s="8" t="n"/>
      <x:c r="M5" s="23" t="inlineStr">
        <x:is>
          <x:t xml:space="preserve">https://agencia.petrobras.com.br/w/caravana-do-futebol-feminino-petrobras-chega-em-salvador-com-programa%C3%A7%C3%A3o-gratuita</x:t>
        </x:is>
      </x:c>
      <x:c r="N5" s="9" t="inlineStr">
        <x:is>
          <x:t xml:space="preserve"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x:t>
        </x:is>
      </x:c>
      <x:c r="O5" s="23" t="inlineStr">
        <x:is>
          <x:t xml:space="preserve">Nov</x:t>
        </x:is>
      </x:c>
      <x:c r="P5" s="23" t="n">
        <x:v>2025</x:v>
      </x:c>
    </x:row>
    <x:row r="6" s="1" customFormat="1" ht="57" customHeight="1">
      <x:c r="A6" s="23" t="inlineStr">
        <x:is>
          <x:t xml:space="preserve">EVT-0030</x:t>
        </x:is>
      </x:c>
      <x:c r="B6" s="23" t="inlineStr">
        <x:is>
          <x:t xml:space="preserve">Realizado</x:t>
        </x:is>
      </x:c>
      <x:c r="C6" s="29" t="n">
        <x:v>46047</x:v>
      </x:c>
      <x:c r="D6" s="23" t="inlineStr">
        <x:is>
          <x:t xml:space="preserve">RJ</x:t>
        </x:is>
      </x:c>
      <x:c r="E6" s="23" t="inlineStr">
        <x:is>
          <x:t xml:space="preserve">Rio de Janeiro</x:t>
        </x:is>
      </x:c>
      <x:c r="F6" s="23" t="inlineStr">
        <x:is>
          <x:t xml:space="preserve">Lançamento oficial</x:t>
        </x:is>
      </x:c>
      <x:c r="G6" s="23" t="inlineStr">
        <x:is>
          <x:t xml:space="preserve">FIFA</x:t>
        </x:is>
      </x:c>
      <x:c r="H6" s="7" t="n">
        <x:v>0</x:v>
      </x:c>
      <x:c r="I6" s="23" t="inlineStr">
        <x:is>
          <x:t xml:space="preserve"/>
        </x:is>
      </x:c>
      <x:c r="J6" s="23" t="inlineStr">
        <x:is>
          <x:t xml:space="preserve">Avenida Atlântica, Copacabana</x:t>
        </x:is>
      </x:c>
      <x:c r="K6" s="8" t="n"/>
      <x:c r="L6" s="8" t="n"/>
      <x:c r="M6" s="23" t="inlineStr">
        <x:is>
          <x:t xml:space="preserve">https://www.fifa.com/pt/tournaments/womens/womensworldcup/brazil-2027/articles/copa-mundo-feminina-brasil-marca-emblema-oficial</x:t>
        </x:is>
      </x:c>
      <x:c r="N6" s="9" t="inlineStr">
        <x:is>
          <x:t xml:space="preserve">Evento público realizado em 25/01/2026, em Copacabana, para iniciar a jornada rumo à Copa do Mundo Feminina 2027 e apresentar oficialmente o emblema, o slogan “Vai Ser Épico” e a identidade sonora do torneio.</x:t>
        </x:is>
      </x:c>
      <x:c r="O6" s="23" t="inlineStr">
        <x:is>
          <x:t xml:space="preserve">Jan</x:t>
        </x:is>
      </x:c>
      <x:c r="P6" s="23" t="n">
        <x:v>2026</x:v>
      </x:c>
    </x:row>
    <x:row r="7" s="1" customFormat="1" ht="42.75" customHeight="1">
      <x:c r="A7" s="23" t="inlineStr">
        <x:is>
          <x:t xml:space="preserve">EVT-0051</x:t>
        </x:is>
      </x:c>
      <x:c r="B7" s="23" t="inlineStr">
        <x:is>
          <x:t xml:space="preserve">Realizado</x:t>
        </x:is>
      </x:c>
      <x:c r="C7" s="29" t="n">
        <x:v>46084</x:v>
      </x:c>
      <x:c r="D7" s="23" t="inlineStr">
        <x:is>
          <x:t xml:space="preserve">RJ</x:t>
        </x:is>
      </x:c>
      <x:c r="E7" s="23" t="inlineStr">
        <x:is>
          <x:t xml:space="preserve">Rio de Janeiro</x:t>
        </x:is>
      </x:c>
      <x:c r="F7" s="23" t="inlineStr">
        <x:is>
          <x:t xml:space="preserve">Lançamento de programa</x:t>
        </x:is>
      </x:c>
      <x:c r="G7" s="23" t="inlineStr">
        <x:is>
          <x:t xml:space="preserve">Prefeitura do Rio / Secretaria Municipal de Esportes</x:t>
        </x:is>
      </x:c>
      <x:c r="H7" s="7" t="n">
        <x:v>500</x:v>
      </x:c>
      <x:c r="I7" s="23" t="inlineStr">
        <x:is>
          <x:t xml:space="preserve"/>
        </x:is>
      </x:c>
      <x:c r="J7" s="23" t="inlineStr">
        <x:is>
          <x:t xml:space="preserve">Vila Olímpica Apolinho</x:t>
        </x:is>
      </x:c>
      <x:c r="K7" s="8" t="n"/>
      <x:c r="L7" s="8" t="n"/>
      <x:c r="M7" s="23" t="inlineStr">
        <x:is>
          <x:t xml:space="preserve">https://esportes.prefeitura.rio/noticias/prefeitura-lanca-o-projeto-rio-capital-do-futebol-feminino/</x:t>
        </x:is>
      </x:c>
      <x:c r="N7" s="9" t="inlineStr">
        <x:is>
          <x:t xml:space="preserve"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x:t>
        </x:is>
      </x:c>
      <x:c r="O7" s="23" t="inlineStr">
        <x:is>
          <x:t xml:space="preserve">Mar</x:t>
        </x:is>
      </x:c>
      <x:c r="P7" s="23" t="n">
        <x:v>2026</x:v>
      </x:c>
    </x:row>
    <x:row r="8" s="1" customFormat="1" ht="71.25" customHeight="1">
      <x:c r="A8" s="23" t="inlineStr">
        <x:is>
          <x:t xml:space="preserve">EVT-0056</x:t>
        </x:is>
      </x:c>
      <x:c r="B8" s="23" t="inlineStr">
        <x:is>
          <x:t xml:space="preserve">Realizado</x:t>
        </x:is>
      </x:c>
      <x:c r="C8" s="29" t="n">
        <x:v>46088</x:v>
      </x:c>
      <x:c r="D8" s="23" t="inlineStr">
        <x:is>
          <x:t xml:space="preserve">RS</x:t>
        </x:is>
      </x:c>
      <x:c r="E8" s="23" t="inlineStr">
        <x:is>
          <x:t xml:space="preserve">Porto Alegre</x:t>
        </x:is>
      </x:c>
      <x:c r="F8" s="23" t="inlineStr">
        <x:is>
          <x:t xml:space="preserve">Vistoria técnica</x:t>
        </x:is>
      </x:c>
      <x:c r="G8" s="23" t="inlineStr">
        <x:is>
          <x:t xml:space="preserve">FIFA / Prefeitura de Porto Alegre / Secopa 2027</x:t>
        </x:is>
      </x:c>
      <x:c r="H8" s="7" t="n">
        <x:v>0</x:v>
      </x:c>
      <x:c r="I8" s="23" t="inlineStr">
        <x:is>
          <x:t xml:space="preserve"/>
        </x:is>
      </x:c>
      <x:c r="J8" s="23" t="inlineStr">
        <x:is>
          <x:t xml:space="preserve">Estádio Beira-Rio, campos do Sesc, Vila Ventura e Ulbra</x:t>
        </x:is>
      </x:c>
      <x:c r="K8" s="8" t="n"/>
      <x:c r="L8" s="8" t="n"/>
      <x:c r="M8" s="23" t="inlineStr">
        <x:is>
          <x:t xml:space="preserve">https://prefeitura.poa.br/secopa2027/noticias/copa-feminina-prefeitura-acompanha-vistoria-da-fifa-em-centros-de-treinamento</x:t>
        </x:is>
      </x:c>
      <x:c r="N8" s="9" t="inlineStr">
        <x:is>
          <x:t xml:space="preserve"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x:t>
        </x:is>
      </x:c>
      <x:c r="O8" s="23" t="inlineStr">
        <x:is>
          <x:t xml:space="preserve">Mar</x:t>
        </x:is>
      </x:c>
      <x:c r="P8" s="23" t="n">
        <x:v>2026</x:v>
      </x:c>
    </x:row>
    <x:row r="9" s="1" customFormat="1" ht="84" customHeight="1">
      <x:c r="A9" s="9" t="inlineStr">
        <x:is>
          <x:t xml:space="preserve">EVT-0027</x:t>
        </x:is>
      </x:c>
      <x:c r="B9" s="9" t="inlineStr">
        <x:is>
          <x:t xml:space="preserve">Realizado</x:t>
        </x:is>
      </x:c>
      <x:c r="C9" s="30" t="n">
        <x:v>46089</x:v>
      </x:c>
      <x:c r="D9" s="9" t="inlineStr">
        <x:is>
          <x:t xml:space="preserve">RS</x:t>
        </x:is>
      </x:c>
      <x:c r="E9" s="9" t="inlineStr">
        <x:is>
          <x:t xml:space="preserve">Porto Alegre</x:t>
        </x:is>
      </x:c>
      <x:c r="F9" s="9" t="inlineStr">
        <x:is>
          <x:t xml:space="preserve">Jogo comemorativo</x:t>
        </x:is>
      </x:c>
      <x:c r="G9" s="9" t="inlineStr">
        <x:is>
          <x:t xml:space="preserve">Prefeitura de Porto Alegre / Secopa 2027</x:t>
        </x:is>
      </x:c>
      <x:c r="H9" s="11" t="n">
        <x:v>0</x:v>
      </x:c>
      <x:c r="I9" s="9" t="inlineStr">
        <x:is>
          <x:t xml:space="preserve"/>
        </x:is>
      </x:c>
      <x:c r="J9" s="9" t="inlineStr">
        <x:is>
          <x:t xml:space="preserve">Quadra 20, Trecho 3 da Orla do Guaíba</x:t>
        </x:is>
      </x:c>
      <x:c r="K9" s="12" t="n"/>
      <x:c r="L9" s="12" t="n"/>
      <x:c r="M9" s="9" t="inlineStr">
        <x:is>
          <x:t xml:space="preserve">https://www.prefeitura.poa.br/secopa2027/noticias/gre-nal-feminino-pelo-dia-da-mulher-sera-no-trecho-3-da-orla-neste-domingo</x:t>
        </x:is>
      </x:c>
      <x:c r="N9" s="9" t="inlineStr">
        <x:is>
          <x:t xml:space="preserve"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x:t>
        </x:is>
      </x:c>
      <x:c r="O9" s="9" t="inlineStr">
        <x:is>
          <x:t xml:space="preserve">Mar</x:t>
        </x:is>
      </x:c>
      <x:c r="P9" s="9" t="n">
        <x:v>2026</x:v>
      </x:c>
    </x:row>
    <x:row r="10" s="1" customFormat="1" ht="99.75" customHeight="1">
      <x:c r="A10" s="9" t="inlineStr">
        <x:is>
          <x:t xml:space="preserve">EVT-0047</x:t>
        </x:is>
      </x:c>
      <x:c r="B10" s="9" t="inlineStr">
        <x:is>
          <x:t xml:space="preserve">Realizado</x:t>
        </x:is>
      </x:c>
      <x:c r="C10" s="30" t="n">
        <x:v>46091</x:v>
      </x:c>
      <x:c r="D10" s="9" t="inlineStr">
        <x:is>
          <x:t xml:space="preserve">DF</x:t>
        </x:is>
      </x:c>
      <x:c r="E10" s="9" t="inlineStr">
        <x:is>
          <x:t xml:space="preserve">Brasília</x:t>
        </x:is>
      </x:c>
      <x:c r="F10" s="9" t="inlineStr">
        <x:is>
          <x:t xml:space="preserve">Oficina estratégica</x:t>
        </x:is>
      </x:c>
      <x:c r="G10" s="9" t="inlineStr">
        <x:is>
          <x:t xml:space="preserve">GECOPA / Ministério do Esporte / Ministério da Gestão e da Inovação</x:t>
        </x:is>
      </x:c>
      <x:c r="H10" s="11" t="n">
        <x:v>0</x:v>
      </x:c>
      <x:c r="I10" s="9" t="inlineStr">
        <x:is>
          <x:t xml:space="preserve"/>
        </x:is>
      </x:c>
      <x:c r="J10" s="9" t="inlineStr">
        <x:is>
          <x:t xml:space="preserve">Local a definir</x:t>
        </x:is>
      </x:c>
      <x:c r="K10" s="12" t="n"/>
      <x:c r="L10" s="12" t="n"/>
      <x:c r="M10" s="9" t="inlineStr">
        <x:is>
          <x:t xml:space="preserve">https://www.gov.br/esporte/pt-br/noticias-e-conteudos/esporte/com-coordenacao-do-mesp-o-gecopa-comeca-a-tracar-primeiras-estrategias-e-desafios-para-a-copa-do-mundo-feminina-da-fifa-2027</x:t>
        </x:is>
      </x:c>
      <x:c r="N10" s="9" t="inlineStr">
        <x:is>
          <x:t xml:space="preserve"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x:t>
        </x:is>
      </x:c>
      <x:c r="O10" s="9" t="inlineStr">
        <x:is>
          <x:t xml:space="preserve">Mar</x:t>
        </x:is>
      </x:c>
      <x:c r="P10" s="9" t="n">
        <x:v>2026</x:v>
      </x:c>
    </x:row>
    <x:row r="11" s="1" customFormat="1" ht="71.25" customHeight="1">
      <x:c r="A11" s="9" t="inlineStr">
        <x:is>
          <x:t xml:space="preserve">EVT-0053</x:t>
        </x:is>
      </x:c>
      <x:c r="B11" s="9" t="inlineStr">
        <x:is>
          <x:t xml:space="preserve">Realizado</x:t>
        </x:is>
      </x:c>
      <x:c r="C11" s="30" t="n">
        <x:v>46109</x:v>
      </x:c>
      <x:c r="D11" s="9" t="inlineStr">
        <x:is>
          <x:t xml:space="preserve">CE</x:t>
        </x:is>
      </x:c>
      <x:c r="E11" s="9" t="inlineStr">
        <x:is>
          <x:t xml:space="preserve">Fortaleza</x:t>
        </x:is>
      </x:c>
      <x:c r="F11" s="9" t="inlineStr">
        <x:is>
          <x:t xml:space="preserve">Torneio de futebol feminino</x:t>
        </x:is>
      </x:c>
      <x:c r="G11" s="9" t="inlineStr">
        <x:is>
          <x:t xml:space="preserve">Prefeitura de Fortaleza / Secretaria Municipal do Esporte e Lazer</x:t>
        </x:is>
      </x:c>
      <x:c r="H11" s="11" t="n">
        <x:v>300</x:v>
      </x:c>
      <x:c r="I11" s="9" t="inlineStr">
        <x:is>
          <x:t xml:space="preserve"/>
        </x:is>
      </x:c>
      <x:c r="J11" s="9" t="inlineStr">
        <x:is>
          <x:t xml:space="preserve">Areninha do José Walter e Areninha Sargento Hermínio</x:t>
        </x:is>
      </x:c>
      <x:c r="K11" s="12" t="n"/>
      <x:c r="L11" s="12" t="n"/>
      <x:c r="M11" s="9" t="inlineStr">
        <x:is>
          <x:t xml:space="preserve">https://www.fortaleza.ce.gov.br/noticias/copa-feminina-guerreiras-do-sol-coloca-protagonismo-feminino-em-campo-nos-bairros-de-fortaleza</x:t>
        </x:is>
      </x:c>
      <x:c r="N11" s="9" t="inlineStr">
        <x:is>
          <x:t xml:space="preserve"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x:t>
        </x:is>
      </x:c>
      <x:c r="O11" s="9" t="inlineStr">
        <x:is>
          <x:t xml:space="preserve">Mar</x:t>
        </x:is>
      </x:c>
      <x:c r="P11" s="9" t="n">
        <x:v>2026</x:v>
      </x:c>
    </x:row>
    <x:row r="12" s="1" customFormat="1" ht="100.5" customHeight="1">
      <x:c r="A12" s="9" t="inlineStr">
        <x:is>
          <x:t xml:space="preserve">EVT-0060</x:t>
        </x:is>
      </x:c>
      <x:c r="B12" s="9" t="inlineStr">
        <x:is>
          <x:t xml:space="preserve">Realizado</x:t>
        </x:is>
      </x:c>
      <x:c r="C12" s="30" t="n">
        <x:v>46126</x:v>
      </x:c>
      <x:c r="D12" s="9" t="inlineStr">
        <x:is>
          <x:t xml:space="preserve">BR</x:t>
        </x:is>
      </x:c>
      <x:c r="E12" s="9" t="inlineStr">
        <x:is>
          <x:t xml:space="preserve">Local a definir</x:t>
        </x:is>
      </x:c>
      <x:c r="F12" s="9" t="inlineStr">
        <x:is>
          <x:t xml:space="preserve">Reunião estratégica</x:t>
        </x:is>
      </x:c>
      <x:c r="G12" s="9" t="inlineStr">
        <x:is>
          <x:t xml:space="preserve">Secopa27 / Ministério do Esporte / Secom / EBC / Embratur / MRE</x:t>
        </x:is>
      </x:c>
      <x:c r="H12" s="11" t="n">
        <x:v>0</x:v>
      </x:c>
      <x:c r="I12" s="9" t="inlineStr">
        <x:is>
          <x:t xml:space="preserve"/>
        </x:is>
      </x:c>
      <x:c r="J12" s="9" t="inlineStr">
        <x:is>
          <x:t xml:space="preserve">Local a definir</x:t>
        </x:is>
      </x:c>
      <x:c r="K12" s="12" t="n"/>
      <x:c r="L12" s="12" t="n"/>
      <x:c r="M12" s="9" t="inlineStr">
        <x:is>
          <x:t xml:space="preserve">https://rncp.ebc.com.br/noticias/geral/ebc-e-esporte-iniciam-articulacao-para-copa-do-mundo-feminina-2027</x:t>
        </x:is>
      </x:c>
      <x:c r="N12" s="9" t="inlineStr">
        <x:is>
          <x:t xml:space="preserve"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x:t>
        </x:is>
      </x:c>
      <x:c r="O12" s="9" t="inlineStr">
        <x:is>
          <x:t xml:space="preserve">Abr</x:t>
        </x:is>
      </x:c>
      <x:c r="P12" s="9" t="n">
        <x:v>2026</x:v>
      </x:c>
    </x:row>
    <x:row r="13">
      <x:c r="A13" s="23" t="inlineStr">
        <x:is>
          <x:t xml:space="preserve">EVT-0028</x:t>
        </x:is>
      </x:c>
      <x:c r="B13" s="23" t="inlineStr">
        <x:is>
          <x:t xml:space="preserve">Realizado</x:t>
        </x:is>
      </x:c>
      <x:c r="C13" s="29" t="n">
        <x:v>46127</x:v>
      </x:c>
      <x:c r="D13" s="23" t="inlineStr">
        <x:is>
          <x:t xml:space="preserve">RS</x:t>
        </x:is>
      </x:c>
      <x:c r="E13" s="23" t="inlineStr">
        <x:is>
          <x:t xml:space="preserve">Porto Alegre</x:t>
        </x:is>
      </x:c>
      <x:c r="F13" s="23" t="inlineStr">
        <x:is>
          <x:t xml:space="preserve">Premiação</x:t>
        </x:is>
      </x:c>
      <x:c r="G13" s="23" t="inlineStr">
        <x:is>
          <x:t xml:space="preserve">Prefeitura de Porto Alegre / Secopa 2027</x:t>
        </x:is>
      </x:c>
      <x:c r="H13" s="7" t="n">
        <x:v>0</x:v>
      </x:c>
      <x:c r="I13" s="23" t="inlineStr">
        <x:is>
          <x:t xml:space="preserve"/>
        </x:is>
      </x:c>
      <x:c r="J13" s="23" t="inlineStr">
        <x:is>
          <x:t xml:space="preserve">Teatro Túlio Piva</x:t>
        </x:is>
      </x:c>
      <x:c r="K13" s="8" t="n"/>
      <x:c r="L13" s="8" t="n"/>
      <x:c r="M13" s="23" t="inlineStr">
        <x:is>
          <x:t xml:space="preserve">https://prefeitura.poa.br/secopa2027/noticias/premio-elas-no-campo-sera-entregue-nesta-quarta-feira-na-capital</x:t>
        </x:is>
      </x:c>
      <x:c r="N13" s="23" t="inlineStr">
        <x:is>
          <x:t xml:space="preserve">Cerimônia do Prêmio Elas no Campo realizada em 15/04/2026 para reconhecer atletas, treinadoras, profissionais, projetos sociais e pioneiras do futebol feminino. A iniciativa integrou a programação de Porto Alegre como cidade-sede e as ações de legado da Copa 2027.</x:t>
        </x:is>
      </x:c>
      <x:c r="O13" s="23" t="inlineStr">
        <x:is>
          <x:t xml:space="preserve">Abr</x:t>
        </x:is>
      </x:c>
      <x:c r="P13" s="23" t="n">
        <x:v>2026</x:v>
      </x:c>
    </x:row>
    <x:row r="14">
      <x:c r="A14" s="23" t="inlineStr">
        <x:is>
          <x:t xml:space="preserve">EVT-0057</x:t>
        </x:is>
      </x:c>
      <x:c r="B14" s="23" t="inlineStr">
        <x:is>
          <x:t xml:space="preserve">Realizado</x:t>
        </x:is>
      </x:c>
      <x:c r="C14" s="29" t="n">
        <x:v>46135</x:v>
      </x:c>
      <x:c r="D14" s="23" t="inlineStr">
        <x:is>
          <x:t xml:space="preserve">RS</x:t>
        </x:is>
      </x:c>
      <x:c r="E14" s="23" t="inlineStr">
        <x:is>
          <x:t xml:space="preserve">Porto Alegre</x:t>
        </x:is>
      </x:c>
      <x:c r="F14" s="23" t="inlineStr">
        <x:is>
          <x:t xml:space="preserve">Reunião de trabalho</x:t>
        </x:is>
      </x:c>
      <x:c r="G14" s="23" t="inlineStr">
        <x:is>
          <x:t xml:space="preserve">Prefeitura de Porto Alegre / FIFA / Governo Federal</x:t>
        </x:is>
      </x:c>
      <x:c r="H14" s="7" t="n">
        <x:v>0</x:v>
      </x:c>
      <x:c r="I14" s="23" t="inlineStr">
        <x:is>
          <x:t xml:space="preserve"/>
        </x:is>
      </x:c>
      <x:c r="J14" s="23" t="inlineStr">
        <x:is>
          <x:t xml:space="preserve">SmartLab do Centro Administrativo Municipal</x:t>
        </x:is>
      </x:c>
      <x:c r="K14" s="8" t="n"/>
      <x:c r="L14" s="8" t="n"/>
      <x:c r="M14" s="23" t="inlineStr">
        <x:is>
          <x:t xml:space="preserve">https://prefeitura.poa.br/secopa2027/noticias/copa-feminina-prefeitura-recebe-representantes-do-governo-federal-e-da-fifa</x:t>
        </x:is>
      </x:c>
      <x:c r="N14" s="23" t="inlineStr">
        <x:is>
          <x:t xml:space="preserve"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x:t>
        </x:is>
      </x:c>
      <x:c r="O14" s="23" t="inlineStr">
        <x:is>
          <x:t xml:space="preserve">Abr</x:t>
        </x:is>
      </x:c>
      <x:c r="P14" s="23" t="n">
        <x:v>2026</x:v>
      </x:c>
    </x:row>
    <x:row r="15">
      <x:c r="A15" s="23" t="inlineStr">
        <x:is>
          <x:t xml:space="preserve">EVT-0049</x:t>
        </x:is>
      </x:c>
      <x:c r="B15" s="23" t="inlineStr">
        <x:is>
          <x:t xml:space="preserve">Realizado</x:t>
        </x:is>
      </x:c>
      <x:c r="C15" s="29" t="n">
        <x:v>46136</x:v>
      </x:c>
      <x:c r="D15" s="23" t="inlineStr">
        <x:is>
          <x:t xml:space="preserve">RS</x:t>
        </x:is>
      </x:c>
      <x:c r="E15" s="23" t="inlineStr">
        <x:is>
          <x:t xml:space="preserve">Porto Alegre</x:t>
        </x:is>
      </x:c>
      <x:c r="F15" s="23" t="inlineStr">
        <x:is>
          <x:t xml:space="preserve">Visita técnica</x:t>
        </x:is>
      </x:c>
      <x:c r="G15" s="23" t="inlineStr">
        <x:is>
          <x:t xml:space="preserve">Ministério do Esporte / Governo do Rio Grande do Sul / Prefeitura de Porto Alegre</x:t>
        </x:is>
      </x:c>
      <x:c r="H15" s="7" t="n">
        <x:v>0</x:v>
      </x:c>
      <x:c r="I15" s="23" t="inlineStr">
        <x:is>
          <x:t xml:space="preserve"/>
        </x:is>
      </x:c>
      <x:c r="J15" s="23" t="inlineStr">
        <x:is>
          <x:t xml:space="preserve">Estádio Beira-Rio</x:t>
        </x:is>
      </x:c>
      <x:c r="K15" s="8" t="n"/>
      <x:c r="L15" s="8" t="n"/>
      <x:c r="M15" s="23" t="inlineStr">
        <x:is>
          <x:t xml:space="preserve">https://www.gov.br/esporte/pt-br/noticias-e-conteudos/esporte/ministerio-do-esporte-inicia-visitas-tecnicas-aos-estadios-da-copa-do-mundo-feminina-2027</x:t>
        </x:is>
      </x:c>
      <x:c r="N15" s="23" t="inlineStr">
        <x:is>
          <x:t xml:space="preserve">Visita técnica realizada em 24/04/2026 ao Estádio Beira-Rio para a preparação da Copa Feminina 2027. Porto Alegre abriu o ciclo de vistorias do Ministério do Esporte aos estádios das oito cidades-sede.</x:t>
        </x:is>
      </x:c>
      <x:c r="O15" s="23" t="inlineStr">
        <x:is>
          <x:t xml:space="preserve">Abr</x:t>
        </x:is>
      </x:c>
      <x:c r="P15" s="23" t="n">
        <x:v>2026</x:v>
      </x:c>
    </x:row>
    <x:row r="16">
      <x:c r="A16" s="23" t="inlineStr">
        <x:is>
          <x:t xml:space="preserve">EVT-0066</x:t>
        </x:is>
      </x:c>
      <x:c r="B16" s="23" t="inlineStr">
        <x:is>
          <x:t xml:space="preserve">Realizado</x:t>
        </x:is>
      </x:c>
      <x:c r="C16" s="29" t="n">
        <x:v>46140</x:v>
      </x:c>
      <x:c r="D16" s="23" t="inlineStr">
        <x:is>
          <x:t xml:space="preserve">BR</x:t>
        </x:is>
      </x:c>
      <x:c r="E16" s="23" t="inlineStr">
        <x:is>
          <x:t xml:space="preserve">Local a definir</x:t>
        </x:is>
      </x:c>
      <x:c r="F16" s="23" t="inlineStr">
        <x:is>
          <x:t xml:space="preserve">Consulta pública nacional</x:t>
        </x:is>
      </x:c>
      <x:c r="G16" s="23" t="inlineStr">
        <x:is>
          <x:t xml:space="preserve">Ministério do Esporte / Governo Federal</x:t>
        </x:is>
      </x:c>
      <x:c r="H16" s="7" t="n">
        <x:v>0</x:v>
      </x:c>
      <x:c r="I16" s="23" t="inlineStr">
        <x:is>
          <x:t xml:space="preserve"/>
        </x:is>
      </x:c>
      <x:c r="J16" s="23" t="inlineStr">
        <x:is>
          <x:t xml:space="preserve">Plataforma Brasil Participativo</x:t>
        </x:is>
      </x:c>
      <x:c r="K16" s="8" t="n"/>
      <x:c r="L16" s="8" t="n"/>
      <x:c r="M16" s="23" t="inlineStr">
        <x:is>
          <x:t xml:space="preserve">https://www.gov.br/esporte/pt-br/noticias-e-conteudos/esporte/ministerio-do-esporte-abre-consulta-publica-para-construir-legado-da-copa-feminina-2027</x:t>
        </x:is>
      </x:c>
      <x:c r="N16" s="23" t="inlineStr">
        <x:is>
          <x:t xml:space="preserve"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x:t>
        </x:is>
      </x:c>
      <x:c r="O16" s="23" t="inlineStr">
        <x:is>
          <x:t xml:space="preserve">Abr</x:t>
        </x:is>
      </x:c>
      <x:c r="P16" s="23" t="n">
        <x:v>2026</x:v>
      </x:c>
    </x:row>
    <x:row r="17">
      <x:c r="A17" s="23" t="inlineStr">
        <x:is>
          <x:t xml:space="preserve">EVT-0037</x:t>
        </x:is>
      </x:c>
      <x:c r="B17" s="23" t="inlineStr">
        <x:is>
          <x:t xml:space="preserve">Realizado</x:t>
        </x:is>
      </x:c>
      <x:c r="C17" s="29" t="n">
        <x:v>46141</x:v>
      </x:c>
      <x:c r="D17" s="23" t="inlineStr">
        <x:is>
          <x:t xml:space="preserve">PE</x:t>
        </x:is>
      </x:c>
      <x:c r="E17" s="23" t="inlineStr">
        <x:is>
          <x:t xml:space="preserve">Recife</x:t>
        </x:is>
      </x:c>
      <x:c r="F17" s="23" t="inlineStr">
        <x:is>
          <x:t xml:space="preserve">Reunião e visita técnica</x:t>
        </x:is>
      </x:c>
      <x:c r="G17" s="23" t="inlineStr">
        <x:is>
          <x:t xml:space="preserve">Prefeitura do Recife / FIFA</x:t>
        </x:is>
      </x:c>
      <x:c r="H17" s="7" t="n">
        <x:v>0</x:v>
      </x:c>
      <x:c r="I17" s="23" t="inlineStr">
        <x:is>
          <x:t xml:space="preserve"/>
        </x:is>
      </x:c>
      <x:c r="J17" s="23" t="inlineStr">
        <x:is>
          <x:t xml:space="preserve">Arena de Pernambuco e Bairro do Recife</x:t>
        </x:is>
      </x:c>
      <x:c r="K17" s="8" t="n"/>
      <x:c r="L17" s="8" t="n"/>
      <x:c r="M17" s="23" t="inlineStr">
        <x:is>
          <x:t xml:space="preserve">https://www2.recife.pe.gov.br/noticias/29/04/2026/recife-apresenta-planejamento-para-copa-do-mundo-feminina-da-fifa-2027</x:t>
        </x:is>
      </x:c>
      <x:c r="N17" s="23" t="inlineStr">
        <x:is>
          <x:t xml:space="preserve"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x:t>
        </x:is>
      </x:c>
      <x:c r="O17" s="23" t="inlineStr">
        <x:is>
          <x:t xml:space="preserve">Abr</x:t>
        </x:is>
      </x:c>
      <x:c r="P17" s="23" t="n">
        <x:v>2026</x:v>
      </x:c>
    </x:row>
    <x:row r="18">
      <x:c r="A18" s="23" t="inlineStr">
        <x:is>
          <x:t xml:space="preserve">EVT-0050</x:t>
        </x:is>
      </x:c>
      <x:c r="B18" s="23" t="inlineStr">
        <x:is>
          <x:t xml:space="preserve">Realizado</x:t>
        </x:is>
      </x:c>
      <x:c r="C18" s="29" t="n">
        <x:v>46147</x:v>
      </x:c>
      <x:c r="D18" s="23" t="inlineStr">
        <x:is>
          <x:t xml:space="preserve">SP</x:t>
        </x:is>
      </x:c>
      <x:c r="E18" s="23" t="inlineStr">
        <x:is>
          <x:t xml:space="preserve">São Paulo</x:t>
        </x:is>
      </x:c>
      <x:c r="F18" s="23" t="inlineStr">
        <x:is>
          <x:t xml:space="preserve">Visita técnica e reunião de legado</x:t>
        </x:is>
      </x:c>
      <x:c r="G18" s="23" t="inlineStr">
        <x:is>
          <x:t xml:space="preserve">Ministério do Esporte / Governo de São Paulo / Prefeitura de São Paulo</x:t>
        </x:is>
      </x:c>
      <x:c r="H18" s="7" t="n">
        <x:v>0</x:v>
      </x:c>
      <x:c r="I18" s="23" t="inlineStr">
        <x:is>
          <x:t xml:space="preserve"/>
        </x:is>
      </x:c>
      <x:c r="J18" s="23" t="inlineStr">
        <x:is>
          <x:t xml:space="preserve">Arena Itaquera e Museu do Futebol</x:t>
        </x:is>
      </x:c>
      <x:c r="K18" s="8" t="n"/>
      <x:c r="L18" s="8" t="n"/>
      <x:c r="M18" s="23" t="inlineStr">
        <x:is>
          <x:t xml:space="preserve">https://www.gov.br/esporte/pt-br/noticias-e-conteudos/esporte/arena-itaquera-recebe-ministerio-do-esporte-em-preparacao-para-a-copa-do-mundo-feminina-de-2027</x:t>
        </x:is>
      </x:c>
      <x:c r="N18" s="23" t="inlineStr">
        <x:is>
          <x:t xml:space="preserve">Agenda realizada em 05/05/2026 com visita técnica à Arena Itaquera para avaliar a infraestrutura da sede paulista e reunião no Museu do Futebol sobre ações de formação, memória e valorização da história do futebol feminino como legado da Copa 2027.</x:t>
        </x:is>
      </x:c>
      <x:c r="O18" s="23" t="inlineStr">
        <x:is>
          <x:t xml:space="preserve">Mai</x:t>
        </x:is>
      </x:c>
      <x:c r="P18" s="23" t="n">
        <x:v>2026</x:v>
      </x:c>
    </x:row>
    <x:row r="19">
      <x:c r="A19" s="23" t="inlineStr">
        <x:is>
          <x:t xml:space="preserve">EVT-0043</x:t>
        </x:is>
      </x:c>
      <x:c r="B19" s="23" t="inlineStr">
        <x:is>
          <x:t xml:space="preserve">Realizado</x:t>
        </x:is>
      </x:c>
      <x:c r="C19" s="29" t="n">
        <x:v>46149</x:v>
      </x:c>
      <x:c r="D19" s="23" t="inlineStr">
        <x:is>
          <x:t xml:space="preserve">RJ</x:t>
        </x:is>
      </x:c>
      <x:c r="E19" s="23" t="inlineStr">
        <x:is>
          <x:t xml:space="preserve">Rio de Janeiro</x:t>
        </x:is>
      </x:c>
      <x:c r="F19" s="23" t="inlineStr">
        <x:is>
          <x:t xml:space="preserve">Reunião técnica</x:t>
        </x:is>
      </x:c>
      <x:c r="G19" s="23" t="inlineStr">
        <x:is>
          <x:t xml:space="preserve">Prefeitura do Rio / FIFA / Governo Federal</x:t>
        </x:is>
      </x:c>
      <x:c r="H19" s="7" t="n">
        <x:v>0</x:v>
      </x:c>
      <x:c r="I19" s="23" t="inlineStr">
        <x:is>
          <x:t xml:space="preserve"/>
        </x:is>
      </x:c>
      <x:c r="J19" s="23" t="inlineStr">
        <x:is>
          <x:t xml:space="preserve">Centro de Operações e Resiliência do Rio</x:t>
        </x:is>
      </x:c>
      <x:c r="K19" s="8" t="n"/>
      <x:c r="L19" s="8" t="n"/>
      <x:c r="M19" s="23" t="inlineStr">
        <x:is>
          <x:t xml:space="preserve">https://prefeitura.rio/casa-civil/prefeitura-do-rio-recebe-visita-tecnica-de-delegacoes-da-fifa-e-do-governo-federal/</x:t>
        </x:is>
      </x:c>
      <x:c r="N19" s="23" t="inlineStr">
        <x:is>
          <x:t xml:space="preserve">Reunião técnica realizada em 07/05/2026 com Prefeitura do Rio, FIFA, Secopa federal e representantes de órgãos federais e estaduais. A cidade apresentou a governança do comitê local e o planejamento operacional para receber os jogos da Copa Feminina 2027 no Maracanã.</x:t>
        </x:is>
      </x:c>
      <x:c r="O19" s="23" t="inlineStr">
        <x:is>
          <x:t xml:space="preserve">Mai</x:t>
        </x:is>
      </x:c>
      <x:c r="P19" s="23" t="n">
        <x:v>2026</x:v>
      </x:c>
    </x:row>
    <x:row r="20">
      <x:c r="A20" s="23" t="inlineStr">
        <x:is>
          <x:t xml:space="preserve">EVT-0033</x:t>
        </x:is>
      </x:c>
      <x:c r="B20" s="23" t="inlineStr">
        <x:is>
          <x:t xml:space="preserve">Realizado</x:t>
        </x:is>
      </x:c>
      <x:c r="C20" s="29" t="n">
        <x:v>46150</x:v>
      </x:c>
      <x:c r="D20" s="23" t="inlineStr">
        <x:is>
          <x:t xml:space="preserve">CE</x:t>
        </x:is>
      </x:c>
      <x:c r="E20" s="23" t="inlineStr">
        <x:is>
          <x:t xml:space="preserve">Fortaleza</x:t>
        </x:is>
      </x:c>
      <x:c r="F20" s="23" t="inlineStr">
        <x:is>
          <x:t xml:space="preserve">Painel</x:t>
        </x:is>
      </x:c>
      <x:c r="G20" s="23" t="inlineStr">
        <x:is>
          <x:t xml:space="preserve">Ministério do Turismo / Prefeitura de Belo Horizonte / Belotur</x:t>
        </x:is>
      </x:c>
      <x:c r="H20" s="7" t="n">
        <x:v>0</x:v>
      </x:c>
      <x:c r="I20" s="23" t="inlineStr">
        <x:is>
          <x:t xml:space="preserve"/>
        </x:is>
      </x:c>
      <x:c r="J20" s="23" t="inlineStr">
        <x:is>
          <x:t xml:space="preserve">Centro de Eventos do Ceará</x:t>
        </x:is>
      </x:c>
      <x:c r="K20" s="8" t="n"/>
      <x:c r="L20" s="8" t="n"/>
      <x:c r="M20" s="23" t="inlineStr">
        <x:is>
          <x:t xml:space="preserve">https://prefeitura.pbh.gov.br/noticias/belo-horizonte-tera-destaque-na-programacao-do-salao-nacional-do-turismo</x:t>
        </x:is>
      </x:c>
      <x:c r="N20" s="23" t="inlineStr">
        <x:is>
          <x:t xml:space="preserve">Mesa “Preparativos para a Copa do Mundo de Futebol Feminino 2027”, realizada em 08/05/2026 durante o Salão Nacional do Turismo. Belo Horizonte apresentou ativos, projetos e estratégias de turismo vinculados à preparação da cidade-sede para o Mundial.</x:t>
        </x:is>
      </x:c>
      <x:c r="O20" s="23" t="inlineStr">
        <x:is>
          <x:t xml:space="preserve">Mai</x:t>
        </x:is>
      </x:c>
      <x:c r="P20" s="23" t="n">
        <x:v>2026</x:v>
      </x:c>
    </x:row>
    <x:row r="21">
      <x:c r="A21" s="23" t="inlineStr">
        <x:is>
          <x:t xml:space="preserve">EVT-0034</x:t>
        </x:is>
      </x:c>
      <x:c r="B21" s="23" t="inlineStr">
        <x:is>
          <x:t xml:space="preserve">Realizado</x:t>
        </x:is>
      </x:c>
      <x:c r="C21" s="29" t="n">
        <x:v>46153</x:v>
      </x:c>
      <x:c r="D21" s="23" t="inlineStr">
        <x:is>
          <x:t xml:space="preserve">MG</x:t>
        </x:is>
      </x:c>
      <x:c r="E21" s="23" t="inlineStr">
        <x:is>
          <x:t xml:space="preserve">Belo Horizonte</x:t>
        </x:is>
      </x:c>
      <x:c r="F21" s="23" t="inlineStr">
        <x:is>
          <x:t xml:space="preserve">Reunião e visita técnica</x:t>
        </x:is>
      </x:c>
      <x:c r="G21" s="23" t="inlineStr">
        <x:is>
          <x:t xml:space="preserve">Prefeitura de Belo Horizonte / FIFA / Ministério do Esporte / Governo de Minas Gerais</x:t>
        </x:is>
      </x:c>
      <x:c r="H21" s="7" t="n">
        <x:v>0</x:v>
      </x:c>
      <x:c r="I21" s="23" t="inlineStr">
        <x:is>
          <x:t xml:space="preserve"/>
        </x:is>
      </x:c>
      <x:c r="J21" s="23" t="inlineStr">
        <x:is>
          <x:t xml:space="preserve">Mineirão</x:t>
        </x:is>
      </x:c>
      <x:c r="K21" s="8" t="n"/>
      <x:c r="L21" s="8" t="n"/>
      <x:c r="M21" s="23" t="inlineStr">
        <x:is>
          <x:t xml:space="preserve">https://prefeitura.pbh.gov.br/noticias/pbh-recebe-comitiva-da-fifa-e-ministerio-dos-esportes-como-preparacao-para-copa-feminina</x:t>
        </x:is>
      </x:c>
      <x:c r="N21" s="23" t="inlineStr">
        <x:is>
          <x:t xml:space="preserve"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x:t>
        </x:is>
      </x:c>
      <x:c r="O21" s="23" t="inlineStr">
        <x:is>
          <x:t xml:space="preserve">Mai</x:t>
        </x:is>
      </x:c>
      <x:c r="P21" s="23" t="n">
        <x:v>2026</x:v>
      </x:c>
    </x:row>
    <x:row r="22">
      <x:c r="A22" s="23" t="inlineStr">
        <x:is>
          <x:t xml:space="preserve">EVT-0026</x:t>
        </x:is>
      </x:c>
      <x:c r="B22" s="23" t="inlineStr">
        <x:is>
          <x:t xml:space="preserve">Realizado</x:t>
        </x:is>
      </x:c>
      <x:c r="C22" s="29" t="n">
        <x:v>46155</x:v>
      </x:c>
      <x:c r="D22" s="23" t="inlineStr">
        <x:is>
          <x:t xml:space="preserve">RS</x:t>
        </x:is>
      </x:c>
      <x:c r="E22" s="23" t="inlineStr">
        <x:is>
          <x:t xml:space="preserve">Porto Alegre</x:t>
        </x:is>
      </x:c>
      <x:c r="F22" s="23" t="inlineStr">
        <x:is>
          <x:t xml:space="preserve">Consulta pública</x:t>
        </x:is>
      </x:c>
      <x:c r="G22" s="23" t="inlineStr">
        <x:is>
          <x:t xml:space="preserve">Prefeitura de Porto Alegre / Secopa 2027</x:t>
        </x:is>
      </x:c>
      <x:c r="H22" s="7" t="n">
        <x:v>0</x:v>
      </x:c>
      <x:c r="I22" s="23" t="inlineStr">
        <x:is>
          <x:t xml:space="preserve"/>
        </x:is>
      </x:c>
      <x:c r="J22" s="23" t="inlineStr">
        <x:is>
          <x:t xml:space="preserve">Espaço SmartLab do Centro Administrativo Municipal</x:t>
        </x:is>
      </x:c>
      <x:c r="K22" s="8" t="n"/>
      <x:c r="L22" s="8" t="n"/>
      <x:c r="M22" s="23" t="inlineStr">
        <x:is>
          <x:t xml:space="preserve">https://prefeitura.poa.br/secopa2027/noticias/consulta-publica-debate-o-legado-da-copa-do-mundo-de-futebol-feminino-em-porto</x:t>
        </x:is>
      </x:c>
      <x:c r="N22" s="23" t="inlineStr">
        <x:is>
          <x:t xml:space="preserve"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x:t>
        </x:is>
      </x:c>
      <x:c r="O22" s="23" t="inlineStr">
        <x:is>
          <x:t xml:space="preserve">Mai</x:t>
        </x:is>
      </x:c>
      <x:c r="P22" s="23" t="n">
        <x:v>2026</x:v>
      </x:c>
    </x:row>
    <x:row r="23">
      <x:c r="A23" s="23" t="inlineStr">
        <x:is>
          <x:t xml:space="preserve">EVT-0045</x:t>
        </x:is>
      </x:c>
      <x:c r="B23" s="23" t="inlineStr">
        <x:is>
          <x:t xml:space="preserve">Realizado</x:t>
        </x:is>
      </x:c>
      <x:c r="C23" s="29" t="n">
        <x:v>46155</x:v>
      </x:c>
      <x:c r="D23" s="23" t="inlineStr">
        <x:is>
          <x:t xml:space="preserve">BA</x:t>
        </x:is>
      </x:c>
      <x:c r="E23" s="23" t="inlineStr">
        <x:is>
          <x:t xml:space="preserve">Salvador</x:t>
        </x:is>
      </x:c>
      <x:c r="F23" s="23" t="inlineStr">
        <x:is>
          <x:t xml:space="preserve">Reunião técnica</x:t>
        </x:is>
      </x:c>
      <x:c r="G23" s="23" t="inlineStr">
        <x:is>
          <x:t xml:space="preserve">Prefeitura de Salvador / FIFA / Governo Federal</x:t>
        </x:is>
      </x:c>
      <x:c r="H23" s="7" t="n">
        <x:v>0</x:v>
      </x:c>
      <x:c r="I23" s="23" t="inlineStr">
        <x:is>
          <x:t xml:space="preserve"/>
        </x:is>
      </x:c>
      <x:c r="J23" s="23" t="inlineStr">
        <x:is>
          <x:t xml:space="preserve">Arena Fonte Nova</x:t>
        </x:is>
      </x:c>
      <x:c r="K23" s="8" t="n"/>
      <x:c r="L23" s="8" t="n"/>
      <x:c r="M23" s="23" t="inlineStr">
        <x:is>
          <x:t xml:space="preserve">https://salvador.ba.gov.br/prefeitura-apresenta-estrategias-para-copa-do-mundo-feminina-em-salvador-durante-encontro-com-a-fifa/</x:t>
        </x:is>
      </x:c>
      <x:c r="N23" s="23" t="inlineStr">
        <x:is>
          <x:t xml:space="preserve"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x:t>
        </x:is>
      </x:c>
      <x:c r="O23" s="23" t="inlineStr">
        <x:is>
          <x:t xml:space="preserve">Mai</x:t>
        </x:is>
      </x:c>
      <x:c r="P23" s="23" t="n">
        <x:v>2026</x:v>
      </x:c>
    </x:row>
    <x:row r="24">
      <x:c r="A24" s="23" t="inlineStr">
        <x:is>
          <x:t xml:space="preserve">EVT-0058</x:t>
        </x:is>
      </x:c>
      <x:c r="B24" s="23" t="inlineStr">
        <x:is>
          <x:t xml:space="preserve">Realizado</x:t>
        </x:is>
      </x:c>
      <x:c r="C24" s="29" t="n">
        <x:v>46155</x:v>
      </x:c>
      <x:c r="D24" s="23" t="inlineStr">
        <x:is>
          <x:t xml:space="preserve">CE</x:t>
        </x:is>
      </x:c>
      <x:c r="E24" s="23" t="inlineStr">
        <x:is>
          <x:t xml:space="preserve">Fortaleza</x:t>
        </x:is>
      </x:c>
      <x:c r="F24" s="23" t="inlineStr">
        <x:is>
          <x:t xml:space="preserve">Reunião de planejamento</x:t>
        </x:is>
      </x:c>
      <x:c r="G24" s="23" t="inlineStr">
        <x:is>
          <x:t xml:space="preserve">Prefeitura de Fortaleza / FIFA</x:t>
        </x:is>
      </x:c>
      <x:c r="H24" s="7" t="n">
        <x:v>0</x:v>
      </x:c>
      <x:c r="I24" s="23" t="inlineStr">
        <x:is>
          <x:t xml:space="preserve"/>
        </x:is>
      </x:c>
      <x:c r="J24" s="23" t="inlineStr">
        <x:is>
          <x:t xml:space="preserve">Paço Municipal</x:t>
        </x:is>
      </x:c>
      <x:c r="K24" s="8" t="n"/>
      <x:c r="L24" s="8" t="n"/>
      <x:c r="M24" s="23" t="inlineStr">
        <x:is>
          <x:t xml:space="preserve">https://www.fortaleza.ce.gov.br/noticias/prefeitura-de-fortaleza-recebe-representantes-da-fifa-para-planejamento-da-copa-do-mundo-feminina-de-2027</x:t>
        </x:is>
      </x:c>
      <x:c r="N24" s="23" t="inlineStr">
        <x:is>
          <x:t xml:space="preserve"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x:t>
        </x:is>
      </x:c>
      <x:c r="O24" s="23" t="inlineStr">
        <x:is>
          <x:t xml:space="preserve">Mai</x:t>
        </x:is>
      </x:c>
      <x:c r="P24" s="23" t="n">
        <x:v>2026</x:v>
      </x:c>
    </x:row>
    <x:row r="25">
      <x:c r="A25" s="23" t="inlineStr">
        <x:is>
          <x:t xml:space="preserve">EVT-0032</x:t>
        </x:is>
      </x:c>
      <x:c r="B25" s="23" t="inlineStr">
        <x:is>
          <x:t xml:space="preserve">Realizado</x:t>
        </x:is>
      </x:c>
      <x:c r="C25" s="29" t="n">
        <x:v>46160</x:v>
      </x:c>
      <x:c r="D25" s="23" t="inlineStr">
        <x:is>
          <x:t xml:space="preserve">CE</x:t>
        </x:is>
      </x:c>
      <x:c r="E25" s="23" t="inlineStr">
        <x:is>
          <x:t xml:space="preserve">Fortaleza</x:t>
        </x:is>
      </x:c>
      <x:c r="F25" s="23" t="inlineStr">
        <x:is>
          <x:t xml:space="preserve">Visita técnica</x:t>
        </x:is>
      </x:c>
      <x:c r="G25" s="23" t="inlineStr">
        <x:is>
          <x:t xml:space="preserve">Ministério do Esporte / Governo do Ceará / MPCE</x:t>
        </x:is>
      </x:c>
      <x:c r="H25" s="7" t="n">
        <x:v>0</x:v>
      </x:c>
      <x:c r="I25" s="23" t="inlineStr">
        <x:is>
          <x:t xml:space="preserve"/>
        </x:is>
      </x:c>
      <x:c r="J25" s="23" t="inlineStr">
        <x:is>
          <x:t xml:space="preserve">Arena Castelão</x:t>
        </x:is>
      </x:c>
      <x:c r="K25" s="8" t="n"/>
      <x:c r="L25" s="8" t="n"/>
      <x:c r="M25" s="23" t="inlineStr">
        <x:is>
          <x:t xml:space="preserve">https://mpce.mp.br/mp-do-ceara-acompanha-visita-tecnica-de-comitiva-do-ministerio-do-esporte-a-arena-castelao-em-preparacao-para-os-jogos-da-copa-do-mundo-feminina-2027/</x:t>
        </x:is>
      </x:c>
      <x:c r="N25" s="23" t="inlineStr">
        <x:is>
          <x:t xml:space="preserve"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x:t>
        </x:is>
      </x:c>
      <x:c r="O25" s="23" t="inlineStr">
        <x:is>
          <x:t xml:space="preserve">Mai</x:t>
        </x:is>
      </x:c>
      <x:c r="P25" s="23" t="n">
        <x:v>2026</x:v>
      </x:c>
    </x:row>
    <x:row r="26">
      <x:c r="A26" s="23" t="inlineStr">
        <x:is>
          <x:t xml:space="preserve">EVT-0059</x:t>
        </x:is>
      </x:c>
      <x:c r="B26" s="23" t="inlineStr">
        <x:is>
          <x:t xml:space="preserve">Realizado</x:t>
        </x:is>
      </x:c>
      <x:c r="C26" s="29" t="n">
        <x:v>46160</x:v>
      </x:c>
      <x:c r="D26" s="23" t="inlineStr">
        <x:is>
          <x:t xml:space="preserve">CE</x:t>
        </x:is>
      </x:c>
      <x:c r="E26" s="23" t="inlineStr">
        <x:is>
          <x:t xml:space="preserve">Fortaleza</x:t>
        </x:is>
      </x:c>
      <x:c r="F26" s="23" t="inlineStr">
        <x:is>
          <x:t xml:space="preserve">Reunião e visita técnica</x:t>
        </x:is>
      </x:c>
      <x:c r="G26" s="23" t="inlineStr">
        <x:is>
          <x:t xml:space="preserve">Prefeitura de Fortaleza / Governo do Ceará / Governo Federal / FIFA</x:t>
        </x:is>
      </x:c>
      <x:c r="H26" s="7" t="n">
        <x:v>0</x:v>
      </x:c>
      <x:c r="I26" s="23" t="inlineStr">
        <x:is>
          <x:t xml:space="preserve"/>
        </x:is>
      </x:c>
      <x:c r="J26" s="23" t="inlineStr">
        <x:is>
          <x:t xml:space="preserve">Paço Municipal, Arena Castelão e Aterro da Praia de Iracema</x:t>
        </x:is>
      </x:c>
      <x:c r="K26" s="8" t="n"/>
      <x:c r="L26" s="8" t="n"/>
      <x:c r="M26" s="23" t="inlineStr">
        <x:is>
          <x:t xml:space="preserve">https://www.fortaleza.ce.gov.br/noticias/fortaleza-recebe-comitivas-da-fifa-governo-federal-e-governo-do-estado-para-alinhamento-da-copa-do-mundo-feminina-de-2027</x:t>
        </x:is>
      </x:c>
      <x:c r="N26" s="23" t="inlineStr">
        <x:is>
          <x:t xml:space="preserve">Agenda realizada em 18/05/2026 para alinhar a preparação de Fortaleza como cidade-sede da Copa Feminina 2027. Após reunião no Paço Municipal, a comitiva vistoriou a Arena Castelão e visitou o Aterro da Praia de Iracema, área prevista para receber a FIFA Fan Fest.</x:t>
        </x:is>
      </x:c>
      <x:c r="O26" s="23" t="inlineStr">
        <x:is>
          <x:t xml:space="preserve">Mai</x:t>
        </x:is>
      </x:c>
      <x:c r="P26" s="23" t="n">
        <x:v>2026</x:v>
      </x:c>
    </x:row>
    <x:row r="27">
      <x:c r="A27" s="23" t="inlineStr">
        <x:is>
          <x:t xml:space="preserve">EVT-0048</x:t>
        </x:is>
      </x:c>
      <x:c r="B27" s="23" t="inlineStr">
        <x:is>
          <x:t xml:space="preserve">Realizado</x:t>
        </x:is>
      </x:c>
      <x:c r="C27" s="29" t="n">
        <x:v>46162</x:v>
      </x:c>
      <x:c r="D27" s="23" t="inlineStr">
        <x:is>
          <x:t xml:space="preserve">DF</x:t>
        </x:is>
      </x:c>
      <x:c r="E27" s="23" t="inlineStr">
        <x:is>
          <x:t xml:space="preserve">Brasília</x:t>
        </x:is>
      </x:c>
      <x:c r="F27" s="23" t="inlineStr">
        <x:is>
          <x:t xml:space="preserve">Reunião e visita técnica</x:t>
        </x:is>
      </x:c>
      <x:c r="G27" s="23" t="inlineStr">
        <x:is>
          <x:t xml:space="preserve">Ministério do Esporte / FIFA / Governo do Distrito Federal</x:t>
        </x:is>
      </x:c>
      <x:c r="H27" s="7" t="n">
        <x:v>0</x:v>
      </x:c>
      <x:c r="I27" s="23" t="inlineStr">
        <x:is>
          <x:t xml:space="preserve"/>
        </x:is>
      </x:c>
      <x:c r="J27" s="23" t="inlineStr">
        <x:is>
          <x:t xml:space="preserve">Ministério do Esporte e Estádio Nacional Mané Garrincha</x:t>
        </x:is>
      </x:c>
      <x:c r="K27" s="8" t="n"/>
      <x:c r="L27" s="8" t="n"/>
      <x:c r="M27" s="23" t="inlineStr">
        <x:is>
          <x:t xml:space="preserve">https://www.gov.br/esporte/pt-br/noticias-e-conteudos/esporte/ultima-cidade-a-receber-visita-tecnica-brasilia-avanca-no-planejamento-para-a-copa-do-mundo-de-futebol-feminino-2027</x:t>
        </x:is>
      </x:c>
      <x:c r="N27" s="23" t="inlineStr">
        <x:is>
          <x:t xml:space="preserve"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x:t>
        </x:is>
      </x:c>
      <x:c r="O27" s="23" t="inlineStr">
        <x:is>
          <x:t xml:space="preserve">Mai</x:t>
        </x:is>
      </x:c>
      <x:c r="P27" s="23" t="n">
        <x:v>2026</x:v>
      </x:c>
    </x:row>
    <x:row r="28">
      <x:c r="A28" s="23" t="inlineStr">
        <x:is>
          <x:t xml:space="preserve">EVT-0038</x:t>
        </x:is>
      </x:c>
      <x:c r="B28" s="23" t="inlineStr">
        <x:is>
          <x:t xml:space="preserve">Realizado</x:t>
        </x:is>
      </x:c>
      <x:c r="C28" s="29" t="n">
        <x:v>46167</x:v>
      </x:c>
      <x:c r="D28" s="23" t="inlineStr">
        <x:is>
          <x:t xml:space="preserve">SP</x:t>
        </x:is>
      </x:c>
      <x:c r="E28" s="23" t="inlineStr">
        <x:is>
          <x:t xml:space="preserve">São Paulo</x:t>
        </x:is>
      </x:c>
      <x:c r="F28" s="23" t="inlineStr">
        <x:is>
          <x:t xml:space="preserve">Encontro e painéis</x:t>
        </x:is>
      </x:c>
      <x:c r="G28" s="23" t="inlineStr">
        <x:is>
          <x:t xml:space="preserve">Prefeitura de São Paulo / Secretaria Municipal de Turismo</x:t>
        </x:is>
      </x:c>
      <x:c r="H28" s="7" t="n">
        <x:v>0</x:v>
      </x:c>
      <x:c r="I28" s="23" t="inlineStr">
        <x:is>
          <x:t xml:space="preserve"/>
        </x:is>
      </x:c>
      <x:c r="J28" s="23" t="inlineStr">
        <x:is>
          <x:t xml:space="preserve">Praça das Artes</x:t>
        </x:is>
      </x:c>
      <x:c r="K28" s="8" t="n"/>
      <x:c r="L28" s="8" t="n"/>
      <x:c r="M28" s="23" t="inlineStr">
        <x:is>
          <x:t xml:space="preserve">https://prefeitura.sp.gov.br/web/turismo/w/prefeitura-de-s%C3%A3o-paulo-promove-encontro-sobre-futebol-feminino-e-copa-do-mundo</x:t>
        </x:is>
      </x:c>
      <x:c r="N28" s="23" t="inlineStr">
        <x:is>
          <x:t xml:space="preserve">Evento Mulheres em Campo, realizado em 25/05/2026, com mesas sobre transformação social, impactos da Copa Feminina 2027 no turismo e nos eventos, além de infraestrutura, mobilidade, inclusão e legado para São Paulo.</x:t>
        </x:is>
      </x:c>
      <x:c r="O28" s="23" t="inlineStr">
        <x:is>
          <x:t xml:space="preserve">Mai</x:t>
        </x:is>
      </x:c>
      <x:c r="P28" s="23" t="n">
        <x:v>2026</x:v>
      </x:c>
    </x:row>
    <x:row r="29">
      <x:c r="A29" s="23" t="inlineStr">
        <x:is>
          <x:t xml:space="preserve">EVT-0075</x:t>
        </x:is>
      </x:c>
      <x:c r="B29" s="23" t="inlineStr">
        <x:is>
          <x:t xml:space="preserve">Realizado</x:t>
        </x:is>
      </x:c>
      <x:c r="C29" s="29" t="n">
        <x:v>46175</x:v>
      </x:c>
      <x:c r="D29" s="23" t="inlineStr">
        <x:is>
          <x:t xml:space="preserve">BA</x:t>
        </x:is>
      </x:c>
      <x:c r="E29" s="23" t="inlineStr">
        <x:is>
          <x:t xml:space="preserve">Local a definir</x:t>
        </x:is>
      </x:c>
      <x:c r="F29" s="23" t="inlineStr">
        <x:is>
          <x:t xml:space="preserve">Planejamento de mobilidade</x:t>
        </x:is>
      </x:c>
      <x:c r="G29" s="23" t="inlineStr">
        <x:is>
          <x:t xml:space="preserve">Governo da Bahia / Sedur</x:t>
        </x:is>
      </x:c>
      <x:c r="H29" s="7" t="n">
        <x:v>0</x:v>
      </x:c>
      <x:c r="I29" s="23" t="inlineStr">
        <x:is>
          <x:t xml:space="preserve"/>
        </x:is>
      </x:c>
      <x:c r="J29" s="23" t="inlineStr">
        <x:is>
          <x:t xml:space="preserve">Local a definir</x:t>
        </x:is>
      </x:c>
      <x:c r="K29" s="8" t="n"/>
      <x:c r="L29" s="8" t="n"/>
      <x:c r="M29" s="23" t="inlineStr">
        <x:is>
          <x:t xml:space="preserve">https://www.ba.gov.br/sedur/noticias/2026-06/12398/sedur-participa-do-planejamento-da-copa-do-mundo-feminina-fifa-2027-e</x:t>
        </x:is>
      </x:c>
      <x:c r="N29" s="23" t="inlineStr">
        <x:is>
          <x:t xml:space="preserve"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x:t>
        </x:is>
      </x:c>
      <x:c r="O29" s="23" t="inlineStr">
        <x:is>
          <x:t xml:space="preserve">Jun</x:t>
        </x:is>
      </x:c>
      <x:c r="P29" s="23" t="n">
        <x:v>2026</x:v>
      </x:c>
    </x:row>
    <x:row r="30">
      <x:c r="A30" s="23" t="inlineStr">
        <x:is>
          <x:t xml:space="preserve">EVT-0078</x:t>
        </x:is>
      </x:c>
      <x:c r="B30" s="23" t="inlineStr">
        <x:is>
          <x:t xml:space="preserve">Realizado</x:t>
        </x:is>
      </x:c>
      <x:c r="C30" s="29" t="n">
        <x:v>46176</x:v>
      </x:c>
      <x:c r="D30" s="23" t="inlineStr">
        <x:is>
          <x:t xml:space="preserve">PB</x:t>
        </x:is>
      </x:c>
      <x:c r="E30" s="23" t="inlineStr">
        <x:is>
          <x:t xml:space="preserve">João Pessoa</x:t>
        </x:is>
      </x:c>
      <x:c r="F30" s="23" t="inlineStr">
        <x:is>
          <x:t xml:space="preserve">Painel</x:t>
        </x:is>
      </x:c>
      <x:c r="G30" s="23" t="inlineStr">
        <x:is>
          <x:t xml:space="preserve">Ministério do Turismo / ONU Turismo</x:t>
        </x:is>
      </x:c>
      <x:c r="H30" s="7" t="n">
        <x:v>0</x:v>
      </x:c>
      <x:c r="I30" s="23" t="inlineStr">
        <x:is>
          <x:t xml:space="preserve"/>
        </x:is>
      </x:c>
      <x:c r="J30" s="23" t="inlineStr">
        <x:is>
          <x:t xml:space="preserve">Centro de Convenções de João Pessoa</x:t>
        </x:is>
      </x:c>
      <x:c r="K30" s="8" t="n"/>
      <x:c r="L30" s="8" t="n"/>
      <x:c r="M30" s="23" t="inlineStr">
        <x:is>
          <x:t xml:space="preserve">https://brasil61.com/n/copa-feminina-de-2027-e-vista-como-oportunidade-para-ampliar-direitos-e-abrir-espacos-para-mulheres-mtur260027</x:t>
        </x:is>
      </x:c>
      <x:c r="N30" s="23" t="inlineStr">
        <x:is>
          <x:t xml:space="preserve"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x:t>
        </x:is>
      </x:c>
      <x:c r="O30" s="23" t="inlineStr">
        <x:is>
          <x:t xml:space="preserve">Jun</x:t>
        </x:is>
      </x:c>
      <x:c r="P30" s="23" t="n">
        <x:v>2026</x:v>
      </x:c>
    </x:row>
    <x:row r="31">
      <x:c r="A31" s="23" t="inlineStr">
        <x:is>
          <x:t xml:space="preserve">EVT-0079</x:t>
        </x:is>
      </x:c>
      <x:c r="B31" s="23" t="inlineStr">
        <x:is>
          <x:t xml:space="preserve">Realizado</x:t>
        </x:is>
      </x:c>
      <x:c r="C31" s="29" t="n">
        <x:v>46182</x:v>
      </x:c>
      <x:c r="D31" s="23" t="inlineStr">
        <x:is>
          <x:t xml:space="preserve">CE</x:t>
        </x:is>
      </x:c>
      <x:c r="E31" s="23" t="inlineStr">
        <x:is>
          <x:t xml:space="preserve">Fortaleza</x:t>
        </x:is>
      </x:c>
      <x:c r="F31" s="23" t="inlineStr">
        <x:is>
          <x:t xml:space="preserve">Amistoso da Seleção</x:t>
        </x:is>
      </x:c>
      <x:c r="G31" s="23" t="inlineStr">
        <x:is>
          <x:t xml:space="preserve">CBF / Seleção Brasileira Feminina</x:t>
        </x:is>
      </x:c>
      <x:c r="H31" s="7" t="n">
        <x:v>55744</x:v>
      </x:c>
      <x:c r="I31" s="23" t="inlineStr">
        <x:is>
          <x:t xml:space="preserve"/>
        </x:is>
      </x:c>
      <x:c r="J31" s="23" t="inlineStr">
        <x:is>
          <x:t xml:space="preserve">Arena Castelão</x:t>
        </x:is>
      </x:c>
      <x:c r="K31" s="8" t="n"/>
      <x:c r="L31" s="8" t="n"/>
      <x:c r="M31" s="23" t="inlineStr">
        <x:is>
          <x:t xml:space="preserve">https://www.fortaleza.ce.gov.br/noticias/fortaleza-recebe-amistoso-entre-brasil-e-estados-unidos-e-registra-maior-publico-do-futebol-feminino-no-nordeste</x:t>
        </x:is>
      </x:c>
      <x:c r="N31" s="23" t="inlineStr">
        <x:is>
          <x:t xml:space="preserve"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x:t>
        </x:is>
      </x:c>
      <x:c r="O31" s="23" t="inlineStr">
        <x:is>
          <x:t xml:space="preserve">Jun</x:t>
        </x:is>
      </x:c>
      <x:c r="P31" s="23" t="n">
        <x:v>2026</x:v>
      </x:c>
    </x:row>
    <x:row r="32">
      <x:c r="A32" s="23" t="inlineStr">
        <x:is>
          <x:t xml:space="preserve">EVT-0061</x:t>
        </x:is>
      </x:c>
      <x:c r="B32" s="23" t="inlineStr">
        <x:is>
          <x:t xml:space="preserve">Realizado</x:t>
        </x:is>
      </x:c>
      <x:c r="C32" s="29" t="n">
        <x:v>46183</x:v>
      </x:c>
      <x:c r="D32" s="23" t="inlineStr">
        <x:is>
          <x:t xml:space="preserve">BR</x:t>
        </x:is>
      </x:c>
      <x:c r="E32" s="23" t="inlineStr">
        <x:is>
          <x:t xml:space="preserve">Local a definir</x:t>
        </x:is>
      </x:c>
      <x:c r="F32" s="23" t="inlineStr">
        <x:is>
          <x:t xml:space="preserve">Reunião estratégica</x:t>
        </x:is>
      </x:c>
      <x:c r="G32" s="23" t="inlineStr">
        <x:is>
          <x:t xml:space="preserve">Ministério do Esporte / Secom PR</x:t>
        </x:is>
      </x:c>
      <x:c r="H32" s="7" t="n">
        <x:v>0</x:v>
      </x:c>
      <x:c r="I32" s="23" t="inlineStr">
        <x:is>
          <x:t xml:space="preserve"/>
        </x:is>
      </x:c>
      <x:c r="J32" s="23" t="inlineStr">
        <x:is>
          <x:t xml:space="preserve">Local a definir</x:t>
        </x:is>
      </x:c>
      <x:c r="K32" s="8" t="n"/>
      <x:c r="L32" s="8" t="n"/>
      <x:c r="M32" s="23" t="inlineStr">
        <x:is>
          <x:t xml:space="preserve">https://www.gov.br/esporte/pt-br/noticias-e-conteudos/esporte/ministerio-do-esporte-e-secom-pr-alinham-estrategias-de-comunicacao-para-a-copa-feminina-2027</x:t>
        </x:is>
      </x:c>
      <x:c r="N32" s="23" t="inlineStr">
        <x:is>
          <x:t xml:space="preserve"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x:t>
        </x:is>
      </x:c>
      <x:c r="O32" s="23" t="inlineStr">
        <x:is>
          <x:t xml:space="preserve">Jun</x:t>
        </x:is>
      </x:c>
      <x:c r="P32" s="23" t="n">
        <x:v>2026</x:v>
      </x:c>
    </x:row>
    <x:row r="33">
      <x:c r="A33" s="23" t="inlineStr">
        <x:is>
          <x:t xml:space="preserve">EVT-0067</x:t>
        </x:is>
      </x:c>
      <x:c r="B33" s="23" t="inlineStr">
        <x:is>
          <x:t xml:space="preserve">Realizado</x:t>
        </x:is>
      </x:c>
      <x:c r="C33" s="29" t="n">
        <x:v>46185</x:v>
      </x:c>
      <x:c r="D33" s="23" t="inlineStr">
        <x:is>
          <x:t xml:space="preserve">PE</x:t>
        </x:is>
      </x:c>
      <x:c r="E33" s="23" t="inlineStr">
        <x:is>
          <x:t xml:space="preserve">Recife</x:t>
        </x:is>
      </x:c>
      <x:c r="F33" s="23" t="inlineStr">
        <x:is>
          <x:t xml:space="preserve">Ativação cultural e esportiva</x:t>
        </x:is>
      </x:c>
      <x:c r="G33" s="23" t="inlineStr">
        <x:is>
          <x:t xml:space="preserve">Prefeitura do Recife / Recentro / Paço do Frevo</x:t>
        </x:is>
      </x:c>
      <x:c r="H33" s="7" t="n">
        <x:v>0</x:v>
      </x:c>
      <x:c r="I33" s="23" t="inlineStr">
        <x:is>
          <x:t xml:space="preserve"/>
        </x:is>
      </x:c>
      <x:c r="J33" s="23" t="inlineStr">
        <x:is>
          <x:t xml:space="preserve">Rua Barão Rodrigues Mendes — Rua do Frevo</x:t>
        </x:is>
      </x:c>
      <x:c r="K33" s="8" t="n"/>
      <x:c r="L33" s="8" t="n"/>
      <x:c r="M33" s="23" t="inlineStr">
        <x:is>
          <x:t xml:space="preserve">https://www2.recife.pe.gov.br/noticias/10/06/2026/recentro-promove-acao-na-rua-do-frevo-unindo-copa-do-mundo-e-o-periodo-junino</x:t>
        </x:is>
      </x:c>
      <x:c r="N33" s="23" t="inlineStr">
        <x:is>
          <x:t xml:space="preserve"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x:t>
        </x:is>
      </x:c>
      <x:c r="O33" s="23" t="inlineStr">
        <x:is>
          <x:t xml:space="preserve">Jun</x:t>
        </x:is>
      </x:c>
      <x:c r="P33" s="23" t="n">
        <x:v>2026</x:v>
      </x:c>
    </x:row>
    <x:row r="34">
      <x:c r="A34" s="23" t="inlineStr">
        <x:is>
          <x:t xml:space="preserve">EVT-0029</x:t>
        </x:is>
      </x:c>
      <x:c r="B34" s="23" t="inlineStr">
        <x:is>
          <x:t xml:space="preserve">Realizado</x:t>
        </x:is>
      </x:c>
      <x:c r="C34" s="29" t="n">
        <x:v>46197</x:v>
      </x:c>
      <x:c r="D34" s="23" t="inlineStr">
        <x:is>
          <x:t xml:space="preserve">RS</x:t>
        </x:is>
      </x:c>
      <x:c r="E34" s="23" t="inlineStr">
        <x:is>
          <x:t xml:space="preserve">Porto Alegre</x:t>
        </x:is>
      </x:c>
      <x:c r="F34" s="23" t="inlineStr">
        <x:is>
          <x:t xml:space="preserve">Ativação urbana</x:t>
        </x:is>
      </x:c>
      <x:c r="G34" s="23" t="inlineStr">
        <x:is>
          <x:t xml:space="preserve">Prefeitura de Porto Alegre / Secopa 2027</x:t>
        </x:is>
      </x:c>
      <x:c r="H34" s="7" t="n">
        <x:v>0</x:v>
      </x:c>
      <x:c r="I34" s="23" t="inlineStr">
        <x:is>
          <x:t xml:space="preserve"/>
        </x:is>
      </x:c>
      <x:c r="J34" s="23" t="inlineStr">
        <x:is>
          <x:t xml:space="preserve">Diversos espaços públicos, museus de Grêmio e Internacional e escolas municipais</x:t>
        </x:is>
      </x:c>
      <x:c r="K34" s="8" t="n"/>
      <x:c r="L34" s="8" t="n"/>
      <x:c r="M34" s="23" t="inlineStr">
        <x:is>
          <x:t xml:space="preserve">https://www.prefeitura.poa.br/secopa2027/noticias/porto-alegre-entra-na-contagem-regressiva-de-um-ano-para-copa-do-mundo-feminina</x:t>
        </x:is>
      </x:c>
      <x:c r="N34" s="23" t="inlineStr">
        <x:is>
          <x:t xml:space="preserve">Ativação de 24/06/2026 para marcar um ano até a Copa Feminina 2027, com iluminação de prédios e espaços públicos, visitas gratuitas aos museus de Grêmio e Internacional e ações educativas sobre a história do futebol feminino em escolas municipais.</x:t>
        </x:is>
      </x:c>
      <x:c r="O34" s="23" t="inlineStr">
        <x:is>
          <x:t xml:space="preserve">Jun</x:t>
        </x:is>
      </x:c>
      <x:c r="P34" s="23" t="n">
        <x:v>2026</x:v>
      </x:c>
    </x:row>
    <x:row r="35">
      <x:c r="A35" s="23" t="inlineStr">
        <x:is>
          <x:t xml:space="preserve">EVT-0031</x:t>
        </x:is>
      </x:c>
      <x:c r="B35" s="23" t="inlineStr">
        <x:is>
          <x:t xml:space="preserve">Realizado</x:t>
        </x:is>
      </x:c>
      <x:c r="C35" s="29" t="n">
        <x:v>46197</x:v>
      </x:c>
      <x:c r="D35" s="23" t="inlineStr">
        <x:is>
          <x:t xml:space="preserve">RJ</x:t>
        </x:is>
      </x:c>
      <x:c r="E35" s="23" t="inlineStr">
        <x:is>
          <x:t xml:space="preserve">Rio de Janeiro</x:t>
        </x:is>
      </x:c>
      <x:c r="F35" s="23" t="inlineStr">
        <x:is>
          <x:t xml:space="preserve">Ativação urbana</x:t>
        </x:is>
      </x:c>
      <x:c r="G35" s="23" t="inlineStr">
        <x:is>
          <x:t xml:space="preserve">FIFA / Santuário Cristo Redentor</x:t>
        </x:is>
      </x:c>
      <x:c r="H35" s="7" t="n">
        <x:v>0</x:v>
      </x:c>
      <x:c r="I35" s="23" t="inlineStr">
        <x:is>
          <x:t xml:space="preserve"/>
        </x:is>
      </x:c>
      <x:c r="J35" s="23" t="inlineStr">
        <x:is>
          <x:t xml:space="preserve">Cristo Redentor</x:t>
        </x:is>
      </x:c>
      <x:c r="K35" s="8" t="n"/>
      <x:c r="L35" s="8" t="n"/>
      <x:c r="M35" s="23" t="inlineStr">
        <x:is>
          <x:t xml:space="preserve">https://blog.paineirascorcovado.com.br/2026/06/25/copa-do-mundo-feminina-2027-cristo-redentor/</x:t>
        </x:is>
      </x:c>
      <x:c r="N35" s="23" t="inlineStr">
        <x:is>
          <x:t xml:space="preserve">Ativação realizada na noite de 24/06/2026 para marcar um ano até a abertura da Copa Feminina 2027, com iluminação do Cristo Redentor em verde e amarelo e projeções temáticas sobre o torneio.</x:t>
        </x:is>
      </x:c>
      <x:c r="O35" s="23" t="inlineStr">
        <x:is>
          <x:t xml:space="preserve">Jun</x:t>
        </x:is>
      </x:c>
      <x:c r="P35" s="23" t="n">
        <x:v>2026</x:v>
      </x:c>
    </x:row>
    <x:row r="36">
      <x:c r="A36" s="23" t="inlineStr">
        <x:is>
          <x:t xml:space="preserve">EVT-0035</x:t>
        </x:is>
      </x:c>
      <x:c r="B36" s="23" t="inlineStr">
        <x:is>
          <x:t xml:space="preserve">Realizado</x:t>
        </x:is>
      </x:c>
      <x:c r="C36" s="29" t="n">
        <x:v>46197</x:v>
      </x:c>
      <x:c r="D36" s="23" t="inlineStr">
        <x:is>
          <x:t xml:space="preserve">BA</x:t>
        </x:is>
      </x:c>
      <x:c r="E36" s="23" t="inlineStr">
        <x:is>
          <x:t xml:space="preserve">Salvador</x:t>
        </x:is>
      </x:c>
      <x:c r="F36" s="23" t="inlineStr">
        <x:is>
          <x:t xml:space="preserve">Ativação urbana</x:t>
        </x:is>
      </x:c>
      <x:c r="G36" s="23" t="inlineStr">
        <x:is>
          <x:t xml:space="preserve">Prefeitura de Salvador</x:t>
        </x:is>
      </x:c>
      <x:c r="H36" s="7" t="n">
        <x:v>0</x:v>
      </x:c>
      <x:c r="I36" s="23" t="inlineStr">
        <x:is>
          <x:t xml:space="preserve"/>
        </x:is>
      </x:c>
      <x:c r="J36" s="23" t="inlineStr">
        <x:is>
          <x:t xml:space="preserve">Monumento à Cidade do Salvador, Arcos da Montanha, Bambuzal do Aeroporto, estações do BRT, Casa do Olodum e sede da Prefeitura</x:t>
        </x:is>
      </x:c>
      <x:c r="K36" s="8" t="n"/>
      <x:c r="L36" s="8" t="n"/>
      <x:c r="M36" s="23" t="inlineStr">
        <x:is>
          <x:t xml:space="preserve">https://salvador.ba.gov.br/salvador-celebra-marco-de-um-ano-para-a-copa-do-mundo-feminina-com-iluminacao-especial-em-monumentos-da-cidade/</x:t>
        </x:is>
      </x:c>
      <x:c r="N36" s="23" t="inlineStr">
        <x:is>
          <x:t xml:space="preserve">Ativação realizada em 24/06/2026 para marcar um ano até a Copa Feminina 2027, com iluminação verde, amarela e azul em monumentos, equipamentos públicos, estações do BRT, Casa do Olodum e sede da Prefeitura.</x:t>
        </x:is>
      </x:c>
      <x:c r="O36" s="23" t="inlineStr">
        <x:is>
          <x:t xml:space="preserve">Jun</x:t>
        </x:is>
      </x:c>
      <x:c r="P36" s="23" t="n">
        <x:v>2026</x:v>
      </x:c>
    </x:row>
    <x:row r="37">
      <x:c r="A37" s="23" t="inlineStr">
        <x:is>
          <x:t xml:space="preserve">EVT-0040</x:t>
        </x:is>
      </x:c>
      <x:c r="B37" s="23" t="inlineStr">
        <x:is>
          <x:t xml:space="preserve">Realizado</x:t>
        </x:is>
      </x:c>
      <x:c r="C37" s="29" t="n">
        <x:v>46197</x:v>
      </x:c>
      <x:c r="D37" s="23" t="inlineStr">
        <x:is>
          <x:t xml:space="preserve">CE</x:t>
        </x:is>
      </x:c>
      <x:c r="E37" s="23" t="inlineStr">
        <x:is>
          <x:t xml:space="preserve">Fortaleza</x:t>
        </x:is>
      </x:c>
      <x:c r="F37" s="23" t="inlineStr">
        <x:is>
          <x:t xml:space="preserve">Ativação urbana</x:t>
        </x:is>
      </x:c>
      <x:c r="G37" s="23" t="inlineStr">
        <x:is>
          <x:t xml:space="preserve">Prefeitura de Fortaleza</x:t>
        </x:is>
      </x:c>
      <x:c r="H37" s="7" t="n">
        <x:v>0</x:v>
      </x:c>
      <x:c r="I37" s="23" t="inlineStr">
        <x:is>
          <x:t xml:space="preserve"/>
        </x:is>
      </x:c>
      <x:c r="J37" s="23" t="inlineStr">
        <x:is>
          <x:t xml:space="preserve">Paço Municipal, Ponte dos Ingleses e Arena Castelão</x:t>
        </x:is>
      </x:c>
      <x:c r="K37" s="8" t="n"/>
      <x:c r="L37" s="8" t="n"/>
      <x:c r="M37" s="23" t="inlineStr">
        <x:is>
          <x:t xml:space="preserve">https://www.fortaleza.ce.gov.br/noticias/fortaleza-inicia-contagem-regressiva-de-um-ano-para-a-copa-do-mundo-feminina-da-fifa-brasil-2027</x:t>
        </x:is>
      </x:c>
      <x:c r="N37" s="23" t="inlineStr">
        <x:is>
          <x:t xml:space="preserve">Ativação realizada em 24/06/2026 para marcar um ano até a Copa Feminina 2027, com iluminação do Paço Municipal, da Ponte dos Ingleses e da Arena Castelão nas cores do Brasil. A ação integrou a mobilização local e a promoção do futebol feminino.</x:t>
        </x:is>
      </x:c>
      <x:c r="O37" s="23" t="inlineStr">
        <x:is>
          <x:t xml:space="preserve">Jun</x:t>
        </x:is>
      </x:c>
      <x:c r="P37" s="23" t="n">
        <x:v>2026</x:v>
      </x:c>
    </x:row>
    <x:row r="38">
      <x:c r="A38" s="23" t="inlineStr">
        <x:is>
          <x:t xml:space="preserve">EVT-0041</x:t>
        </x:is>
      </x:c>
      <x:c r="B38" s="23" t="inlineStr">
        <x:is>
          <x:t xml:space="preserve">Realizado</x:t>
        </x:is>
      </x:c>
      <x:c r="C38" s="29" t="n">
        <x:v>46197</x:v>
      </x:c>
      <x:c r="D38" s="23" t="inlineStr">
        <x:is>
          <x:t xml:space="preserve">PE</x:t>
        </x:is>
      </x:c>
      <x:c r="E38" s="23" t="inlineStr">
        <x:is>
          <x:t xml:space="preserve">Recife</x:t>
        </x:is>
      </x:c>
      <x:c r="F38" s="23" t="inlineStr">
        <x:is>
          <x:t xml:space="preserve">Ativação urbana</x:t>
        </x:is>
      </x:c>
      <x:c r="G38" s="23" t="inlineStr">
        <x:is>
          <x:t xml:space="preserve">Prefeitura do Recife</x:t>
        </x:is>
      </x:c>
      <x:c r="H38" s="7" t="n">
        <x:v>0</x:v>
      </x:c>
      <x:c r="I38" s="23" t="inlineStr">
        <x:is>
          <x:t xml:space="preserve"/>
        </x:is>
      </x:c>
      <x:c r="J38" s="23" t="inlineStr">
        <x:is>
          <x:t xml:space="preserve">Boulevard da Rio Branco, pontes, monumentos e polos do São João</x:t>
        </x:is>
      </x:c>
      <x:c r="K38" s="8" t="n"/>
      <x:c r="L38" s="8" t="n"/>
      <x:c r="M38" s="23" t="inlineStr">
        <x:is>
          <x:t xml:space="preserve">https://www2.recife.pe.gov.br/noticias/23/06/2026/recife-comeca-contagem-regressiva-para-copa-do-mundo-feminina-da-fifatm</x:t>
        </x:is>
      </x:c>
      <x:c r="N38" s="23" t="inlineStr">
        <x:is>
          <x:t xml:space="preserve">Ação realizada em 24/06/2026 para marcar um ano até a Copa Feminina 2027. Incluiu participação da personagem Méry Cristina no arraial do Boulevard da Rio Branco, iluminação verde e amarela de pontes e monumentos e mensagens sobre o Mundial nos polos do São João.</x:t>
        </x:is>
      </x:c>
      <x:c r="O38" s="23" t="inlineStr">
        <x:is>
          <x:t xml:space="preserve">Jun</x:t>
        </x:is>
      </x:c>
      <x:c r="P38" s="23" t="n">
        <x:v>2026</x:v>
      </x:c>
    </x:row>
    <x:row r="39">
      <x:c r="A39" s="23" t="inlineStr">
        <x:is>
          <x:t xml:space="preserve">EVT-0042</x:t>
        </x:is>
      </x:c>
      <x:c r="B39" s="23" t="inlineStr">
        <x:is>
          <x:t xml:space="preserve">Realizado</x:t>
        </x:is>
      </x:c>
      <x:c r="C39" s="29" t="n">
        <x:v>46197</x:v>
      </x:c>
      <x:c r="D39" s="23" t="inlineStr">
        <x:is>
          <x:t xml:space="preserve">DF</x:t>
        </x:is>
      </x:c>
      <x:c r="E39" s="23" t="inlineStr">
        <x:is>
          <x:t xml:space="preserve">Brasília</x:t>
        </x:is>
      </x:c>
      <x:c r="F39" s="23" t="inlineStr">
        <x:is>
          <x:t xml:space="preserve">Ativação educativa</x:t>
        </x:is>
      </x:c>
      <x:c r="G39" s="23" t="inlineStr">
        <x:is>
          <x:t xml:space="preserve">FIFA / Governo Federal / Governo do Distrito Federal</x:t>
        </x:is>
      </x:c>
      <x:c r="H39" s="7" t="n">
        <x:v>700</x:v>
      </x:c>
      <x:c r="I39" s="23" t="inlineStr">
        <x:is>
          <x:t xml:space="preserve"/>
        </x:is>
      </x:c>
      <x:c r="J39" s="23" t="inlineStr">
        <x:is>
          <x:t xml:space="preserve">Estádio Nacional Mané Garrincha, Parque da Cidade e Rodoviária do Plano Piloto</x:t>
        </x:is>
      </x:c>
      <x:c r="K39" s="8" t="n"/>
      <x:c r="L39" s="8" t="n"/>
      <x:c r="M39" s="23" t="inlineStr">
        <x:is>
          <x:t xml:space="preserve">https://agenciabrasil.ebc.com.br/esportes/noticia/2026-06/brasilia-inicia-contagem-regressiva-de-1-ano-da-copa-do-mundo-feminina</x:t>
        </x:is>
      </x:c>
      <x:c r="N39" s="23" t="inlineStr">
        <x:is>
          <x:t xml:space="preserve">Ativação realizada em 24/06/2026 para marcar um ano até a Copa Feminina 2027. Mais de 700 estudantes dos centros olímpicos do DF visitaram o Mané Garrincha, participaram de pinturas coletivas no Parque da Cidade e de atividades de futebol na Rodoviária do Plano Piloto.</x:t>
        </x:is>
      </x:c>
      <x:c r="O39" s="23" t="inlineStr">
        <x:is>
          <x:t xml:space="preserve">Jun</x:t>
        </x:is>
      </x:c>
      <x:c r="P39" s="23" t="n">
        <x:v>2026</x:v>
      </x:c>
    </x:row>
    <x:row r="40">
      <x:c r="A40" s="23" t="inlineStr">
        <x:is>
          <x:t xml:space="preserve">EVT-0052</x:t>
        </x:is>
      </x:c>
      <x:c r="B40" s="23" t="inlineStr">
        <x:is>
          <x:t xml:space="preserve">Realizado</x:t>
        </x:is>
      </x:c>
      <x:c r="C40" s="29" t="n">
        <x:v>46197</x:v>
      </x:c>
      <x:c r="D40" s="23" t="inlineStr">
        <x:is>
          <x:t xml:space="preserve">RJ</x:t>
        </x:is>
      </x:c>
      <x:c r="E40" s="23" t="inlineStr">
        <x:is>
          <x:t xml:space="preserve">Rio de Janeiro</x:t>
        </x:is>
      </x:c>
      <x:c r="F40" s="23" t="inlineStr">
        <x:is>
          <x:t xml:space="preserve">Ativação pública</x:t>
        </x:is>
      </x:c>
      <x:c r="G40" s="23" t="inlineStr">
        <x:is>
          <x:t xml:space="preserve">Prefeitura do Rio / FIFA</x:t>
        </x:is>
      </x:c>
      <x:c r="H40" s="7" t="n">
        <x:v>0</x:v>
      </x:c>
      <x:c r="I40" s="23" t="inlineStr">
        <x:is>
          <x:t xml:space="preserve"/>
        </x:is>
      </x:c>
      <x:c r="J40" s="23" t="inlineStr">
        <x:is>
          <x:t xml:space="preserve">Fan Fest de Copacabana</x:t>
        </x:is>
      </x:c>
      <x:c r="K40" s="8" t="n"/>
      <x:c r="L40" s="8" t="n"/>
      <x:c r="M40" s="23" t="inlineStr">
        <x:is>
          <x:t xml:space="preserve">https://prefeitura.rio/cidade/pioneiras-da-selecao-feminina-de-futebol-promovem-o-mundial-com-acao-em-copacabana/</x:t>
        </x:is>
      </x:c>
      <x:c r="N40" s="23" t="inlineStr">
        <x:is>
          <x:t xml:space="preserve">Ativação realizada em 24/06/2026 para marcar um ano até a Copa Feminina 2027. Pioneiras da Seleção interagiram com o público na Fan Fest de Copacabana, participaram de altinha, fotos e divulgação do Mundial, junto a meninas de projetos esportivos municipais.</x:t>
        </x:is>
      </x:c>
      <x:c r="O40" s="23" t="inlineStr">
        <x:is>
          <x:t xml:space="preserve">Jun</x:t>
        </x:is>
      </x:c>
      <x:c r="P40" s="23" t="n">
        <x:v>2026</x:v>
      </x:c>
    </x:row>
    <x:row r="41">
      <x:c r="A41" s="23" t="inlineStr">
        <x:is>
          <x:t xml:space="preserve">EVT-0054</x:t>
        </x:is>
      </x:c>
      <x:c r="B41" s="23" t="inlineStr">
        <x:is>
          <x:t xml:space="preserve">Realizado</x:t>
        </x:is>
      </x:c>
      <x:c r="C41" s="29" t="n">
        <x:v>46199</x:v>
      </x:c>
      <x:c r="D41" s="23" t="inlineStr">
        <x:is>
          <x:t xml:space="preserve">EUA</x:t>
        </x:is>
      </x:c>
      <x:c r="E41" s="23" t="inlineStr">
        <x:is>
          <x:t xml:space="preserve">Miami</x:t>
        </x:is>
      </x:c>
      <x:c r="F41" s="23" t="inlineStr">
        <x:is>
          <x:t xml:space="preserve">Missão técnica internacional</x:t>
        </x:is>
      </x:c>
      <x:c r="G41" s="23" t="inlineStr">
        <x:is>
          <x:t xml:space="preserve">Prefeitura de Porto Alegre / Secopa 2027</x:t>
        </x:is>
      </x:c>
      <x:c r="H41" s="7" t="n">
        <x:v>0</x:v>
      </x:c>
      <x:c r="I41" s="23" t="inlineStr">
        <x:is>
          <x:t xml:space="preserve"/>
        </x:is>
      </x:c>
      <x:c r="J41" s="23" t="inlineStr">
        <x:is>
          <x:t xml:space="preserve">Miami Stadium e Goal Connect Miami 2026</x:t>
        </x:is>
      </x:c>
      <x:c r="K41" s="8" t="n"/>
      <x:c r="L41" s="8" t="n"/>
      <x:c r="M41" s="23" t="inlineStr">
        <x:is>
          <x:t xml:space="preserve">https://www.prefeitura.poa.br/secopa2027/noticias/concluida-missao-tecnica-aos-estados-unidos-para-preparacao-da-copa-feminina</x:t>
        </x:is>
      </x:c>
      <x:c r="N41" s="23" t="inlineStr">
        <x:is>
          <x:t xml:space="preserve"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x:t>
        </x:is>
      </x:c>
      <x:c r="O41" s="23" t="inlineStr">
        <x:is>
          <x:t xml:space="preserve">Jun</x:t>
        </x:is>
      </x:c>
      <x:c r="P41" s="23" t="n">
        <x:v>2026</x:v>
      </x:c>
    </x:row>
    <x:row r="42">
      <x:c r="A42" s="23" t="inlineStr">
        <x:is>
          <x:t xml:space="preserve">EVT-0080</x:t>
        </x:is>
      </x:c>
      <x:c r="B42" s="23" t="inlineStr">
        <x:is>
          <x:t xml:space="preserve">Realizado</x:t>
        </x:is>
      </x:c>
      <x:c r="C42" s="29" t="n">
        <x:v>46199</x:v>
      </x:c>
      <x:c r="D42" s="23" t="inlineStr">
        <x:is>
          <x:t xml:space="preserve">SP</x:t>
        </x:is>
      </x:c>
      <x:c r="E42" s="23" t="inlineStr">
        <x:is>
          <x:t xml:space="preserve">São Paulo</x:t>
        </x:is>
      </x:c>
      <x:c r="F42" s="23" t="inlineStr">
        <x:is>
          <x:t xml:space="preserve">Reunião institucional</x:t>
        </x:is>
      </x:c>
      <x:c r="G42" s="23" t="inlineStr">
        <x:is>
          <x:t xml:space="preserve">Prefeitura de São Paulo / Comissão da Copa 2027</x:t>
        </x:is>
      </x:c>
      <x:c r="H42" s="7" t="n">
        <x:v>0</x:v>
      </x:c>
      <x:c r="I42" s="23" t="inlineStr">
        <x:is>
          <x:t xml:space="preserve"/>
        </x:is>
      </x:c>
      <x:c r="J42" s="23" t="inlineStr">
        <x:is>
          <x:t xml:space="preserve">Online</x:t>
        </x:is>
      </x:c>
      <x:c r="K42" s="8" t="n"/>
      <x:c r="L42" s="8" t="n"/>
      <x:c r="M42" s="23" t="inlineStr">
        <x:is>
          <x:t xml:space="preserve">https://prefeitura.sp.gov.br/web/turismo/l/48770028</x:t>
        </x:is>
      </x:c>
      <x:c r="N42" s="23" t="inlineStr">
        <x:is>
          <x:t xml:space="preserve">Reunião online realizada em 26/06/2026, às 14h30, com integrantes da Comissão da Copa do Mundo Feminina FIFA 2027. A pauta oficial foi a orientação sobre o projeto de lei relacionado ao torneio.</x:t>
        </x:is>
      </x:c>
      <x:c r="O42" s="23" t="inlineStr">
        <x:is>
          <x:t xml:space="preserve">Jun</x:t>
        </x:is>
      </x:c>
      <x:c r="P42" s="23" t="n">
        <x:v>2026</x:v>
      </x:c>
    </x:row>
    <x:row r="43">
      <x:c r="A43" s="23" t="inlineStr">
        <x:is>
          <x:t xml:space="preserve">EVT-0065</x:t>
        </x:is>
      </x:c>
      <x:c r="B43" s="23" t="inlineStr">
        <x:is>
          <x:t xml:space="preserve">Realizado</x:t>
        </x:is>
      </x:c>
      <x:c r="C43" s="29" t="n">
        <x:v>46205</x:v>
      </x:c>
      <x:c r="D43" s="23" t="inlineStr">
        <x:is>
          <x:t xml:space="preserve">BR</x:t>
        </x:is>
      </x:c>
      <x:c r="E43" s="23" t="inlineStr">
        <x:is>
          <x:t xml:space="preserve">Local a definir</x:t>
        </x:is>
      </x:c>
      <x:c r="F43" s="23" t="inlineStr">
        <x:is>
          <x:t xml:space="preserve">Reunião de legado</x:t>
        </x:is>
      </x:c>
      <x:c r="G43" s="23" t="inlineStr">
        <x:is>
          <x:t xml:space="preserve">Ministério do Esporte / Câmara Temática do Legado Social e Esportivo</x:t>
        </x:is>
      </x:c>
      <x:c r="H43" s="7" t="n">
        <x:v>0</x:v>
      </x:c>
      <x:c r="I43" s="23" t="inlineStr">
        <x:is>
          <x:t xml:space="preserve"/>
        </x:is>
      </x:c>
      <x:c r="J43" s="23" t="inlineStr">
        <x:is>
          <x:t xml:space="preserve">Local a definir</x:t>
        </x:is>
      </x:c>
      <x:c r="K43" s="8" t="n"/>
      <x:c r="L43" s="8" t="n"/>
      <x:c r="M43" s="23" t="inlineStr">
        <x:is>
          <x:t xml:space="preserve">https://www.gov.br/esporte/pt-br/noticias-e-conteudos/ministerio-do-esporte-articula-plano-de-legado-para-a-copa-do-mundo-feminina-com-foco-em-metas-para-setembro</x:t>
        </x:is>
      </x:c>
      <x:c r="N43" s="23" t="inlineStr">
        <x:is>
          <x:t xml:space="preserve"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x:t>
        </x:is>
      </x:c>
      <x:c r="O43" s="23" t="inlineStr">
        <x:is>
          <x:t xml:space="preserve">Jul</x:t>
        </x:is>
      </x:c>
      <x:c r="P43" s="23" t="n">
        <x:v>2026</x:v>
      </x:c>
    </x:row>
    <x:row r="44">
      <x:c r="A44" s="23" t="inlineStr">
        <x:is>
          <x:t xml:space="preserve">EVT-0046</x:t>
        </x:is>
      </x:c>
      <x:c r="B44" s="23" t="inlineStr">
        <x:is>
          <x:t xml:space="preserve">Realizado</x:t>
        </x:is>
      </x:c>
      <x:c r="C44" s="29" t="n">
        <x:v>46211</x:v>
      </x:c>
      <x:c r="D44" s="23" t="inlineStr">
        <x:is>
          <x:t xml:space="preserve">BA</x:t>
        </x:is>
      </x:c>
      <x:c r="E44" s="23" t="inlineStr">
        <x:is>
          <x:t xml:space="preserve">Salvador</x:t>
        </x:is>
      </x:c>
      <x:c r="F44" s="23" t="inlineStr">
        <x:is>
          <x:t xml:space="preserve">Reunião de governança</x:t>
        </x:is>
      </x:c>
      <x:c r="G44" s="23" t="inlineStr">
        <x:is>
          <x:t xml:space="preserve">Prefeitura de Salvador / Grupo de Trabalho da Copa</x:t>
        </x:is>
      </x:c>
      <x:c r="H44" s="7" t="n">
        <x:v>0</x:v>
      </x:c>
      <x:c r="I44" s="23" t="inlineStr">
        <x:is>
          <x:t xml:space="preserve"/>
        </x:is>
      </x:c>
      <x:c r="J44" s="23" t="inlineStr">
        <x:is>
          <x:t xml:space="preserve">Local a definir</x:t>
        </x:is>
      </x:c>
      <x:c r="K44" s="8" t="n"/>
      <x:c r="L44" s="8" t="n"/>
      <x:c r="M44" s="23" t="inlineStr">
        <x:is>
          <x:t xml:space="preserve">https://agenciadenoticias.salvador.ba.gov.br/index.php/pt-br/releases-2/geral/30922-governanca-integrada-marca-reuniao-da-prefeitura-para-planejamento-da-copa-do-mundo-feminina-2027</x:t>
        </x:is>
      </x:c>
      <x:c r="N44" s="23" t="inlineStr">
        <x:is>
          <x:t xml:space="preserve"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x:t>
        </x:is>
      </x:c>
      <x:c r="O44" s="23" t="inlineStr">
        <x:is>
          <x:t xml:space="preserve">Jul</x:t>
        </x:is>
      </x:c>
      <x:c r="P44" s="23" t="n">
        <x:v>2026</x:v>
      </x:c>
    </x:row>
    <x:row r="45">
      <x:c r="A45" s="23" t="inlineStr">
        <x:is>
          <x:t xml:space="preserve">EVT-0044</x:t>
        </x:is>
      </x:c>
      <x:c r="B45" s="23" t="inlineStr">
        <x:is>
          <x:t xml:space="preserve">Realizado</x:t>
        </x:is>
      </x:c>
      <x:c r="C45" s="29" t="n">
        <x:v>46219</x:v>
      </x:c>
      <x:c r="D45" s="23" t="inlineStr">
        <x:is>
          <x:t xml:space="preserve">EUA</x:t>
        </x:is>
      </x:c>
      <x:c r="E45" s="23" t="inlineStr">
        <x:is>
          <x:t xml:space="preserve">Nova York</x:t>
        </x:is>
      </x:c>
      <x:c r="F45" s="23" t="inlineStr">
        <x:is>
          <x:t xml:space="preserve">Promoção internacional</x:t>
        </x:is>
      </x:c>
      <x:c r="G45" s="23" t="inlineStr">
        <x:is>
          <x:t xml:space="preserve">Prefeitura de Belo Horizonte / Belotur / Embratur / Confut</x:t>
        </x:is>
      </x:c>
      <x:c r="H45" s="7" t="n">
        <x:v>0</x:v>
      </x:c>
      <x:c r="I45" s="23" t="inlineStr">
        <x:is>
          <x:t xml:space="preserve"/>
        </x:is>
      </x:c>
      <x:c r="J45" s="23" t="inlineStr">
        <x:is>
          <x:t xml:space="preserve">Local a definir</x:t>
        </x:is>
      </x:c>
      <x:c r="K45" s="8" t="n"/>
      <x:c r="L45" s="8" t="n"/>
      <x:c r="M45" s="23" t="inlineStr">
        <x:is>
          <x:t xml:space="preserve">https://prefeitura.pbh.gov.br/noticias/pbh-participa-de-encontro-estrategico-sobre-copa-do-mundo-feminina-de-2027</x:t>
        </x:is>
      </x:c>
      <x:c r="N45" s="23" t="inlineStr">
        <x:is>
          <x:t xml:space="preserve"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x:t>
        </x:is>
      </x:c>
      <x:c r="O45" s="23" t="inlineStr">
        <x:is>
          <x:t xml:space="preserve">Jul</x:t>
        </x:is>
      </x:c>
      <x:c r="P45" s="23" t="n">
        <x:v>2026</x:v>
      </x:c>
    </x:row>
    <x:row r="46">
      <x:c r="A46" s="23" t="inlineStr">
        <x:is>
          <x:t xml:space="preserve">EVT-0068</x:t>
        </x:is>
      </x:c>
      <x:c r="B46" s="23" t="inlineStr">
        <x:is>
          <x:t xml:space="preserve">Realizado</x:t>
        </x:is>
      </x:c>
      <x:c r="C46" s="29" t="n">
        <x:v>46230</x:v>
      </x:c>
      <x:c r="D46" s="23" t="inlineStr">
        <x:is>
          <x:t xml:space="preserve">BR</x:t>
        </x:is>
      </x:c>
      <x:c r="E46" s="23" t="inlineStr">
        <x:is>
          <x:t xml:space="preserve">Local a definir</x:t>
        </x:is>
      </x:c>
      <x:c r="F46" s="23" t="inlineStr">
        <x:is>
          <x:t xml:space="preserve">Lançamento de programa</x:t>
        </x:is>
      </x:c>
      <x:c r="G46" s="23" t="inlineStr">
        <x:is>
          <x:t xml:space="preserve">FIFA</x:t>
        </x:is>
      </x:c>
      <x:c r="H46" s="7" t="n">
        <x:v>0</x:v>
      </x:c>
      <x:c r="I46" s="23" t="inlineStr">
        <x:is>
          <x:t xml:space="preserve"/>
        </x:is>
      </x:c>
      <x:c r="J46" s="23" t="inlineStr">
        <x:is>
          <x:t xml:space="preserve">Plataforma FIFA Volunteers</x:t>
        </x:is>
      </x:c>
      <x:c r="K46" s="8" t="n"/>
      <x:c r="L46" s="8" t="n"/>
      <x:c r="M46" s="23" t="inlineStr">
        <x:is>
          <x:t xml:space="preserve">https://www.gov.br/esporte/pt-br/noticias/quer-viver-a-copa-do-mundo-feminina-2027-de-perto-fifa-abre-cadastro-de-interesse-para-voluntarios</x:t>
        </x:is>
      </x:c>
      <x:c r="N46" s="23" t="inlineStr">
        <x:is>
          <x:t xml:space="preserve"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x:t>
        </x:is>
      </x:c>
      <x:c r="O46" s="23" t="inlineStr">
        <x:is>
          <x:t xml:space="preserve">Jul</x:t>
        </x:is>
      </x:c>
      <x:c r="P46" s="23" t="n">
        <x:v>2026</x:v>
      </x:c>
    </x:row>
    <x:row r="47">
      <x:c r="A47" s="23" t="inlineStr">
        <x:is>
          <x:t xml:space="preserve">EVT-0076</x:t>
        </x:is>
      </x:c>
      <x:c r="B47" s="23" t="inlineStr">
        <x:is>
          <x:t xml:space="preserve">Realizado</x:t>
        </x:is>
      </x:c>
      <x:c r="C47" s="29" t="n">
        <x:v>46232</x:v>
      </x:c>
      <x:c r="D47" s="23" t="inlineStr">
        <x:is>
          <x:t xml:space="preserve">CE</x:t>
        </x:is>
      </x:c>
      <x:c r="E47" s="23" t="inlineStr">
        <x:is>
          <x:t xml:space="preserve">Fortaleza</x:t>
        </x:is>
      </x:c>
      <x:c r="F47" s="23" t="inlineStr">
        <x:is>
          <x:t xml:space="preserve">Segurança e prevenção</x:t>
        </x:is>
      </x:c>
      <x:c r="G47" s="23" t="inlineStr">
        <x:is>
          <x:t xml:space="preserve">MPCE / FIFA</x:t>
        </x:is>
      </x:c>
      <x:c r="H47" s="7" t="n">
        <x:v>0</x:v>
      </x:c>
      <x:c r="I47" s="23" t="inlineStr">
        <x:is>
          <x:t xml:space="preserve"/>
        </x:is>
      </x:c>
      <x:c r="J47" s="23" t="inlineStr">
        <x:is>
          <x:t xml:space="preserve">Local a definir</x:t>
        </x:is>
      </x:c>
      <x:c r="K47" s="8" t="n"/>
      <x:c r="L47" s="8" t="n"/>
      <x:c r="M47" s="23" t="inlineStr">
        <x:is>
          <x:t xml:space="preserve">https://mpce.mp.br/mp-do-ceara-e-representante-da-fifa-se-reunem-para-alinhar-parceria-para-a-copa-do-mundo-feminina-de-2027/</x:t>
        </x:is>
      </x:c>
      <x:c r="N47" s="23" t="inlineStr">
        <x:is>
          <x:t xml:space="preserve"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x:t>
        </x:is>
      </x:c>
      <x:c r="O47" s="23" t="inlineStr">
        <x:is>
          <x:t xml:space="preserve">Jul</x:t>
        </x:is>
      </x:c>
      <x:c r="P47" s="23" t="n">
        <x:v>2026</x:v>
      </x:c>
    </x:row>
    <x:row r="48">
      <x:c r="A48" s="23" t="inlineStr">
        <x:is>
          <x:t xml:space="preserve">EVT-0039</x:t>
        </x:is>
      </x:c>
      <x:c r="B48" s="23" t="inlineStr">
        <x:is>
          <x:t xml:space="preserve">Realizado</x:t>
        </x:is>
      </x:c>
      <x:c r="C48" s="29" t="n">
        <x:v>46235</x:v>
      </x:c>
      <x:c r="D48" s="23" t="inlineStr">
        <x:is>
          <x:t xml:space="preserve">SP</x:t>
        </x:is>
      </x:c>
      <x:c r="E48" s="23" t="inlineStr">
        <x:is>
          <x:t xml:space="preserve">São Paulo</x:t>
        </x:is>
      </x:c>
      <x:c r="F48" s="23" t="inlineStr">
        <x:is>
          <x:t xml:space="preserve">Encontro inclusivo</x:t>
        </x:is>
      </x:c>
      <x:c r="G48" s="23" t="inlineStr">
        <x:is>
          <x:t xml:space="preserve">Prefeitura de São Paulo / Secretaria Municipal da Pessoa com Deficiência</x:t>
        </x:is>
      </x:c>
      <x:c r="H48" s="7" t="n">
        <x:v>0</x:v>
      </x:c>
      <x:c r="I48" s="23" t="inlineStr">
        <x:is>
          <x:t xml:space="preserve"/>
        </x:is>
      </x:c>
      <x:c r="J48" s="23" t="inlineStr">
        <x:is>
          <x:t xml:space="preserve">Casa Mãe Paulistana para Mães e Cuidadores de Pessoas com Deficiência</x:t>
        </x:is>
      </x:c>
      <x:c r="K48" s="8" t="n"/>
      <x:c r="L48" s="8" t="n"/>
      <x:c r="M48" s="23" t="inlineStr">
        <x:is>
          <x:t xml:space="preserve">https://prefeitura.sp.gov.br/web/pessoa_com_deficiencia/w/copa-do-mundo-2026-prefeitura-de-s%C3%A3o-paulo-promove-a%C3%A7%C3%B5es-inclusivas-para-pessoas-com-defici%C3%AAncia-e-seus-familiares</x:t>
        </x:is>
      </x:c>
      <x:c r="N48" s="23" t="inlineStr">
        <x:is>
          <x:t xml:space="preserve"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x:t>
        </x:is>
      </x:c>
      <x:c r="O48" s="23" t="inlineStr">
        <x:is>
          <x:t xml:space="preserve">Ago</x:t>
        </x:is>
      </x:c>
      <x:c r="P48" s="23" t="n">
        <x:v>2026</x:v>
      </x:c>
    </x:row>
    <x:row r="49">
      <x:c r="A49" s="23" t="inlineStr">
        <x:is>
          <x:t xml:space="preserve">EVT-0063</x:t>
        </x:is>
      </x:c>
      <x:c r="B49" s="23" t="inlineStr">
        <x:is>
          <x:t xml:space="preserve">Realizado</x:t>
        </x:is>
      </x:c>
      <x:c r="C49" s="29" t="n">
        <x:v>46237</x:v>
      </x:c>
      <x:c r="D49" s="23" t="inlineStr">
        <x:is>
          <x:t xml:space="preserve">SP</x:t>
        </x:is>
      </x:c>
      <x:c r="E49" s="23" t="inlineStr">
        <x:is>
          <x:t xml:space="preserve">São Paulo</x:t>
        </x:is>
      </x:c>
      <x:c r="F49" s="23" t="inlineStr">
        <x:is>
          <x:t xml:space="preserve">Fórum</x:t>
        </x:is>
      </x:c>
      <x:c r="G49" s="23" t="inlineStr">
        <x:is>
          <x:t xml:space="preserve">Fórum Sustentabilidade em Campo</x:t>
        </x:is>
      </x:c>
      <x:c r="H49" s="7" t="n">
        <x:v>0</x:v>
      </x:c>
      <x:c r="I49" s="23" t="inlineStr">
        <x:is>
          <x:t xml:space="preserve"/>
        </x:is>
      </x:c>
      <x:c r="J49" s="23" t="inlineStr">
        <x:is>
          <x:t xml:space="preserve">Museu do Futebol</x:t>
        </x:is>
      </x:c>
      <x:c r="K49" s="8" t="n"/>
      <x:c r="L49" s="8" t="n"/>
      <x:c r="M49" s="23" t="inlineStr">
        <x:is>
          <x:t xml:space="preserve">https://www.sympla.com.br/evento/forum-sustentabilidade-em-campo/3498582</x:t>
        </x:is>
      </x:c>
      <x:c r="N49" s="23" t="inlineStr">
        <x:is>
          <x:t xml:space="preserve"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x:t>
        </x:is>
      </x:c>
      <x:c r="O49" s="23" t="inlineStr">
        <x:is>
          <x:t xml:space="preserve">Ago</x:t>
        </x:is>
      </x:c>
      <x:c r="P49" s="23" t="n">
        <x:v>2026</x:v>
      </x:c>
    </x:row>
    <x:row r="50">
      <x:c r="A50" s="23" t="inlineStr">
        <x:is>
          <x:t xml:space="preserve">EVT-0013</x:t>
        </x:is>
      </x:c>
      <x:c r="B50" s="23" t="inlineStr">
        <x:is>
          <x:t xml:space="preserve">Realizado</x:t>
        </x:is>
      </x:c>
      <x:c r="C50" s="29" t="n">
        <x:v>46238</x:v>
      </x:c>
      <x:c r="D50" s="23" t="inlineStr">
        <x:is>
          <x:t xml:space="preserve">SP</x:t>
        </x:is>
      </x:c>
      <x:c r="E50" s="23" t="inlineStr">
        <x:is>
          <x:t xml:space="preserve">São Paulo</x:t>
        </x:is>
      </x:c>
      <x:c r="F50" s="23" t="inlineStr">
        <x:is>
          <x:t xml:space="preserve">Seminário</x:t>
        </x:is>
      </x:c>
      <x:c r="G50" s="23" t="inlineStr">
        <x:is>
          <x:t xml:space="preserve">Grupo Mulheres do Brasil / parceiros</x:t>
        </x:is>
      </x:c>
      <x:c r="H50" s="7" t="n">
        <x:v>0</x:v>
      </x:c>
      <x:c r="I50" s="23" t="inlineStr">
        <x:is>
          <x:t xml:space="preserve"/>
        </x:is>
      </x:c>
      <x:c r="J50" s="23" t="inlineStr">
        <x:is>
          <x:t xml:space="preserve">Expo Center Norte</x:t>
        </x:is>
      </x:c>
      <x:c r="K50" s="8" t="n">
        <x:v>-23.5148</x:v>
      </x:c>
      <x:c r="L50" s="8" t="n">
        <x:v>-46.619</x:v>
      </x:c>
      <x:c r="M50" s="23" t="inlineStr">
        <x:is>
          <x:t xml:space="preserve">https://www.oliberal.com/esportes/nao-da-para-falar-em-paixao-nacional-so-valorizando-o-masculino-diz-secretaria-da-copa-1.1153852</x:t>
        </x:is>
      </x:c>
      <x:c r="N50" s="23" t="inlineStr">
        <x:is>
          <x:t xml:space="preserve">Summit Mulheres nas Profissões (4–5/08): painel sobre a Copa do Mundo Feminina FIFA 2027, legado e valorização do futebol feminino.</x:t>
        </x:is>
      </x:c>
      <x:c r="O50" s="23" t="inlineStr">
        <x:is>
          <x:t xml:space="preserve">Ago</x:t>
        </x:is>
      </x:c>
      <x:c r="P50" s="23" t="n">
        <x:v>2026</x:v>
      </x:c>
    </x:row>
    <x:row r="51">
      <x:c r="A51" s="23" t="inlineStr">
        <x:is>
          <x:t xml:space="preserve">EVT-0036</x:t>
        </x:is>
      </x:c>
      <x:c r="B51" s="23" t="inlineStr">
        <x:is>
          <x:t xml:space="preserve">Realizado</x:t>
        </x:is>
      </x:c>
      <x:c r="C51" s="29" t="n">
        <x:v>46238</x:v>
      </x:c>
      <x:c r="D51" s="23" t="inlineStr">
        <x:is>
          <x:t xml:space="preserve">BA</x:t>
        </x:is>
      </x:c>
      <x:c r="E51" s="23" t="inlineStr">
        <x:is>
          <x:t xml:space="preserve">Salvador</x:t>
        </x:is>
      </x:c>
      <x:c r="F51" s="23" t="inlineStr">
        <x:is>
          <x:t xml:space="preserve">Reunião de legado</x:t>
        </x:is>
      </x:c>
      <x:c r="G51" s="23" t="inlineStr">
        <x:is>
          <x:t xml:space="preserve">Prefeitura de Salvador / Grupo de Trabalho da Copa</x:t>
        </x:is>
      </x:c>
      <x:c r="H51" s="7" t="n">
        <x:v>0</x:v>
      </x:c>
      <x:c r="I51" s="23" t="inlineStr">
        <x:is>
          <x:t xml:space="preserve"/>
        </x:is>
      </x:c>
      <x:c r="J51" s="23" t="inlineStr">
        <x:is>
          <x:t xml:space="preserve">Local a definir</x:t>
        </x:is>
      </x:c>
      <x:c r="K51" s="8" t="n"/>
      <x:c r="L51" s="8" t="n"/>
      <x:c r="M51" s="23" t="inlineStr">
        <x:is>
          <x:t xml:space="preserve">https://secult.salvador.ba.gov.br/prefeitura-se-reune-com-clubes-federacao-atletas-e-entidades-para-debater-legado-social-da-copa-do-mundo-feminina-da-fifa-2027/</x:t>
        </x:is>
      </x:c>
      <x:c r="N51" s="23" t="inlineStr">
        <x:is>
          <x:t xml:space="preserve"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x:t>
        </x:is>
      </x:c>
      <x:c r="O51" s="23" t="inlineStr">
        <x:is>
          <x:t xml:space="preserve">Ago</x:t>
        </x:is>
      </x:c>
      <x:c r="P51" s="23" t="n">
        <x:v>2026</x:v>
      </x:c>
    </x:row>
    <x:row r="52">
      <x:c r="A52" s="23" t="inlineStr">
        <x:is>
          <x:t xml:space="preserve">EVT-0069</x:t>
        </x:is>
      </x:c>
      <x:c r="B52" s="23" t="inlineStr">
        <x:is>
          <x:t xml:space="preserve">Realizado</x:t>
        </x:is>
      </x:c>
      <x:c r="C52" s="29" t="n">
        <x:v>46238</x:v>
      </x:c>
      <x:c r="D52" s="23" t="inlineStr">
        <x:is>
          <x:t xml:space="preserve">RJ</x:t>
        </x:is>
      </x:c>
      <x:c r="E52" s="23" t="inlineStr">
        <x:is>
          <x:t xml:space="preserve">Rio de Janeiro</x:t>
        </x:is>
      </x:c>
      <x:c r="F52" s="23" t="inlineStr">
        <x:is>
          <x:t xml:space="preserve">Painel</x:t>
        </x:is>
      </x:c>
      <x:c r="G52" s="23" t="inlineStr">
        <x:is>
          <x:t xml:space="preserve">Rio Innovation Week / FIFA</x:t>
        </x:is>
      </x:c>
      <x:c r="H52" s="7" t="n">
        <x:v>0</x:v>
      </x:c>
      <x:c r="I52" s="23" t="inlineStr">
        <x:is>
          <x:t xml:space="preserve"/>
        </x:is>
      </x:c>
      <x:c r="J52" s="23" t="inlineStr">
        <x:is>
          <x:t xml:space="preserve">Rio Innovation Week</x:t>
        </x:is>
      </x:c>
      <x:c r="K52" s="8" t="n"/>
      <x:c r="L52" s="8" t="n"/>
      <x:c r="M52" s="23" t="inlineStr">
        <x:is>
          <x:t xml:space="preserve">https://ge.globo.com/futebol/futebol-internacional/noticia/2026/08/04/diretor-da-copa-2027-revela-que-730-mil-pessoas-ja-mostraram-interesse-em-comprar-ingressos-a-gente-vai-encher-estadio.ghtml</x:t>
        </x:is>
      </x:c>
      <x:c r="N52" s="23" t="inlineStr">
        <x:is>
          <x:t xml:space="preserve"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x:t>
        </x:is>
      </x:c>
      <x:c r="O52" s="23" t="inlineStr">
        <x:is>
          <x:t xml:space="preserve">Ago</x:t>
        </x:is>
      </x:c>
      <x:c r="P52" s="23" t="n">
        <x:v>2026</x:v>
      </x:c>
    </x:row>
    <x:row r="53">
      <x:c r="A53" s="23" t="inlineStr">
        <x:is>
          <x:t xml:space="preserve">EVT-0024</x:t>
        </x:is>
      </x:c>
      <x:c r="B53" s="23" t="inlineStr">
        <x:is>
          <x:t xml:space="preserve">Realizado</x:t>
        </x:is>
      </x:c>
      <x:c r="C53" s="29" t="n">
        <x:v>46241</x:v>
      </x:c>
      <x:c r="D53" s="23" t="inlineStr">
        <x:is>
          <x:t xml:space="preserve">RJ</x:t>
        </x:is>
      </x:c>
      <x:c r="E53" s="23" t="inlineStr">
        <x:is>
          <x:t xml:space="preserve">Rio de Janeiro</x:t>
        </x:is>
      </x:c>
      <x:c r="F53" s="23" t="inlineStr">
        <x:is>
          <x:t xml:space="preserve">Mostra cultural</x:t>
        </x:is>
      </x:c>
      <x:c r="G53" s="23" t="inlineStr">
        <x:is>
          <x:t xml:space="preserve">CINEfoot</x:t>
        </x:is>
      </x:c>
      <x:c r="H53" s="7" t="n">
        <x:v>0</x:v>
      </x:c>
      <x:c r="I53" s="23" t="inlineStr">
        <x:is>
          <x:t xml:space="preserve"/>
        </x:is>
      </x:c>
      <x:c r="J53" s="23" t="inlineStr">
        <x:is>
          <x:t xml:space="preserve">CCJF e Estação Claro Rio</x:t>
        </x:is>
      </x:c>
      <x:c r="K53" s="8" t="n">
        <x:v>-22.9068</x:v>
      </x:c>
      <x:c r="L53" s="8" t="n">
        <x:v>-43.1729</x:v>
      </x:c>
      <x:c r="M53" s="23" t="inlineStr">
        <x:is>
          <x:t xml:space="preserve">https://cinefoot.org/mostra-geraldinos-arquibaldos-2026/</x:t>
        </x:is>
      </x:c>
      <x:c r="N53" s="23" t="inlineStr">
        <x:is>
          <x:t xml:space="preserve">Mostra “Rumo à Copa do Mundo Feminina 2027” no CINEfoot 16, com sessões em 07/08 no Centro Cultural Justiça Federal e em 09/08 no CCJF e na Estação Claro Rio, incluindo filmes sobre pioneiras do futebol feminino brasileiro.</x:t>
        </x:is>
      </x:c>
      <x:c r="O53" s="23" t="inlineStr">
        <x:is>
          <x:t xml:space="preserve">Ago</x:t>
        </x:is>
      </x:c>
      <x:c r="P53" s="23" t="n">
        <x:v>2026</x:v>
      </x:c>
    </x:row>
    <x:row r="54">
      <x:c r="A54" s="23" t="inlineStr">
        <x:is>
          <x:t xml:space="preserve">EVT-0014</x:t>
        </x:is>
      </x:c>
      <x:c r="B54" s="23" t="inlineStr">
        <x:is>
          <x:t xml:space="preserve">Realizado</x:t>
        </x:is>
      </x:c>
      <x:c r="C54" s="29" t="n">
        <x:v>46243</x:v>
      </x:c>
      <x:c r="D54" s="23" t="inlineStr">
        <x:is>
          <x:t xml:space="preserve">SP</x:t>
        </x:is>
      </x:c>
      <x:c r="E54" s="23" t="inlineStr">
        <x:is>
          <x:t xml:space="preserve">São Paulo</x:t>
        </x:is>
      </x:c>
      <x:c r="F54" s="23" t="inlineStr">
        <x:is>
          <x:t xml:space="preserve">Ativação patrocinador</x:t>
        </x:is>
      </x:c>
      <x:c r="G54" s="23" t="inlineStr">
        <x:is>
          <x:t xml:space="preserve">FIFA / SP2B</x:t>
        </x:is>
      </x:c>
      <x:c r="H54" s="7" t="n">
        <x:v>70000</x:v>
      </x:c>
      <x:c r="I54" s="23" t="inlineStr">
        <x:is>
          <x:t xml:space="preserve">Coca-Cola; Visa; Adidas; Hyundai</x:t>
        </x:is>
      </x:c>
      <x:c r="J54" s="23" t="inlineStr">
        <x:is>
          <x:t xml:space="preserve">Parque Ibirapuera</x:t>
        </x:is>
      </x:c>
      <x:c r="K54" s="8" t="n">
        <x:v>-23.5874</x:v>
      </x:c>
      <x:c r="L54" s="8" t="n">
        <x:v>-46.6576</x:v>
      </x:c>
      <x:c r="M54" s="23" t="inlineStr">
        <x:is>
          <x:t xml:space="preserve">https://economia.uol.com.br/noticias/redacao/2026/08/14/copa-do-mundo-feminina-alcanca-750-mil-interessados-em-ingressos.ghtm</x:t>
        </x:is>
      </x:c>
      <x:c r="N54" s="23" t="inlineStr">
        <x:is>
          <x:t xml:space="preserve">SP2B ocorreu de 9–16/08. A FIFA promoveu summit/encontro com marcas e executivos sobre ativações e oportunidades comerciais da Copa 2027; data específica do painel não foi publicada na fonte consultada.</x:t>
        </x:is>
      </x:c>
      <x:c r="O54" s="23" t="inlineStr">
        <x:is>
          <x:t xml:space="preserve">Ago</x:t>
        </x:is>
      </x:c>
      <x:c r="P54" s="23" t="n">
        <x:v>2026</x:v>
      </x:c>
    </x:row>
    <x:row r="55">
      <x:c r="A55" s="23" t="inlineStr">
        <x:is>
          <x:t xml:space="preserve">EVT-0081</x:t>
        </x:is>
      </x:c>
      <x:c r="B55" s="23" t="inlineStr">
        <x:is>
          <x:t xml:space="preserve">Realizado</x:t>
        </x:is>
      </x:c>
      <x:c r="C55" s="29" t="n">
        <x:v>46245</x:v>
      </x:c>
      <x:c r="D55" s="23" t="inlineStr">
        <x:is>
          <x:t xml:space="preserve">DF</x:t>
        </x:is>
      </x:c>
      <x:c r="E55" s="23" t="inlineStr">
        <x:is>
          <x:t xml:space="preserve">Brasília</x:t>
        </x:is>
      </x:c>
      <x:c r="F55" s="23" t="inlineStr">
        <x:is>
          <x:t xml:space="preserve">Painel / Legado</x:t>
        </x:is>
      </x:c>
      <x:c r="G55" s="23" t="inlineStr">
        <x:is>
          <x:t xml:space="preserve">Elas em Ação</x:t>
        </x:is>
      </x:c>
      <x:c r="H55" s="7" t="n">
        <x:v>0</x:v>
      </x:c>
      <x:c r="I55" s="23" t="inlineStr">
        <x:is>
          <x:t xml:space="preserve"/>
        </x:is>
      </x:c>
      <x:c r="J55" s="23" t="inlineStr">
        <x:is>
          <x:t xml:space="preserve">Teatro Nacional Cláudio Santoro</x:t>
        </x:is>
      </x:c>
      <x:c r="K55" s="8" t="n"/>
      <x:c r="L55" s="8" t="n"/>
      <x:c r="M55" s="23" t="inlineStr">
        <x:is>
          <x:t xml:space="preserve">https://elasemacao.com/</x:t>
        </x:is>
      </x:c>
      <x:c r="N55" s="23" t="inlineStr">
        <x:is>
          <x:t xml:space="preserve"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x:t>
        </x:is>
      </x:c>
      <x:c r="O55" s="23" t="inlineStr">
        <x:is>
          <x:t xml:space="preserve">Ago</x:t>
        </x:is>
      </x:c>
      <x:c r="P55" s="23" t="n">
        <x:v>2026</x:v>
      </x:c>
    </x:row>
    <x:row r="56">
      <x:c r="A56" s="23" t="inlineStr">
        <x:is>
          <x:t xml:space="preserve">EVT-0025</x:t>
        </x:is>
      </x:c>
      <x:c r="B56" s="23" t="inlineStr">
        <x:is>
          <x:t xml:space="preserve">Realizado</x:t>
        </x:is>
      </x:c>
      <x:c r="C56" s="29" t="n">
        <x:v>46248</x:v>
      </x:c>
      <x:c r="D56" s="23" t="inlineStr">
        <x:is>
          <x:t xml:space="preserve">RS</x:t>
        </x:is>
      </x:c>
      <x:c r="E56" s="23" t="inlineStr">
        <x:is>
          <x:t xml:space="preserve">Porto Alegre</x:t>
        </x:is>
      </x:c>
      <x:c r="F56" s="23" t="inlineStr">
        <x:is>
          <x:t xml:space="preserve">Seminário</x:t>
        </x:is>
      </x:c>
      <x:c r="G56" s="23" t="inlineStr">
        <x:is>
          <x:t xml:space="preserve">Prefeitura de Porto Alegre / Sistema Confef-Crefs</x:t>
        </x:is>
      </x:c>
      <x:c r="H56" s="7" t="n">
        <x:v>0</x:v>
      </x:c>
      <x:c r="I56" s="23" t="inlineStr">
        <x:is>
          <x:t xml:space="preserve"/>
        </x:is>
      </x:c>
      <x:c r="J56" s="23" t="inlineStr">
        <x:is>
          <x:t xml:space="preserve">Sede da FGF e Esefid/UFRGS</x:t>
        </x:is>
      </x:c>
      <x:c r="K56" s="8" t="n"/>
      <x:c r="L56" s="8" t="n"/>
      <x:c r="M56" s="23" t="inlineStr">
        <x:is>
          <x:t xml:space="preserve">https://prefeitura.poa.br/secopa2027/noticias/seminario-mulheres-em-campo-ocorre-nesta-sexta-feira</x:t>
        </x:is>
      </x:c>
      <x:c r="N56" s="23" t="inlineStr">
        <x:is>
          <x:t xml:space="preserve">Seminário As Mulheres em Campo, realizado em 14/08/2026, com debates sobre políticas públicas, formação, trajetórias profissionais e desenvolvimento do futebol feminino, além de oficinas e apresentação de Carta-Compromisso Local para o legado da Copa 2027.</x:t>
        </x:is>
      </x:c>
      <x:c r="O56" s="23" t="inlineStr">
        <x:is>
          <x:t xml:space="preserve">Ago</x:t>
        </x:is>
      </x:c>
      <x:c r="P56" s="23" t="n">
        <x:v>2026</x:v>
      </x:c>
    </x:row>
    <x:row r="57">
      <x:c r="A57" s="23" t="inlineStr">
        <x:is>
          <x:t xml:space="preserve">EVT-0015</x:t>
        </x:is>
      </x:c>
      <x:c r="B57" s="23" t="inlineStr">
        <x:is>
          <x:t xml:space="preserve">Realizado</x:t>
        </x:is>
      </x:c>
      <x:c r="C57" s="29" t="n">
        <x:v>46251</x:v>
      </x:c>
      <x:c r="D57" s="23" t="inlineStr">
        <x:is>
          <x:t xml:space="preserve">PE</x:t>
        </x:is>
      </x:c>
      <x:c r="E57" s="23" t="inlineStr">
        <x:is>
          <x:t xml:space="preserve">Recife</x:t>
        </x:is>
      </x:c>
      <x:c r="F57" s="23" t="inlineStr">
        <x:is>
          <x:t xml:space="preserve">Workshop</x:t>
        </x:is>
      </x:c>
      <x:c r="G57" s="23" t="inlineStr">
        <x:is>
          <x:t xml:space="preserve">FIFA / Federação Pernambucana de Futebol</x:t>
        </x:is>
      </x:c>
      <x:c r="H57" s="7" t="n">
        <x:v>0</x:v>
      </x:c>
      <x:c r="I57" s="23" t="inlineStr">
        <x:is>
          <x:t xml:space="preserve"/>
        </x:is>
      </x:c>
      <x:c r="J57" s="23" t="inlineStr">
        <x:is>
          <x:t xml:space="preserve">Sede da FPF</x:t>
        </x:is>
      </x:c>
      <x:c r="K57" s="8" t="n">
        <x:v>-8.047599999999999</x:v>
      </x:c>
      <x:c r="L57" s="8" t="n">
        <x:v>-34.877</x:v>
      </x:c>
      <x:c r="M57" s="23" t="inlineStr">
        <x:is>
          <x:t xml:space="preserve">https://tribunaonline.com.br/pernambuco/esporte/fpf-recebe-comitiva-da-fifa-para-alinhar-preparativos-da-copa-do-mundo-feminina-328649</x:t>
        </x:is>
      </x:c>
      <x:c r="N57" s="23" t="inlineStr">
        <x:is>
          <x:t xml:space="preserve">Comitiva da FIFA reuniu-se com a FPF para alinhar preparação, integração institucional e operação da Copa 2027 em Pernambuco.</x:t>
        </x:is>
      </x:c>
      <x:c r="O57" s="23" t="inlineStr">
        <x:is>
          <x:t xml:space="preserve">Ago</x:t>
        </x:is>
      </x:c>
      <x:c r="P57" s="23" t="n">
        <x:v>2026</x:v>
      </x:c>
    </x:row>
    <x:row r="58">
      <x:c r="A58" s="23" t="inlineStr">
        <x:is>
          <x:t xml:space="preserve">EVT-0016</x:t>
        </x:is>
      </x:c>
      <x:c r="B58" s="23" t="inlineStr">
        <x:is>
          <x:t xml:space="preserve">Realizado</x:t>
        </x:is>
      </x:c>
      <x:c r="C58" s="29" t="n">
        <x:v>46254</x:v>
      </x:c>
      <x:c r="D58" s="23" t="inlineStr">
        <x:is>
          <x:t xml:space="preserve">SP</x:t>
        </x:is>
      </x:c>
      <x:c r="E58" s="23" t="inlineStr">
        <x:is>
          <x:t xml:space="preserve">São Paulo</x:t>
        </x:is>
      </x:c>
      <x:c r="F58" s="23" t="inlineStr">
        <x:is>
          <x:t xml:space="preserve">Sorteio Oficial</x:t>
        </x:is>
      </x:c>
      <x:c r="G58" s="23" t="inlineStr">
        <x:is>
          <x:t xml:space="preserve">FIFA</x:t>
        </x:is>
      </x:c>
      <x:c r="H58" s="7" t="n">
        <x:v>0</x:v>
      </x:c>
      <x:c r="I58" s="23" t="inlineStr">
        <x:is>
          <x:t xml:space="preserve"/>
        </x:is>
      </x:c>
      <x:c r="J58" s="23" t="inlineStr">
        <x:is>
          <x:t xml:space="preserve">Sede da FIFA, Zurique / transmissão online</x:t>
        </x:is>
      </x:c>
      <x:c r="K58" s="8" t="n"/>
      <x:c r="L58" s="8" t="n"/>
      <x:c r="M58" s="23" t="inlineStr">
        <x:is>
          <x:t xml:space="preserve">https://ge.globo.com/futebol/copa-do-mundo-feminina/noticia/2026/08/14/copa-do-mundo-2027-calendario-sera-revelado-dia-20-de-agosto.ghtml</x:t>
        </x:is>
      </x:c>
      <x:c r="N58" s="23" t="inlineStr">
        <x:is>
          <x:t xml:space="preserve">Evento em 20/08, às 9h de Brasília: divulgação do calendário e distribuição de jogos por sede, cidades dos jogos do Brasil e sorteio da fase preliminar da repescagem.</x:t>
        </x:is>
      </x:c>
      <x:c r="O58" s="23" t="inlineStr">
        <x:is>
          <x:t xml:space="preserve">Ago</x:t>
        </x:is>
      </x:c>
      <x:c r="P58" s="23" t="n">
        <x:v>2026</x:v>
      </x:c>
    </x:row>
    <x:row r="59">
      <x:c r="A59" s="23" t="inlineStr">
        <x:is>
          <x:t xml:space="preserve">EVT-0021</x:t>
        </x:is>
      </x:c>
      <x:c r="B59" s="23" t="inlineStr">
        <x:is>
          <x:t xml:space="preserve">Realizado</x:t>
        </x:is>
      </x:c>
      <x:c r="C59" s="29" t="n">
        <x:v>46257</x:v>
      </x:c>
      <x:c r="D59" s="23" t="inlineStr">
        <x:is>
          <x:t xml:space="preserve">SP</x:t>
        </x:is>
      </x:c>
      <x:c r="E59" s="23" t="inlineStr">
        <x:is>
          <x:t xml:space="preserve">São Paulo</x:t>
        </x:is>
      </x:c>
      <x:c r="F59" s="23" t="inlineStr">
        <x:is>
          <x:t xml:space="preserve">Summit</x:t>
        </x:is>
      </x:c>
      <x:c r="G59" s="23" t="inlineStr">
        <x:is>
          <x:t xml:space="preserve">Instituto Futuro em Jogo</x:t>
        </x:is>
      </x:c>
      <x:c r="H59" s="7" t="n">
        <x:v>0</x:v>
      </x:c>
      <x:c r="I59" s="23" t="inlineStr">
        <x:is>
          <x:t xml:space="preserve"/>
        </x:is>
      </x:c>
      <x:c r="J59" s="23" t="inlineStr">
        <x:is>
          <x:t xml:space="preserve">Museu do Futebol</x:t>
        </x:is>
      </x:c>
      <x:c r="K59" s="8" t="n">
        <x:v>-23.5477</x:v>
      </x:c>
      <x:c r="L59" s="8" t="n">
        <x:v>-46.6657</x:v>
      </x:c>
      <x:c r="M59" s="23" t="inlineStr">
        <x:is>
          <x:t xml:space="preserve">https://www.sympla.com.br/evento/elas-jogam-summit-sao-paulo-e-o-legado-da-copa-de-2027-23-08-domingo/3508796</x:t>
        </x:is>
      </x:c>
      <x:c r="N59" s="23" t="inlineStr">
        <x:is>
          <x:t xml:space="preserve">Elas Jogam Summit — São Paulo e o Legado da Copa 2027. Evento presencial em 23/08/2026, das 8h30 às 19h, no Museu do Futebol.</x:t>
        </x:is>
      </x:c>
      <x:c r="O59" s="23" t="inlineStr">
        <x:is>
          <x:t xml:space="preserve">Ago</x:t>
        </x:is>
      </x:c>
      <x:c r="P59" s="23" t="n">
        <x:v>2026</x:v>
      </x:c>
    </x:row>
    <x:row r="60">
      <x:c r="A60" s="23" t="inlineStr">
        <x:is>
          <x:t xml:space="preserve">EVT-0023</x:t>
        </x:is>
      </x:c>
      <x:c r="B60" s="23" t="inlineStr">
        <x:is>
          <x:t xml:space="preserve">Planejado</x:t>
        </x:is>
      </x:c>
      <x:c r="C60" s="29" t="n">
        <x:v>46258</x:v>
      </x:c>
      <x:c r="D60" s="23" t="inlineStr">
        <x:is>
          <x:t xml:space="preserve">RJ</x:t>
        </x:is>
      </x:c>
      <x:c r="E60" s="23" t="inlineStr">
        <x:is>
          <x:t xml:space="preserve">Rio de Janeiro</x:t>
        </x:is>
      </x:c>
      <x:c r="F60" s="23" t="inlineStr">
        <x:is>
          <x:t xml:space="preserve">Workshop</x:t>
        </x:is>
      </x:c>
      <x:c r="G60" s="23" t="inlineStr">
        <x:is>
          <x:t xml:space="preserve">FIFA / CBF</x:t>
        </x:is>
      </x:c>
      <x:c r="H60" s="7" t="n">
        <x:v>0</x:v>
      </x:c>
      <x:c r="I60" s="23" t="inlineStr">
        <x:is>
          <x:t xml:space="preserve"/>
        </x:is>
      </x:c>
      <x:c r="J60" s="23" t="inlineStr">
        <x:is>
          <x:t xml:space="preserve">A definir</x:t>
        </x:is>
      </x:c>
      <x:c r="K60" s="8" t="n">
        <x:v>-22.9068</x:v>
      </x:c>
      <x:c r="L60" s="8" t="n">
        <x:v>-43.1729</x:v>
      </x:c>
      <x:c r="M60" s="23" t="inlineStr">
        <x:is>
          <x:t xml:space="preserve">https://prefeitura.poa.br/secopa2027/noticias/porto-alegre-apresenta-preparacao-para-copa-feminina-2027-em-workshop-da-fifa</x:t>
        </x:is>
      </x:c>
      <x:c r="N60" s="23" t="inlineStr">
        <x:is>
          <x:t xml:space="preserve">II Workshop de Cidades-Sede e Estádios da Copa do Mundo Feminina FIFA 2027, realizado de 24 a 26/08/2026 no Rio de Janeiro, reunindo representantes das oito cidades-sede, governos, FIFA e CBF.</x:t>
        </x:is>
      </x:c>
      <x:c r="O60" s="23" t="inlineStr">
        <x:is>
          <x:t xml:space="preserve">Ago</x:t>
        </x:is>
      </x:c>
      <x:c r="P60" s="23" t="n">
        <x:v>2026</x:v>
      </x:c>
    </x:row>
    <x:row r="61">
      <x:c r="A61" s="23" t="inlineStr">
        <x:is>
          <x:t xml:space="preserve">EVT-0064</x:t>
        </x:is>
      </x:c>
      <x:c r="B61" s="23" t="inlineStr">
        <x:is>
          <x:t xml:space="preserve">Planejado</x:t>
        </x:is>
      </x:c>
      <x:c r="C61" s="29" t="n">
        <x:v>46264</x:v>
      </x:c>
      <x:c r="D61" s="23" t="inlineStr">
        <x:is>
          <x:t xml:space="preserve">BA</x:t>
        </x:is>
      </x:c>
      <x:c r="E61" s="23" t="inlineStr">
        <x:is>
          <x:t xml:space="preserve">Salvador</x:t>
        </x:is>
      </x:c>
      <x:c r="F61" s="23" t="inlineStr">
        <x:is>
          <x:t xml:space="preserve">Torneio de futebol feminino</x:t>
        </x:is>
      </x:c>
      <x:c r="G61" s="23" t="inlineStr">
        <x:is>
          <x:t xml:space="preserve">Prefeitura de Salvador / Sempre / Federação Bahiana de Futebol</x:t>
        </x:is>
      </x:c>
      <x:c r="H61" s="7" t="n">
        <x:v>0</x:v>
      </x:c>
      <x:c r="I61" s="23" t="inlineStr">
        <x:is>
          <x:t xml:space="preserve"/>
        </x:is>
      </x:c>
      <x:c r="J61" s="23" t="inlineStr">
        <x:is>
          <x:t xml:space="preserve">Local a definir</x:t>
        </x:is>
      </x:c>
      <x:c r="K61" s="8" t="n"/>
      <x:c r="L61" s="8" t="n"/>
      <x:c r="M61" s="23" t="inlineStr">
        <x:is>
          <x:t xml:space="preserve">https://comunicacao.salvador.ba.gov.br/prefeitura-lanca-copa-salvador-interbairros-2026-com-40-times-e-participacao-inedita-de-equipes-femininas/</x:t>
        </x:is>
      </x:c>
      <x:c r="N61" s="23" t="inlineStr">
        <x:is>
          <x:t xml:space="preserve"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x:t>
        </x:is>
      </x:c>
      <x:c r="O61" s="23" t="inlineStr">
        <x:is>
          <x:t xml:space="preserve">Ago</x:t>
        </x:is>
      </x:c>
      <x:c r="P61" s="23" t="n">
        <x:v>2026</x:v>
      </x:c>
    </x:row>
    <x:row r="62">
      <x:c r="A62" s="23" t="inlineStr">
        <x:is>
          <x:t xml:space="preserve">EVT-0082</x:t>
        </x:is>
      </x:c>
      <x:c r="B62" s="23" t="inlineStr">
        <x:is>
          <x:t xml:space="preserve">Planejado</x:t>
        </x:is>
      </x:c>
      <x:c r="C62" s="29" t="n">
        <x:v>46270</x:v>
      </x:c>
      <x:c r="D62" s="23" t="inlineStr">
        <x:is>
          <x:t xml:space="preserve">POL</x:t>
        </x:is>
      </x:c>
      <x:c r="E62" s="23" t="inlineStr">
        <x:is>
          <x:t xml:space="preserve">Bielsko-Biała</x:t>
        </x:is>
      </x:c>
      <x:c r="F62" s="23" t="inlineStr">
        <x:is>
          <x:t xml:space="preserve">Seleções de Base</x:t>
        </x:is>
      </x:c>
      <x:c r="G62" s="23" t="inlineStr">
        <x:is>
          <x:t xml:space="preserve">FIFA / CBF / Seleção Brasileira Feminina Sub-20</x:t>
        </x:is>
      </x:c>
      <x:c r="H62" s="7" t="n">
        <x:v>0</x:v>
      </x:c>
      <x:c r="I62" s="23" t="inlineStr">
        <x:is>
          <x:t xml:space="preserve"/>
        </x:is>
      </x:c>
      <x:c r="J62" s="23" t="inlineStr">
        <x:is>
          <x:t xml:space="preserve">Estádio de Bielsko-Biała</x:t>
        </x:is>
      </x:c>
      <x:c r="K62" s="8" t="n"/>
      <x:c r="L62" s="8" t="n"/>
      <x:c r="M62" s="23" t="inlineStr">
        <x:is>
          <x:t xml:space="preserve">https://www.fifa.com/pt/tournaments/womens/u20womensworldcup/poland-2026</x:t>
        </x:is>
      </x:c>
      <x:c r="N62" s="23" t="inlineStr">
        <x:is>
          <x:t xml:space="preserve">Copa do Mundo Feminina Sub-20 da FIFA Polônia 2026, disputada de 05 a 27/09/2026. O Brasil está no Grupo B e enfrenta Tanzânia (05/09), Canadá (08/09) e Inglaterra (11/09), sempre no Estádio de Bielsko-Biała, às 10h de Brasília.</x:t>
        </x:is>
      </x:c>
      <x:c r="O62" s="23" t="inlineStr">
        <x:is>
          <x:t xml:space="preserve">Set</x:t>
        </x:is>
      </x:c>
      <x:c r="P62" s="23" t="n">
        <x:v>2026</x:v>
      </x:c>
    </x:row>
    <x:row r="63">
      <x:c r="A63" s="23" t="inlineStr">
        <x:is>
          <x:t xml:space="preserve">EVT-0083</x:t>
        </x:is>
      </x:c>
      <x:c r="B63" s="23" t="inlineStr">
        <x:is>
          <x:t xml:space="preserve">Planejado</x:t>
        </x:is>
      </x:c>
      <x:c r="C63" s="29" t="n">
        <x:v>46273</x:v>
      </x:c>
      <x:c r="D63" s="23" t="inlineStr">
        <x:is>
          <x:t xml:space="preserve">PRY</x:t>
        </x:is>
      </x:c>
      <x:c r="E63" s="23" t="inlineStr">
        <x:is>
          <x:t xml:space="preserve">Assunção</x:t>
        </x:is>
      </x:c>
      <x:c r="F63" s="23" t="inlineStr">
        <x:is>
          <x:t xml:space="preserve">Seleções de Base</x:t>
        </x:is>
      </x:c>
      <x:c r="G63" s="23" t="inlineStr">
        <x:is>
          <x:t xml:space="preserve">CONMEBOL / CBF / Seleção Brasileira Feminina Sub-15</x:t>
        </x:is>
      </x:c>
      <x:c r="H63" s="7" t="n">
        <x:v>0</x:v>
      </x:c>
      <x:c r="I63" s="23" t="inlineStr">
        <x:is>
          <x:t xml:space="preserve"/>
        </x:is>
      </x:c>
      <x:c r="J63" s="23" t="inlineStr">
        <x:is>
          <x:t xml:space="preserve">Local a definir</x:t>
        </x:is>
      </x:c>
      <x:c r="K63" s="8" t="n"/>
      <x:c r="L63" s="8" t="n"/>
      <x:c r="M63" s="23" t="inlineStr">
        <x:is>
          <x:t xml:space="preserve">https://www.cbf.com.br/selecao-brasileira/noticias/convocacoes-selecao-feminina-sub-15/a/beatriz-vaz-convoca-20-atletas-para-liga-evolucao-sub-15-da-conmebol</x:t>
        </x:is>
      </x:c>
      <x:c r="N63" s="23" t="inlineStr">
        <x:is>
          <x:t xml:space="preserve">A Seleção Brasileira Feminina Sub-15 busca o bicampeonato da CONMEBOL Liga Evolução, disputada de 08 a 20/09/2026 no Paraguai. A fonte confirma Assunção como cidade de referência, mas não informa o local físico dos jogos.</x:t>
        </x:is>
      </x:c>
      <x:c r="O63" s="23" t="inlineStr">
        <x:is>
          <x:t xml:space="preserve">Set</x:t>
        </x:is>
      </x:c>
      <x:c r="P63" s="23" t="n">
        <x:v>2026</x:v>
      </x:c>
    </x:row>
    <x:row r="64">
      <x:c r="A64" s="23" t="inlineStr">
        <x:is>
          <x:t xml:space="preserve">EVT-0022</x:t>
        </x:is>
      </x:c>
      <x:c r="B64" s="23" t="inlineStr">
        <x:is>
          <x:t xml:space="preserve">Planejado</x:t>
        </x:is>
      </x:c>
      <x:c r="C64" s="29" t="n">
        <x:v>46279</x:v>
      </x:c>
      <x:c r="D64" s="23" t="inlineStr">
        <x:is>
          <x:t xml:space="preserve">RJ</x:t>
        </x:is>
      </x:c>
      <x:c r="E64" s="23" t="inlineStr">
        <x:is>
          <x:t xml:space="preserve">Rio de Janeiro</x:t>
        </x:is>
      </x:c>
      <x:c r="F64" s="23" t="inlineStr">
        <x:is>
          <x:t xml:space="preserve">Summit</x:t>
        </x:is>
      </x:c>
      <x:c r="G64" s="23" t="inlineStr">
        <x:is>
          <x:t xml:space="preserve">CONFUT / WIFS</x:t>
        </x:is>
      </x:c>
      <x:c r="H64" s="7" t="n">
        <x:v>0</x:v>
      </x:c>
      <x:c r="I64" s="23" t="inlineStr">
        <x:is>
          <x:t xml:space="preserve"/>
        </x:is>
      </x:c>
      <x:c r="J64" s="23" t="inlineStr">
        <x:is>
          <x:t xml:space="preserve">Museu do Amanhã</x:t>
        </x:is>
      </x:c>
      <x:c r="K64" s="8" t="n">
        <x:v>-22.8942</x:v>
      </x:c>
      <x:c r="L64" s="8" t="n">
        <x:v>-43.1794</x:v>
      </x:c>
      <x:c r="M64" s="23" t="inlineStr">
        <x:is>
          <x:t xml:space="preserve">https://womanifs.com/</x:t>
        </x:is>
      </x:c>
      <x:c r="N64" s="23" t="inlineStr">
        <x:is>
          <x:t xml:space="preserve">Women's International Football Summit (WIFS), encontro internacional dedicado ao futebol feminino, em 14 e 15/09/2026 no Museu do Amanhã.</x:t>
        </x:is>
      </x:c>
      <x:c r="O64" s="23" t="inlineStr">
        <x:is>
          <x:t xml:space="preserve">Set</x:t>
        </x:is>
      </x:c>
      <x:c r="P64" s="23" t="n">
        <x:v>2026</x:v>
      </x:c>
    </x:row>
    <x:row r="65">
      <x:c r="A65" s="23" t="inlineStr">
        <x:is>
          <x:t xml:space="preserve">EVT-0062</x:t>
        </x:is>
      </x:c>
      <x:c r="B65" s="23" t="inlineStr">
        <x:is>
          <x:t xml:space="preserve">Planejado</x:t>
        </x:is>
      </x:c>
      <x:c r="C65" s="29" t="n">
        <x:v>46284</x:v>
      </x:c>
      <x:c r="D65" s="23" t="inlineStr">
        <x:is>
          <x:t xml:space="preserve">RJ</x:t>
        </x:is>
      </x:c>
      <x:c r="E65" s="23" t="inlineStr">
        <x:is>
          <x:t xml:space="preserve">Rio de Janeiro</x:t>
        </x:is>
      </x:c>
      <x:c r="F65" s="23" t="inlineStr">
        <x:is>
          <x:t xml:space="preserve">Tour histórico-cultural</x:t>
        </x:is>
      </x:c>
      <x:c r="G65" s="23" t="inlineStr">
        <x:is>
          <x:t xml:space="preserve">Tour Delas</x:t>
        </x:is>
      </x:c>
      <x:c r="H65" s="7" t="n">
        <x:v>0</x:v>
      </x:c>
      <x:c r="I65" s="23" t="inlineStr">
        <x:is>
          <x:t xml:space="preserve"/>
        </x:is>
      </x:c>
      <x:c r="J65" s="23" t="inlineStr">
        <x:is>
          <x:t xml:space="preserve">Praça Tiradentes — ponto de encontro em frente ao VLT</x:t>
        </x:is>
      </x:c>
      <x:c r="K65" s="8" t="n"/>
      <x:c r="L65" s="8" t="n"/>
      <x:c r="M65" s="23" t="inlineStr">
        <x:is>
          <x:t xml:space="preserve">https://www.sympla.com.br/evento/historia-do-futebol-feminino-no-rio/3546698</x:t>
        </x:is>
      </x:c>
      <x:c r="N65" s="23" t="inlineStr">
        <x:is>
          <x:t xml:space="preserve"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x:t>
        </x:is>
      </x:c>
      <x:c r="O65" s="23" t="inlineStr">
        <x:is>
          <x:t xml:space="preserve">Set</x:t>
        </x:is>
      </x:c>
      <x:c r="P65" s="23" t="n">
        <x:v>2026</x:v>
      </x:c>
    </x:row>
    <x:row r="66">
      <x:c r="A66" s="23" t="inlineStr">
        <x:is>
          <x:t xml:space="preserve">EVT-0084</x:t>
        </x:is>
      </x:c>
      <x:c r="B66" s="23" t="inlineStr">
        <x:is>
          <x:t xml:space="preserve">Planejado</x:t>
        </x:is>
      </x:c>
      <x:c r="C66" s="29" t="n">
        <x:v>46287</x:v>
      </x:c>
      <x:c r="D66" s="23" t="inlineStr">
        <x:is>
          <x:t xml:space="preserve">RJ</x:t>
        </x:is>
      </x:c>
      <x:c r="E66" s="23" t="inlineStr">
        <x:is>
          <x:t xml:space="preserve">Teresópolis</x:t>
        </x:is>
      </x:c>
      <x:c r="F66" s="23" t="inlineStr">
        <x:is>
          <x:t xml:space="preserve">Seleções de Base</x:t>
        </x:is>
      </x:c>
      <x:c r="G66" s="23" t="inlineStr">
        <x:is>
          <x:t xml:space="preserve">CBF / Seleção Brasileira Feminina Sub-17</x:t>
        </x:is>
      </x:c>
      <x:c r="H66" s="7" t="n">
        <x:v>0</x:v>
      </x:c>
      <x:c r="I66" s="23" t="inlineStr">
        <x:is>
          <x:t xml:space="preserve"/>
        </x:is>
      </x:c>
      <x:c r="J66" s="23" t="inlineStr">
        <x:is>
          <x:t xml:space="preserve">Granja Comary</x:t>
        </x:is>
      </x:c>
      <x:c r="K66" s="8" t="n"/>
      <x:c r="L66" s="8" t="n"/>
      <x:c r="M66" s="23" t="inlineStr">
        <x:is>
          <x:t xml:space="preserve">https://www.cbf.com.br/selecao-brasileira/noticias/noticias/selecao-base-feminina/confira-o-calendario-do-segundo-semestre-das-selecoes-femininas-de-base</x:t>
        </x:is>
      </x:c>
      <x:c r="N66" s="23" t="inlineStr">
        <x:is>
          <x:t xml:space="preserve">Período de treinamento da Seleção Brasileira Feminina Sub-17 entre 22/09 e 16/10/2026, na Granja Comary, como preparação final para a Copa do Mundo da categoria no Marrocos.</x:t>
        </x:is>
      </x:c>
      <x:c r="O66" s="23" t="inlineStr">
        <x:is>
          <x:t xml:space="preserve">Set</x:t>
        </x:is>
      </x:c>
      <x:c r="P66" s="23" t="n">
        <x:v>2026</x:v>
      </x:c>
    </x:row>
    <x:row r="67">
      <x:c r="A67" s="23" t="inlineStr">
        <x:is>
          <x:t xml:space="preserve">EVT-0074</x:t>
        </x:is>
      </x:c>
      <x:c r="B67" s="23" t="inlineStr">
        <x:is>
          <x:t xml:space="preserve">Planejado</x:t>
        </x:is>
      </x:c>
      <x:c r="C67" s="29" t="n">
        <x:v>46298</x:v>
      </x:c>
      <x:c r="D67" s="23" t="inlineStr">
        <x:is>
          <x:t xml:space="preserve">SP</x:t>
        </x:is>
      </x:c>
      <x:c r="E67" s="23" t="inlineStr">
        <x:is>
          <x:t xml:space="preserve">São Paulo</x:t>
        </x:is>
      </x:c>
      <x:c r="F67" s="23" t="inlineStr">
        <x:is>
          <x:t xml:space="preserve">Palestra</x:t>
        </x:is>
      </x:c>
      <x:c r="G67" s="23" t="inlineStr">
        <x:is>
          <x:t xml:space="preserve">COB Expo</x:t>
        </x:is>
      </x:c>
      <x:c r="H67" s="7" t="n">
        <x:v>0</x:v>
      </x:c>
      <x:c r="I67" s="23" t="inlineStr">
        <x:is>
          <x:t xml:space="preserve"/>
        </x:is>
      </x:c>
      <x:c r="J67" s="23" t="inlineStr">
        <x:is>
          <x:t xml:space="preserve">Pro Magno Centro de Eventos</x:t>
        </x:is>
      </x:c>
      <x:c r="K67" s="8" t="n"/>
      <x:c r="L67" s="8" t="n"/>
      <x:c r="M67" s="23" t="inlineStr">
        <x:is>
          <x:t xml:space="preserve">https://cobexpo.soudaliga.com.br/reserva?date=2026-10-03&amp;id=22500&amp;nextInternalLocale=pt-BR</x:t>
        </x:is>
      </x:c>
      <x:c r="N67" s="23" t="inlineStr">
        <x:is>
          <x:t xml:space="preserve">Sessão “Copa do Mundo Feminina FIFA 2027 no Brasil: mídia, visibilidade e construção de legado”, em 03/10/2026, das 9h30 às 11h30, durante a COB Expo 2026.</x:t>
        </x:is>
      </x:c>
      <x:c r="O67" s="23" t="inlineStr">
        <x:is>
          <x:t xml:space="preserve">Out</x:t>
        </x:is>
      </x:c>
      <x:c r="P67" s="23" t="n">
        <x:v>2026</x:v>
      </x:c>
    </x:row>
    <x:row r="68">
      <x:c r="A68" s="23" t="inlineStr">
        <x:is>
          <x:t xml:space="preserve">EVT-0006</x:t>
        </x:is>
      </x:c>
      <x:c r="B68" s="23" t="inlineStr">
        <x:is>
          <x:t xml:space="preserve">Planejado</x:t>
        </x:is>
      </x:c>
      <x:c r="C68" s="29" t="n">
        <x:v>46300</x:v>
      </x:c>
      <x:c r="D68" s="23" t="inlineStr">
        <x:is>
          <x:t xml:space="preserve">BR</x:t>
        </x:is>
      </x:c>
      <x:c r="E68" s="23" t="inlineStr">
        <x:is>
          <x:t xml:space="preserve">Brasil</x:t>
        </x:is>
      </x:c>
      <x:c r="F68" s="23" t="inlineStr">
        <x:is>
          <x:t xml:space="preserve">Amistosos da Seleção</x:t>
        </x:is>
      </x:c>
      <x:c r="G68" s="23" t="inlineStr">
        <x:is>
          <x:t xml:space="preserve">CBF / Seleção Brasileira Feminina</x:t>
        </x:is>
      </x:c>
      <x:c r="H68" s="7" t="n">
        <x:v>0</x:v>
      </x:c>
      <x:c r="I68" s="23" t="inlineStr">
        <x:is>
          <x:t xml:space="preserve"/>
        </x:is>
      </x:c>
      <x:c r="J68" s="23" t="inlineStr">
        <x:is>
          <x:t xml:space="preserve">A definir</x:t>
        </x:is>
      </x:c>
      <x:c r="K68" s="8" t="n"/>
      <x:c r="L68" s="8" t="n"/>
      <x:c r="M68" s="23" t="inlineStr">
        <x:is>
          <x:t xml:space="preserve">Informado pelo usuário</x:t>
        </x:is>
      </x:c>
      <x:c r="N68" s="23" t="inlineStr">
        <x:is>
          <x:t xml:space="preserve">Janela reservada de 05 a 13/10/2026 para realização de até 2 jogos amistosos.</x:t>
        </x:is>
      </x:c>
      <x:c r="O68" s="23" t="inlineStr">
        <x:is>
          <x:t xml:space="preserve">Out</x:t>
        </x:is>
      </x:c>
      <x:c r="P68" s="23" t="n">
        <x:v>2026</x:v>
      </x:c>
    </x:row>
    <x:row r="69">
      <x:c r="A69" s="23" t="inlineStr">
        <x:is>
          <x:t xml:space="preserve">EVT-0085</x:t>
        </x:is>
      </x:c>
      <x:c r="B69" s="23" t="inlineStr">
        <x:is>
          <x:t xml:space="preserve">Planejado</x:t>
        </x:is>
      </x:c>
      <x:c r="C69" s="29" t="n">
        <x:v>46300</x:v>
      </x:c>
      <x:c r="D69" s="23" t="inlineStr">
        <x:is>
          <x:t xml:space="preserve">BR</x:t>
        </x:is>
      </x:c>
      <x:c r="E69" s="23" t="inlineStr">
        <x:is>
          <x:t xml:space="preserve">Local a definir</x:t>
        </x:is>
      </x:c>
      <x:c r="F69" s="23" t="inlineStr">
        <x:is>
          <x:t xml:space="preserve">Seleções de Base</x:t>
        </x:is>
      </x:c>
      <x:c r="G69" s="23" t="inlineStr">
        <x:is>
          <x:t xml:space="preserve">CBF / Seleção Brasileira Feminina Sub-20</x:t>
        </x:is>
      </x:c>
      <x:c r="H69" s="7" t="n">
        <x:v>0</x:v>
      </x:c>
      <x:c r="I69" s="23" t="inlineStr">
        <x:is>
          <x:t xml:space="preserve"/>
        </x:is>
      </x:c>
      <x:c r="J69" s="23" t="inlineStr">
        <x:is>
          <x:t xml:space="preserve">Local a definir</x:t>
        </x:is>
      </x:c>
      <x:c r="K69" s="8" t="n"/>
      <x:c r="L69" s="8" t="n"/>
      <x:c r="M69" s="23" t="inlineStr">
        <x:is>
          <x:t xml:space="preserve">https://www.cbf.com.br/selecao-brasileira/noticias/noticias/selecao-base-feminina/confira-o-calendario-do-segundo-semestre-das-selecoes-femininas-de-base</x:t>
        </x:is>
      </x:c>
      <x:c r="N69" s="23" t="inlineStr">
        <x:is>
          <x:t xml:space="preserve">Período de treinamentos da Seleção Brasileira Feminina Sub-20 previsto de 05 a 13/10/2026. A CBF não informou cidade nem local físico.</x:t>
        </x:is>
      </x:c>
      <x:c r="O69" s="23" t="inlineStr">
        <x:is>
          <x:t xml:space="preserve">Out</x:t>
        </x:is>
      </x:c>
      <x:c r="P69" s="23" t="n">
        <x:v>2026</x:v>
      </x:c>
    </x:row>
    <x:row r="70">
      <x:c r="A70" s="23" t="inlineStr">
        <x:is>
          <x:t xml:space="preserve">EVT-0086</x:t>
        </x:is>
      </x:c>
      <x:c r="B70" s="23" t="inlineStr">
        <x:is>
          <x:t xml:space="preserve">Planejado</x:t>
        </x:is>
      </x:c>
      <x:c r="C70" s="29" t="n">
        <x:v>46312</x:v>
      </x:c>
      <x:c r="D70" s="23" t="inlineStr">
        <x:is>
          <x:t xml:space="preserve">MAR</x:t>
        </x:is>
      </x:c>
      <x:c r="E70" s="23" t="inlineStr">
        <x:is>
          <x:t xml:space="preserve">Local a definir</x:t>
        </x:is>
      </x:c>
      <x:c r="F70" s="23" t="inlineStr">
        <x:is>
          <x:t xml:space="preserve">Seleções de Base</x:t>
        </x:is>
      </x:c>
      <x:c r="G70" s="23" t="inlineStr">
        <x:is>
          <x:t xml:space="preserve">FIFA / CBF / Seleção Brasileira Feminina Sub-17</x:t>
        </x:is>
      </x:c>
      <x:c r="H70" s="7" t="n">
        <x:v>0</x:v>
      </x:c>
      <x:c r="I70" s="23" t="inlineStr">
        <x:is>
          <x:t xml:space="preserve"/>
        </x:is>
      </x:c>
      <x:c r="J70" s="23" t="inlineStr">
        <x:is>
          <x:t xml:space="preserve">Local a definir</x:t>
        </x:is>
      </x:c>
      <x:c r="K70" s="8" t="n"/>
      <x:c r="L70" s="8" t="n"/>
      <x:c r="M70" s="23" t="inlineStr">
        <x:is>
          <x:t xml:space="preserve">https://www.cbf.com.br/selecao-brasileira/noticias/noticias/selecao-base-feminina/confira-o-calendario-do-segundo-semestre-das-selecoes-femininas-de-base</x:t>
        </x:is>
      </x:c>
      <x:c r="N70" s="23" t="inlineStr">
        <x:is>
          <x:t xml:space="preserve">Copa do Mundo Feminina Sub-17 da FIFA, disputada de 17/10 a 07/11/2026 no Marrocos. O Brasil integra grupo com Canadá, Noruega e uma seleção africana; a fonte consultada não especifica cidade nem estádio.</x:t>
        </x:is>
      </x:c>
      <x:c r="O70" s="23" t="inlineStr">
        <x:is>
          <x:t xml:space="preserve">Out</x:t>
        </x:is>
      </x:c>
      <x:c r="P70" s="23" t="n">
        <x:v>2026</x:v>
      </x:c>
    </x:row>
    <x:row r="71">
      <x:c r="A71" s="23" t="inlineStr">
        <x:is>
          <x:t xml:space="preserve">EVT-0087</x:t>
        </x:is>
      </x:c>
      <x:c r="B71" s="23" t="inlineStr">
        <x:is>
          <x:t xml:space="preserve">Planejado</x:t>
        </x:is>
      </x:c>
      <x:c r="C71" s="29" t="n">
        <x:v>46340</x:v>
      </x:c>
      <x:c r="D71" s="23" t="inlineStr">
        <x:is>
          <x:t xml:space="preserve">BR</x:t>
        </x:is>
      </x:c>
      <x:c r="E71" s="23" t="inlineStr">
        <x:is>
          <x:t xml:space="preserve">Local a definir</x:t>
        </x:is>
      </x:c>
      <x:c r="F71" s="23" t="inlineStr">
        <x:is>
          <x:t xml:space="preserve">Seleções de Base</x:t>
        </x:is>
      </x:c>
      <x:c r="G71" s="23" t="inlineStr">
        <x:is>
          <x:t xml:space="preserve">CBF / Seleção Brasileira Feminina Sub-15</x:t>
        </x:is>
      </x:c>
      <x:c r="H71" s="7" t="n">
        <x:v>0</x:v>
      </x:c>
      <x:c r="I71" s="23" t="inlineStr">
        <x:is>
          <x:t xml:space="preserve"/>
        </x:is>
      </x:c>
      <x:c r="J71" s="23" t="inlineStr">
        <x:is>
          <x:t xml:space="preserve">Local a definir</x:t>
        </x:is>
      </x:c>
      <x:c r="K71" s="8" t="n"/>
      <x:c r="L71" s="8" t="n"/>
      <x:c r="M71" s="23" t="inlineStr">
        <x:is>
          <x:t xml:space="preserve">https://www.cbf.com.br/selecao-brasileira/noticias/noticias/selecao-base-feminina/confira-o-calendario-do-segundo-semestre-das-selecoes-femininas-de-base</x:t>
        </x:is>
      </x:c>
      <x:c r="N71" s="23" t="inlineStr">
        <x:is>
          <x:t xml:space="preserve">Torneio Brasil de Seleções previsto de 14 a 22/11/2026 como encerramento do calendário da Seleção Feminina Sub-15. A fonte não informa cidade, local físico ou tabela de jogos.</x:t>
        </x:is>
      </x:c>
      <x:c r="O71" s="23" t="inlineStr">
        <x:is>
          <x:t xml:space="preserve">Nov</x:t>
        </x:is>
      </x:c>
      <x:c r="P71" s="23" t="n">
        <x:v>2026</x:v>
      </x:c>
    </x:row>
    <x:row r="72">
      <x:c r="A72" s="23" t="inlineStr">
        <x:is>
          <x:t xml:space="preserve">EVT-0055</x:t>
        </x:is>
      </x:c>
      <x:c r="B72" s="23" t="inlineStr">
        <x:is>
          <x:t xml:space="preserve">Planejado</x:t>
        </x:is>
      </x:c>
      <x:c r="C72" s="29" t="n">
        <x:v>46341</x:v>
      </x:c>
      <x:c r="D72" s="23" t="inlineStr">
        <x:is>
          <x:t xml:space="preserve">SP</x:t>
        </x:is>
      </x:c>
      <x:c r="E72" s="23" t="inlineStr">
        <x:is>
          <x:t xml:space="preserve">São Paulo</x:t>
        </x:is>
      </x:c>
      <x:c r="F72" s="23" t="inlineStr">
        <x:is>
          <x:t xml:space="preserve">Premiação</x:t>
        </x:is>
      </x:c>
      <x:c r="G72" s="23" t="inlineStr">
        <x:is>
          <x:t xml:space="preserve">TV Brasil / EBC / Petrobras</x:t>
        </x:is>
      </x:c>
      <x:c r="H72" s="7" t="n">
        <x:v>0</x:v>
      </x:c>
      <x:c r="I72" s="23" t="inlineStr">
        <x:is>
          <x:t xml:space="preserve">Petrobras</x:t>
        </x:is>
      </x:c>
      <x:c r="J72" s="23" t="inlineStr">
        <x:is>
          <x:t xml:space="preserve">Local a definir</x:t>
        </x:is>
      </x:c>
      <x:c r="K72" s="8" t="n"/>
      <x:c r="L72" s="8" t="n"/>
      <x:c r="M72" s="23" t="inlineStr">
        <x:is>
          <x:t xml:space="preserve">https://www.ebc.com.br/premiotvbrasilpetrobrasparaelas/</x:t>
        </x:is>
      </x:c>
      <x:c r="N72" s="23" t="inlineStr">
        <x:is>
          <x:t xml:space="preserve"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x:t>
        </x:is>
      </x:c>
      <x:c r="O72" s="23" t="inlineStr">
        <x:is>
          <x:t xml:space="preserve">Nov</x:t>
        </x:is>
      </x:c>
      <x:c r="P72" s="23" t="n">
        <x:v>2026</x:v>
      </x:c>
    </x:row>
    <x:row r="73">
      <x:c r="A73" s="23" t="inlineStr">
        <x:is>
          <x:t xml:space="preserve">EVT-0007</x:t>
        </x:is>
      </x:c>
      <x:c r="B73" s="23" t="inlineStr">
        <x:is>
          <x:t xml:space="preserve">Planejado</x:t>
        </x:is>
      </x:c>
      <x:c r="C73" s="29" t="n">
        <x:v>46350</x:v>
      </x:c>
      <x:c r="D73" s="23" t="inlineStr">
        <x:is>
          <x:t xml:space="preserve">BR</x:t>
        </x:is>
      </x:c>
      <x:c r="E73" s="23" t="inlineStr">
        <x:is>
          <x:t xml:space="preserve">Brasil</x:t>
        </x:is>
      </x:c>
      <x:c r="F73" s="23" t="inlineStr">
        <x:is>
          <x:t xml:space="preserve">Amistosos da Seleção</x:t>
        </x:is>
      </x:c>
      <x:c r="G73" s="23" t="inlineStr">
        <x:is>
          <x:t xml:space="preserve">CBF / Seleção Brasileira Feminina</x:t>
        </x:is>
      </x:c>
      <x:c r="H73" s="7" t="n">
        <x:v>0</x:v>
      </x:c>
      <x:c r="I73" s="23" t="inlineStr">
        <x:is>
          <x:t xml:space="preserve"/>
        </x:is>
      </x:c>
      <x:c r="J73" s="23" t="inlineStr">
        <x:is>
          <x:t xml:space="preserve">A definir</x:t>
        </x:is>
      </x:c>
      <x:c r="K73" s="8" t="n"/>
      <x:c r="L73" s="8" t="n"/>
      <x:c r="M73" s="23" t="inlineStr">
        <x:is>
          <x:t xml:space="preserve">Informado pelo usuário</x:t>
        </x:is>
      </x:c>
      <x:c r="N73" s="23" t="inlineStr">
        <x:is>
          <x:t xml:space="preserve">Período estendido de 24/11 a 05/12/2026, permitindo até 3 jogos preparatórios.</x:t>
        </x:is>
      </x:c>
      <x:c r="O73" s="23" t="inlineStr">
        <x:is>
          <x:t xml:space="preserve">Nov</x:t>
        </x:is>
      </x:c>
      <x:c r="P73" s="23" t="n">
        <x:v>2026</x:v>
      </x:c>
    </x:row>
    <x:row r="74">
      <x:c r="A74" s="23" t="inlineStr">
        <x:is>
          <x:t xml:space="preserve">EVT-0088</x:t>
        </x:is>
      </x:c>
      <x:c r="B74" s="23" t="inlineStr">
        <x:is>
          <x:t xml:space="preserve">Planejado</x:t>
        </x:is>
      </x:c>
      <x:c r="C74" s="29" t="n">
        <x:v>46350</x:v>
      </x:c>
      <x:c r="D74" s="23" t="inlineStr">
        <x:is>
          <x:t xml:space="preserve">BR</x:t>
        </x:is>
      </x:c>
      <x:c r="E74" s="23" t="inlineStr">
        <x:is>
          <x:t xml:space="preserve">Local a definir</x:t>
        </x:is>
      </x:c>
      <x:c r="F74" s="23" t="inlineStr">
        <x:is>
          <x:t xml:space="preserve">Seleções de Base</x:t>
        </x:is>
      </x:c>
      <x:c r="G74" s="23" t="inlineStr">
        <x:is>
          <x:t xml:space="preserve">CBF / Seleção Brasileira Feminina Sub-20</x:t>
        </x:is>
      </x:c>
      <x:c r="H74" s="7" t="n">
        <x:v>0</x:v>
      </x:c>
      <x:c r="I74" s="23" t="inlineStr">
        <x:is>
          <x:t xml:space="preserve"/>
        </x:is>
      </x:c>
      <x:c r="J74" s="23" t="inlineStr">
        <x:is>
          <x:t xml:space="preserve">Local a definir</x:t>
        </x:is>
      </x:c>
      <x:c r="K74" s="8" t="n"/>
      <x:c r="L74" s="8" t="n"/>
      <x:c r="M74" s="23" t="inlineStr">
        <x:is>
          <x:t xml:space="preserve">https://www.cbf.com.br/selecao-brasileira/noticias/noticias/selecao-base-feminina/confira-o-calendario-do-segundo-semestre-das-selecoes-femininas-de-base</x:t>
        </x:is>
      </x:c>
      <x:c r="N74" s="23" t="inlineStr">
        <x:is>
          <x:t xml:space="preserve">Janela de amistosos internacionais da Seleção Brasileira Feminina Sub-20 prevista entre 24/11 e 05/12/2026. Adversários, cidade e local físico ainda não foram divulgados.</x:t>
        </x:is>
      </x:c>
      <x:c r="O74" s="23" t="inlineStr">
        <x:is>
          <x:t xml:space="preserve">Nov</x:t>
        </x:is>
      </x:c>
      <x:c r="P74" s="23" t="n">
        <x:v>2026</x:v>
      </x:c>
    </x:row>
    <x:row r="75">
      <x:c r="A75" s="23" t="inlineStr">
        <x:is>
          <x:t xml:space="preserve">EVT-0011</x:t>
        </x:is>
      </x:c>
      <x:c r="B75" s="23" t="inlineStr">
        <x:is>
          <x:t xml:space="preserve">Planejado</x:t>
        </x:is>
      </x:c>
      <x:c r="C75" s="29" t="n">
        <x:v>46357</x:v>
      </x:c>
      <x:c r="D75" s="23" t="inlineStr">
        <x:is>
          <x:t xml:space="preserve">BR</x:t>
        </x:is>
      </x:c>
      <x:c r="E75" s="23" t="inlineStr">
        <x:is>
          <x:t xml:space="preserve">Brasil</x:t>
        </x:is>
      </x:c>
      <x:c r="F75" s="23" t="inlineStr">
        <x:is>
          <x:t xml:space="preserve">Centro de Treinamento</x:t>
        </x:is>
      </x:c>
      <x:c r="G75" s="23" t="inlineStr">
        <x:is>
          <x:t xml:space="preserve">CBF / Seleção Brasileira Feminina</x:t>
        </x:is>
      </x:c>
      <x:c r="H75" s="7" t="n">
        <x:v>0</x:v>
      </x:c>
      <x:c r="I75" s="23" t="inlineStr">
        <x:is>
          <x:t xml:space="preserve"/>
        </x:is>
      </x:c>
      <x:c r="J75" s="23" t="inlineStr">
        <x:is>
          <x:t xml:space="preserve">A definir</x:t>
        </x:is>
      </x:c>
      <x:c r="K75" s="8" t="n"/>
      <x:c r="L75" s="8" t="n"/>
      <x:c r="M75" s="23" t="inlineStr">
        <x:is>
          <x:t xml:space="preserve">Informado pelo usuário</x:t>
        </x:is>
      </x:c>
      <x:c r="N75" s="23" t="inlineStr">
        <x:is>
          <x:t xml:space="preserve">Definição do Team Base Camp prevista para dezembro de 2026. Data exata a definir.</x:t>
        </x:is>
      </x:c>
      <x:c r="O75" s="23" t="inlineStr">
        <x:is>
          <x:t xml:space="preserve">Dez</x:t>
        </x:is>
      </x:c>
      <x:c r="P75" s="23" t="n">
        <x:v>2026</x:v>
      </x:c>
    </x:row>
    <x:row r="76">
      <x:c r="A76" s="23" t="inlineStr">
        <x:is>
          <x:t xml:space="preserve">EVT-0089</x:t>
        </x:is>
      </x:c>
      <x:c r="B76" s="23" t="inlineStr">
        <x:is>
          <x:t xml:space="preserve">Planejado</x:t>
        </x:is>
      </x:c>
      <x:c r="C76" s="29" t="n">
        <x:v>46362</x:v>
      </x:c>
      <x:c r="D76" s="23" t="inlineStr">
        <x:is>
          <x:t xml:space="preserve">BR</x:t>
        </x:is>
      </x:c>
      <x:c r="E76" s="23" t="inlineStr">
        <x:is>
          <x:t xml:space="preserve">Local a definir</x:t>
        </x:is>
      </x:c>
      <x:c r="F76" s="23" t="inlineStr">
        <x:is>
          <x:t xml:space="preserve">Seleções de Base</x:t>
        </x:is>
      </x:c>
      <x:c r="G76" s="23" t="inlineStr">
        <x:is>
          <x:t xml:space="preserve">CBF / Seleção Brasileira Feminina Sub-17</x:t>
        </x:is>
      </x:c>
      <x:c r="H76" s="7" t="n">
        <x:v>0</x:v>
      </x:c>
      <x:c r="I76" s="23" t="inlineStr">
        <x:is>
          <x:t xml:space="preserve"/>
        </x:is>
      </x:c>
      <x:c r="J76" s="23" t="inlineStr">
        <x:is>
          <x:t xml:space="preserve">Local a definir</x:t>
        </x:is>
      </x:c>
      <x:c r="K76" s="8" t="n"/>
      <x:c r="L76" s="8" t="n"/>
      <x:c r="M76" s="23" t="inlineStr">
        <x:is>
          <x:t xml:space="preserve">https://www.cbf.com.br/selecao-brasileira/noticias/noticias/selecao-base-feminina/confira-o-calendario-do-segundo-semestre-das-selecoes-femininas-de-base</x:t>
        </x:is>
      </x:c>
      <x:c r="N76" s="23" t="inlineStr">
        <x:is>
          <x:t xml:space="preserve">Período de treinamento da Seleção Brasileira Feminina Sub-17 previsto de 06 a 12/12/2026. A CBF não informou cidade nem local físico.</x:t>
        </x:is>
      </x:c>
      <x:c r="O76" s="23" t="inlineStr">
        <x:is>
          <x:t xml:space="preserve">Dez</x:t>
        </x:is>
      </x:c>
      <x:c r="P76" s="23" t="n">
        <x:v>2026</x:v>
      </x:c>
    </x:row>
    <x:row r="77">
      <x:c r="A77" s="23" t="inlineStr">
        <x:is>
          <x:t xml:space="preserve">EVT-0010</x:t>
        </x:is>
      </x:c>
      <x:c r="B77" s="23" t="inlineStr">
        <x:is>
          <x:t xml:space="preserve">Planejado</x:t>
        </x:is>
      </x:c>
      <x:c r="C77" s="29" t="n">
        <x:v>46367</x:v>
      </x:c>
      <x:c r="D77" s="23" t="inlineStr">
        <x:is>
          <x:t xml:space="preserve">RJ</x:t>
        </x:is>
      </x:c>
      <x:c r="E77" s="23" t="inlineStr">
        <x:is>
          <x:t xml:space="preserve">Rio de Janeiro</x:t>
        </x:is>
      </x:c>
      <x:c r="F77" s="23" t="inlineStr">
        <x:is>
          <x:t xml:space="preserve">Sorteio Oficial</x:t>
        </x:is>
      </x:c>
      <x:c r="G77" s="23" t="inlineStr">
        <x:is>
          <x:t xml:space="preserve">FIFA</x:t>
        </x:is>
      </x:c>
      <x:c r="H77" s="7" t="n">
        <x:v>0</x:v>
      </x:c>
      <x:c r="I77" s="23" t="inlineStr">
        <x:is>
          <x:t xml:space="preserve"/>
        </x:is>
      </x:c>
      <x:c r="J77" s="23" t="inlineStr">
        <x:is>
          <x:t xml:space="preserve">Museu de Arte Moderna do Rio de Janeiro (MAM Rio)</x:t>
        </x:is>
      </x:c>
      <x:c r="K77" s="8" t="n"/>
      <x:c r="L77" s="8" t="n"/>
      <x:c r="M77" s="23" t="inlineStr">
        <x:is>
          <x:t xml:space="preserve">https://www.fifa.com/pt/tournaments/womens/womensworldcup/brazil-2027/articles/sorteio-grupos-copa-mundo-feminina-2027-data-local</x:t>
        </x:is>
      </x:c>
      <x:c r="N77" s="23" t="inlineStr">
        <x:is>
          <x:t xml:space="preserve">Sorteio final dos grupos confirmado para 11/12/2026 no MAM Rio. O evento definirá os oito grupos e o caminho das 32 seleções na Copa do Mundo Feminina FIFA 2027.</x:t>
        </x:is>
      </x:c>
      <x:c r="O77" s="23" t="inlineStr">
        <x:is>
          <x:t xml:space="preserve">Dez</x:t>
        </x:is>
      </x:c>
      <x:c r="P77" s="23" t="n">
        <x:v>2026</x:v>
      </x:c>
    </x:row>
    <x:row r="78">
      <x:c r="A78" s="23" t="inlineStr">
        <x:is>
          <x:t xml:space="preserve">EVT-0008</x:t>
        </x:is>
      </x:c>
      <x:c r="B78" s="23" t="inlineStr">
        <x:is>
          <x:t xml:space="preserve">Planejado</x:t>
        </x:is>
      </x:c>
      <x:c r="C78" s="29" t="n">
        <x:v>46444</x:v>
      </x:c>
      <x:c r="D78" s="23" t="inlineStr">
        <x:is>
          <x:t xml:space="preserve">BR</x:t>
        </x:is>
      </x:c>
      <x:c r="E78" s="23" t="inlineStr">
        <x:is>
          <x:t xml:space="preserve">Brasil</x:t>
        </x:is>
      </x:c>
      <x:c r="F78" s="23" t="inlineStr">
        <x:is>
          <x:t xml:space="preserve">Amistosos da Seleção</x:t>
        </x:is>
      </x:c>
      <x:c r="G78" s="23" t="inlineStr">
        <x:is>
          <x:t xml:space="preserve">CBF / Seleção Brasileira Feminina</x:t>
        </x:is>
      </x:c>
      <x:c r="H78" s="7" t="n">
        <x:v>0</x:v>
      </x:c>
      <x:c r="I78" s="23" t="inlineStr">
        <x:is>
          <x:t xml:space="preserve"/>
        </x:is>
      </x:c>
      <x:c r="J78" s="23" t="inlineStr">
        <x:is>
          <x:t xml:space="preserve">A definir</x:t>
        </x:is>
      </x:c>
      <x:c r="K78" s="8" t="n"/>
      <x:c r="L78" s="8" t="n"/>
      <x:c r="M78" s="23" t="inlineStr">
        <x:is>
          <x:t xml:space="preserve">Informado pelo usuário</x:t>
        </x:is>
      </x:c>
      <x:c r="N78" s="23" t="inlineStr">
        <x:is>
          <x:t xml:space="preserve">Primeira janela de amistosos de 2027, de 26/02 a 06/03, voltada aos testes táticos finais antes da convocação.</x:t>
        </x:is>
      </x:c>
      <x:c r="O78" s="23" t="inlineStr">
        <x:is>
          <x:t xml:space="preserve">Fev</x:t>
        </x:is>
      </x:c>
      <x:c r="P78" s="23" t="n">
        <x:v>2027</x:v>
      </x:c>
    </x:row>
    <x:row r="79">
      <x:c r="A79" s="23" t="inlineStr">
        <x:is>
          <x:t xml:space="preserve">EVT-0090</x:t>
        </x:is>
      </x:c>
      <x:c r="B79" s="23" t="inlineStr">
        <x:is>
          <x:t xml:space="preserve">Planejado</x:t>
        </x:is>
      </x:c>
      <x:c r="C79" s="6" t="n">
        <x:v>46478</x:v>
      </x:c>
      <x:c r="D79" s="23" t="inlineStr">
        <x:is>
          <x:t xml:space="preserve">BR</x:t>
        </x:is>
      </x:c>
      <x:c r="E79" s="23" t="inlineStr">
        <x:is>
          <x:t xml:space="preserve">Local a definir</x:t>
        </x:is>
      </x:c>
      <x:c r="F79" s="23" t="inlineStr">
        <x:is>
          <x:t xml:space="preserve">Ativação itinerante</x:t>
        </x:is>
      </x:c>
      <x:c r="G79" s="23" t="inlineStr">
        <x:is>
          <x:t xml:space="preserve">FIFA / cidades-sede</x:t>
        </x:is>
      </x:c>
      <x:c r="H79" s="7" t="n">
        <x:v>0</x:v>
      </x:c>
      <x:c r="I79" s="23" t="inlineStr">
        <x:is>
          <x:t xml:space="preserve"/>
        </x:is>
      </x:c>
      <x:c r="J79" s="23" t="inlineStr">
        <x:is>
          <x:t xml:space="preserve">Local a definir</x:t>
        </x:is>
      </x:c>
      <x:c r="K79" s="8" t="n"/>
      <x:c r="L79" s="8" t="n"/>
      <x:c r="M79" s="23" t="inlineStr">
        <x:is>
          <x:t xml:space="preserve">https://www.correiodopovo.com.br/esportes/taca-da-copa-feminina-fara-tour-pelo-brasil-entre-abril-e-maio-de-2027-1.1742125</x:t>
        </x:is>
      </x:c>
      <x:c r="N79" s="23" t="inlineStr">
        <x:is>
          <x:t xml:space="preserve"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x:t>
        </x:is>
      </x:c>
      <x:c r="O79" s="23" t="inlineStr">
        <x:is>
          <x:t xml:space="preserve">Abr</x:t>
        </x:is>
      </x:c>
      <x:c r="P79" s="23" t="n">
        <x:v>2027</x:v>
      </x:c>
    </x:row>
    <x:row r="80">
      <x:c r="A80" s="23" t="inlineStr">
        <x:is>
          <x:t xml:space="preserve">EVT-0009</x:t>
        </x:is>
      </x:c>
      <x:c r="B80" s="23" t="inlineStr">
        <x:is>
          <x:t xml:space="preserve">Planejado</x:t>
        </x:is>
      </x:c>
      <x:c r="C80" s="6" t="n">
        <x:v>46482</x:v>
      </x:c>
      <x:c r="D80" s="23" t="inlineStr">
        <x:is>
          <x:t xml:space="preserve">BR</x:t>
        </x:is>
      </x:c>
      <x:c r="E80" s="23" t="inlineStr">
        <x:is>
          <x:t xml:space="preserve">Brasil</x:t>
        </x:is>
      </x:c>
      <x:c r="F80" s="23" t="inlineStr">
        <x:is>
          <x:t xml:space="preserve">Data FIFA / Convocação</x:t>
        </x:is>
      </x:c>
      <x:c r="G80" s="23" t="inlineStr">
        <x:is>
          <x:t xml:space="preserve">CBF / Seleção Brasileira Feminina</x:t>
        </x:is>
      </x:c>
      <x:c r="H80" s="7" t="n">
        <x:v>0</x:v>
      </x:c>
      <x:c r="I80" s="23" t="inlineStr">
        <x:is>
          <x:t xml:space="preserve"/>
        </x:is>
      </x:c>
      <x:c r="J80" s="23" t="inlineStr">
        <x:is>
          <x:t xml:space="preserve">A definir</x:t>
        </x:is>
      </x:c>
      <x:c r="K80" s="8" t="n"/>
      <x:c r="L80" s="8" t="n"/>
      <x:c r="M80" s="23" t="inlineStr">
        <x:is>
          <x:t xml:space="preserve">Informado pelo usuário</x:t>
        </x:is>
      </x:c>
      <x:c r="N80" s="23" t="inlineStr">
        <x:is>
          <x:t xml:space="preserve">Última Data FIFA oficial antes do Mundial, de 05 a 13/04/2027. Período previsto para Arthur Elias fechar a lista oficial de convocadas.</x:t>
        </x:is>
      </x:c>
      <x:c r="O80" s="23" t="inlineStr">
        <x:is>
          <x:t xml:space="preserve">Abr</x:t>
        </x:is>
      </x:c>
      <x:c r="P80" s="23" t="n">
        <x:v>2027</x:v>
      </x:c>
    </x:row>
    <x:row r="81">
      <x:c r="A81" s="23" t="inlineStr">
        <x:is>
          <x:t xml:space="preserve">EVT-0012</x:t>
        </x:is>
      </x:c>
      <x:c r="B81" s="23" t="inlineStr">
        <x:is>
          <x:t xml:space="preserve">Planejado</x:t>
        </x:is>
      </x:c>
      <x:c r="C81" s="6" t="n">
        <x:v>46508</x:v>
      </x:c>
      <x:c r="D81" s="23" t="inlineStr">
        <x:is>
          <x:t xml:space="preserve">BR</x:t>
        </x:is>
      </x:c>
      <x:c r="E81" s="23" t="inlineStr">
        <x:is>
          <x:t xml:space="preserve">Brasil</x:t>
        </x:is>
      </x:c>
      <x:c r="F81" s="23" t="inlineStr">
        <x:is>
          <x:t xml:space="preserve">Preparação da Seleção</x:t>
        </x:is>
      </x:c>
      <x:c r="G81" s="23" t="inlineStr">
        <x:is>
          <x:t xml:space="preserve">CBF / Seleção Brasileira Feminina</x:t>
        </x:is>
      </x:c>
      <x:c r="H81" s="7" t="n">
        <x:v>0</x:v>
      </x:c>
      <x:c r="I81" s="23" t="inlineStr">
        <x:is>
          <x:t xml:space="preserve"/>
        </x:is>
      </x:c>
      <x:c r="J81" s="23" t="inlineStr">
        <x:is>
          <x:t xml:space="preserve">Centro de treinamento a definir</x:t>
        </x:is>
      </x:c>
      <x:c r="K81" s="8" t="n">
        <x:v>-22.9122</x:v>
      </x:c>
      <x:c r="L81" s="8" t="n">
        <x:v>-43.2302</x:v>
      </x:c>
      <x:c r="M81" s="23" t="inlineStr">
        <x:is>
          <x:t xml:space="preserve">Informado pelo usuário</x:t>
        </x:is>
      </x:c>
      <x:c r="N81" s="23" t="inlineStr">
        <x:is>
          <x:t xml:space="preserve">Período de preparação fechada entre maio e junho de 2027, com concentração final e treinos intensivos sem interrupção de clubes.</x:t>
        </x:is>
      </x:c>
      <x:c r="O81" s="23" t="inlineStr">
        <x:is>
          <x:t xml:space="preserve">Mai</x:t>
        </x:is>
      </x:c>
      <x:c r="P81" s="23" t="n">
        <x:v>2027</x:v>
      </x:c>
    </x:row>
    <x:row r="82">
      <x:c r="A82" s="23" t="inlineStr">
        <x:is>
          <x:t xml:space="preserve">EVT-0077</x:t>
        </x:is>
      </x:c>
      <x:c r="B82" s="23" t="inlineStr">
        <x:is>
          <x:t xml:space="preserve">Planejado</x:t>
        </x:is>
      </x:c>
      <x:c r="C82" s="6" t="n">
        <x:v>46548</x:v>
      </x:c>
      <x:c r="D82" s="23" t="inlineStr">
        <x:is>
          <x:t xml:space="preserve">RJ</x:t>
        </x:is>
      </x:c>
      <x:c r="E82" s="23" t="inlineStr">
        <x:is>
          <x:t xml:space="preserve">Rio de Janeiro</x:t>
        </x:is>
      </x:c>
      <x:c r="F82" s="23" t="inlineStr">
        <x:is>
          <x:t xml:space="preserve">Marco operacional</x:t>
        </x:is>
      </x:c>
      <x:c r="G82" s="23" t="inlineStr">
        <x:is>
          <x:t xml:space="preserve">FIFA / administração do Maracanã</x:t>
        </x:is>
      </x:c>
      <x:c r="H82" s="7" t="n">
        <x:v>0</x:v>
      </x:c>
      <x:c r="I82" s="23" t="inlineStr">
        <x:is>
          <x:t xml:space="preserve"/>
        </x:is>
      </x:c>
      <x:c r="J82" s="23" t="inlineStr">
        <x:is>
          <x:t xml:space="preserve">Maracanã</x:t>
        </x:is>
      </x:c>
      <x:c r="K82" s="8" t="n">
        <x:v>-22.9122</x:v>
      </x:c>
      <x:c r="L82" s="8" t="n">
        <x:v>-43.2302</x:v>
      </x:c>
      <x:c r="M82" s="23" t="inlineStr">
        <x:is>
          <x:t xml:space="preserve">https://www.uol.com.br/esporte/futebol/ultimas-noticias/2026/08/24/cbf-garante-solucao-para-clubes-nao-perderem-mandos-na-copa-feminina.ghtm</x:t>
        </x:is>
      </x:c>
      <x:c r="N82" s="23" t="inlineStr">
        <x:is>
          <x:t xml:space="preserve">O Maracanã será o primeiro estádio entregue para uso exclusivo da FIFA, em 10/06/2027, 14 dias antes da abertura da Copa. As demais arenas terão início escalonado conforme a data de sua primeira partida; a fonte não publica aqui todas as datas individuais de entrega.</x:t>
        </x:is>
      </x:c>
      <x:c r="O82" s="23" t="inlineStr">
        <x:is>
          <x:t xml:space="preserve">Jun</x:t>
        </x:is>
      </x:c>
      <x:c r="P82" s="23" t="n">
        <x:v>2027</x:v>
      </x:c>
    </x:row>
    <x:row r="83">
      <x:c r="A83" s="23" t="inlineStr">
        <x:is>
          <x:t xml:space="preserve">EVT-0017</x:t>
        </x:is>
      </x:c>
      <x:c r="B83" s="23" t="inlineStr">
        <x:is>
          <x:t xml:space="preserve">Planejado</x:t>
        </x:is>
      </x:c>
      <x:c r="C83" s="6" t="n">
        <x:v>46562</x:v>
      </x:c>
      <x:c r="D83" s="23" t="inlineStr">
        <x:is>
          <x:t xml:space="preserve">RJ</x:t>
        </x:is>
      </x:c>
      <x:c r="E83" s="23" t="inlineStr">
        <x:is>
          <x:t xml:space="preserve">Rio de Janeiro</x:t>
        </x:is>
      </x:c>
      <x:c r="F83" s="23" t="inlineStr">
        <x:is>
          <x:t xml:space="preserve">Jogo da Copa</x:t>
        </x:is>
      </x:c>
      <x:c r="G83" s="23" t="inlineStr">
        <x:is>
          <x:t xml:space="preserve">FIFA</x:t>
        </x:is>
      </x:c>
      <x:c r="H83" s="7" t="n">
        <x:v>0</x:v>
      </x:c>
      <x:c r="I83" s="23" t="inlineStr">
        <x:is>
          <x:t xml:space="preserve"/>
        </x:is>
      </x:c>
      <x:c r="J83" s="23" t="inlineStr">
        <x:is>
          <x:t xml:space="preserve">Maracanã</x:t>
        </x:is>
      </x:c>
      <x:c r="K83" s="8" t="n">
        <x:v>-22.9122</x:v>
      </x:c>
      <x:c r="L83" s="8" t="n">
        <x:v>-43.2302</x:v>
      </x:c>
      <x:c r="M83" s="23" t="inlineStr">
        <x:is>
          <x:t xml:space="preserve">https://www.fifa.com/pt/articles/tabela-jogos-copa-feminina-divulgacao-maracana-final-abertura</x:t>
        </x:is>
      </x:c>
      <x:c r="N83" s="23" t="inlineStr">
        <x:is>
          <x:t xml:space="preserve">Partida de abertura da Copa e estreia do Brasil no Grupo A; adversário será definido no sorteio final.</x:t>
        </x:is>
      </x:c>
      <x:c r="O83" s="23" t="inlineStr">
        <x:is>
          <x:t xml:space="preserve">Jun</x:t>
        </x:is>
      </x:c>
      <x:c r="P83" s="23" t="n">
        <x:v>2027</x:v>
      </x:c>
    </x:row>
    <x:row r="84">
      <x:c r="A84" s="23" t="inlineStr">
        <x:is>
          <x:t xml:space="preserve">EVT-0018</x:t>
        </x:is>
      </x:c>
      <x:c r="B84" s="23" t="inlineStr">
        <x:is>
          <x:t xml:space="preserve">Planejado</x:t>
        </x:is>
      </x:c>
      <x:c r="C84" s="6" t="n">
        <x:v>46567</x:v>
      </x:c>
      <x:c r="D84" s="23" t="inlineStr">
        <x:is>
          <x:t xml:space="preserve">SP</x:t>
        </x:is>
      </x:c>
      <x:c r="E84" s="23" t="inlineStr">
        <x:is>
          <x:t xml:space="preserve">São Paulo</x:t>
        </x:is>
      </x:c>
      <x:c r="F84" s="23" t="inlineStr">
        <x:is>
          <x:t xml:space="preserve">Jogo da Copa</x:t>
        </x:is>
      </x:c>
      <x:c r="G84" s="23" t="inlineStr">
        <x:is>
          <x:t xml:space="preserve">FIFA</x:t>
        </x:is>
      </x:c>
      <x:c r="H84" s="7" t="n">
        <x:v>0</x:v>
      </x:c>
      <x:c r="I84" s="23" t="inlineStr">
        <x:is>
          <x:t xml:space="preserve"/>
        </x:is>
      </x:c>
      <x:c r="J84" s="23" t="inlineStr">
        <x:is>
          <x:t xml:space="preserve">Arena Itaquera</x:t>
        </x:is>
      </x:c>
      <x:c r="K84" s="8" t="n">
        <x:v>-23.5453</x:v>
      </x:c>
      <x:c r="L84" s="8" t="n">
        <x:v>-46.4742</x:v>
      </x:c>
      <x:c r="M84" s="23" t="inlineStr">
        <x:is>
          <x:t xml:space="preserve">https://www.fifa.com/pt/articles/tabela-jogos-copa-feminina-divulgacao-maracana-final-abertura</x:t>
        </x:is>
      </x:c>
      <x:c r="N84" s="23" t="inlineStr">
        <x:is>
          <x:t xml:space="preserve">Segundo jogo do Brasil na fase de grupos; adversário será definido no sorteio final.</x:t>
        </x:is>
      </x:c>
      <x:c r="O84" s="23" t="inlineStr">
        <x:is>
          <x:t xml:space="preserve">Jun</x:t>
        </x:is>
      </x:c>
      <x:c r="P84" s="23" t="n">
        <x:v>2027</x:v>
      </x:c>
    </x:row>
    <x:row r="85">
      <x:c r="A85" s="23" t="inlineStr">
        <x:is>
          <x:t xml:space="preserve">EVT-0019</x:t>
        </x:is>
      </x:c>
      <x:c r="B85" s="23" t="inlineStr">
        <x:is>
          <x:t xml:space="preserve">Planejado</x:t>
        </x:is>
      </x:c>
      <x:c r="C85" s="6" t="n">
        <x:v>46572</x:v>
      </x:c>
      <x:c r="D85" s="23" t="inlineStr">
        <x:is>
          <x:t xml:space="preserve">DF</x:t>
        </x:is>
      </x:c>
      <x:c r="E85" s="23" t="inlineStr">
        <x:is>
          <x:t xml:space="preserve">Brasília</x:t>
        </x:is>
      </x:c>
      <x:c r="F85" s="23" t="inlineStr">
        <x:is>
          <x:t xml:space="preserve">Jogo da Copa</x:t>
        </x:is>
      </x:c>
      <x:c r="G85" s="23" t="inlineStr">
        <x:is>
          <x:t xml:space="preserve">FIFA</x:t>
        </x:is>
      </x:c>
      <x:c r="H85" s="7" t="n">
        <x:v>0</x:v>
      </x:c>
      <x:c r="I85" s="23" t="inlineStr">
        <x:is>
          <x:t xml:space="preserve"/>
        </x:is>
      </x:c>
      <x:c r="J85" s="23" t="inlineStr">
        <x:is>
          <x:t xml:space="preserve">Estádio Nacional Mané Garrincha</x:t>
        </x:is>
      </x:c>
      <x:c r="K85" s="8" t="n">
        <x:v>-15.7835</x:v>
      </x:c>
      <x:c r="L85" s="8" t="n">
        <x:v>-47.8992</x:v>
      </x:c>
      <x:c r="M85" s="23" t="inlineStr">
        <x:is>
          <x:t xml:space="preserve">https://www.fifa.com/pt/articles/tabela-jogos-copa-feminina-divulgacao-maracana-final-abertura</x:t>
        </x:is>
      </x:c>
      <x:c r="N85" s="23" t="inlineStr">
        <x:is>
          <x:t xml:space="preserve">Terceiro jogo do Brasil na fase de grupos; adversário será definido no sorteio final.</x:t>
        </x:is>
      </x:c>
      <x:c r="O85" s="23" t="inlineStr">
        <x:is>
          <x:t xml:space="preserve">Jul</x:t>
        </x:is>
      </x:c>
      <x:c r="P85" s="23" t="n">
        <x:v>2027</x:v>
      </x:c>
    </x:row>
    <x:row r="86">
      <x:c r="A86" s="23" t="inlineStr">
        <x:is>
          <x:t xml:space="preserve">EVT-0020</x:t>
        </x:is>
      </x:c>
      <x:c r="B86" s="23" t="inlineStr">
        <x:is>
          <x:t xml:space="preserve">Planejado</x:t>
        </x:is>
      </x:c>
      <x:c r="C86" s="6" t="n">
        <x:v>46593</x:v>
      </x:c>
      <x:c r="D86" s="23" t="inlineStr">
        <x:is>
          <x:t xml:space="preserve">RJ</x:t>
        </x:is>
      </x:c>
      <x:c r="E86" s="23" t="inlineStr">
        <x:is>
          <x:t xml:space="preserve">Rio de Janeiro</x:t>
        </x:is>
      </x:c>
      <x:c r="F86" s="23" t="inlineStr">
        <x:is>
          <x:t xml:space="preserve">Final da Copa</x:t>
        </x:is>
      </x:c>
      <x:c r="G86" s="23" t="inlineStr">
        <x:is>
          <x:t xml:space="preserve">FIFA</x:t>
        </x:is>
      </x:c>
      <x:c r="H86" s="7" t="n">
        <x:v>0</x:v>
      </x:c>
      <x:c r="I86" s="23" t="inlineStr">
        <x:is>
          <x:t xml:space="preserve"/>
        </x:is>
      </x:c>
      <x:c r="J86" s="23" t="inlineStr">
        <x:is>
          <x:t xml:space="preserve">Maracanã</x:t>
        </x:is>
      </x:c>
      <x:c r="K86" s="8" t="n">
        <x:v>-22.9122</x:v>
      </x:c>
      <x:c r="L86" s="8" t="n">
        <x:v>-43.2302</x:v>
      </x:c>
      <x:c r="M86" s="23" t="inlineStr">
        <x:is>
          <x:t xml:space="preserve">https://www.fifa.com/pt/articles/tabela-jogos-copa-feminina-divulgacao-maracana-final-abertura</x:t>
        </x:is>
      </x:c>
      <x:c r="N86" s="23" t="inlineStr">
        <x:is>
          <x:t xml:space="preserve">Final da Copa do Mundo Feminina da FIFA Brasil 2027.</x:t>
        </x:is>
      </x:c>
      <x:c r="O86" s="23" t="inlineStr">
        <x:is>
          <x:t xml:space="preserve">Jul</x:t>
        </x:is>
      </x:c>
      <x:c r="P86" s="23" t="n">
        <x:v>2027</x:v>
      </x:c>
    </x:row>
    <x:row r="87">
      <x:c r="A87" s="23" t="n"/>
      <x:c r="B87" s="23" t="n"/>
      <x:c r="C87" s="6" t="n"/>
      <x:c r="D87" s="23" t="n"/>
      <x:c r="E87" s="23" t="n"/>
      <x:c r="F87" s="23" t="n"/>
      <x:c r="G87" s="23" t="n"/>
      <x:c r="H87" s="7" t="n"/>
      <x:c r="I87" s="23" t="n"/>
      <x:c r="J87" s="23" t="n"/>
      <x:c r="K87" s="8" t="n"/>
      <x:c r="L87" s="8" t="n"/>
      <x:c r="M87" s="23" t="n"/>
      <x:c r="N87" s="23" t="n"/>
      <x:c r="O87" s="23" t="n"/>
      <x:c r="P87" s="23" t="n"/>
    </x:row>
    <x:row r="88">
      <x:c r="A88" s="23" t="n"/>
      <x:c r="B88" s="23" t="n"/>
      <x:c r="C88" s="6" t="n"/>
      <x:c r="D88" s="23" t="n"/>
      <x:c r="E88" s="23" t="n"/>
      <x:c r="F88" s="23" t="n"/>
      <x:c r="G88" s="23" t="n"/>
      <x:c r="H88" s="7" t="n"/>
      <x:c r="I88" s="23" t="n"/>
      <x:c r="J88" s="23" t="n"/>
      <x:c r="K88" s="8" t="n"/>
      <x:c r="L88" s="8" t="n"/>
      <x:c r="M88" s="23" t="n"/>
      <x:c r="N88" s="23" t="n"/>
      <x:c r="O88" s="23" t="n"/>
      <x:c r="P88" s="23" t="n"/>
    </x:row>
    <x:row r="89">
      <x:c r="A89" s="23" t="n"/>
      <x:c r="B89" s="23" t="n"/>
      <x:c r="C89" s="6" t="n"/>
      <x:c r="D89" s="23" t="n"/>
      <x:c r="E89" s="23" t="n"/>
      <x:c r="F89" s="23" t="n"/>
      <x:c r="G89" s="23" t="n"/>
      <x:c r="H89" s="7" t="n"/>
      <x:c r="I89" s="23" t="n"/>
      <x:c r="J89" s="23" t="n"/>
      <x:c r="K89" s="8" t="n"/>
      <x:c r="L89" s="8" t="n"/>
      <x:c r="M89" s="23" t="n"/>
      <x:c r="N89" s="23" t="n"/>
      <x:c r="O89" s="23" t="n"/>
      <x:c r="P89" s="23" t="n"/>
    </x:row>
    <x:row r="90">
      <x:c r="A90" s="23" t="n"/>
      <x:c r="B90" s="23" t="n"/>
      <x:c r="C90" s="6" t="n"/>
      <x:c r="D90" s="23" t="n"/>
      <x:c r="E90" s="23" t="n"/>
      <x:c r="F90" s="23" t="n"/>
      <x:c r="G90" s="23" t="n"/>
      <x:c r="H90" s="7" t="n"/>
      <x:c r="I90" s="23" t="n"/>
      <x:c r="J90" s="23" t="n"/>
      <x:c r="K90" s="8" t="n"/>
      <x:c r="L90" s="8" t="n"/>
      <x:c r="M90" s="23" t="n"/>
      <x:c r="N90" s="23" t="n"/>
      <x:c r="O90" s="23" t="n"/>
      <x:c r="P90" s="23" t="n"/>
    </x:row>
    <x:row r="91">
      <x:c r="A91" s="23" t="n"/>
      <x:c r="B91" s="23" t="n"/>
      <x:c r="C91" s="6" t="n"/>
      <x:c r="D91" s="23" t="n"/>
      <x:c r="E91" s="23" t="n"/>
      <x:c r="F91" s="23" t="n"/>
      <x:c r="G91" s="23" t="n"/>
      <x:c r="H91" s="7" t="n"/>
      <x:c r="I91" s="23" t="n"/>
      <x:c r="J91" s="23" t="n"/>
      <x:c r="K91" s="8" t="n"/>
      <x:c r="L91" s="8" t="n"/>
      <x:c r="M91" s="23" t="n"/>
      <x:c r="N91" s="23" t="n"/>
      <x:c r="O91" s="23" t="n"/>
      <x:c r="P91" s="23" t="n"/>
    </x:row>
    <x:row r="92">
      <x:c r="A92" s="23" t="n"/>
      <x:c r="B92" s="23" t="n"/>
      <x:c r="C92" s="6" t="n"/>
      <x:c r="D92" s="23" t="n"/>
      <x:c r="E92" s="23" t="n"/>
      <x:c r="F92" s="23" t="n"/>
      <x:c r="G92" s="23" t="n"/>
      <x:c r="H92" s="7" t="n"/>
      <x:c r="I92" s="23" t="n"/>
      <x:c r="J92" s="23" t="n"/>
      <x:c r="K92" s="8" t="n"/>
      <x:c r="L92" s="8" t="n"/>
      <x:c r="M92" s="23" t="n"/>
      <x:c r="N92" s="23" t="n"/>
      <x:c r="O92" s="23" t="n"/>
      <x:c r="P92" s="23" t="n"/>
    </x:row>
    <x:row r="93">
      <x:c r="A93" s="23" t="n"/>
      <x:c r="B93" s="23" t="n"/>
      <x:c r="C93" s="6" t="n"/>
      <x:c r="D93" s="23" t="n"/>
      <x:c r="E93" s="23" t="n"/>
      <x:c r="F93" s="23" t="n"/>
      <x:c r="G93" s="23" t="n"/>
      <x:c r="H93" s="7" t="n"/>
      <x:c r="I93" s="23" t="n"/>
      <x:c r="J93" s="23" t="n"/>
      <x:c r="K93" s="8" t="n"/>
      <x:c r="L93" s="8" t="n"/>
      <x:c r="M93" s="23" t="n"/>
      <x:c r="N93" s="23" t="n"/>
      <x:c r="O93" s="23" t="n"/>
      <x:c r="P93" s="23" t="n"/>
    </x:row>
    <x:row r="94">
      <x:c r="A94" s="23" t="n"/>
      <x:c r="B94" s="23" t="n"/>
      <x:c r="C94" s="6" t="n"/>
      <x:c r="D94" s="23" t="n"/>
      <x:c r="E94" s="23" t="n"/>
      <x:c r="F94" s="23" t="n"/>
      <x:c r="G94" s="23" t="n"/>
      <x:c r="H94" s="7" t="n"/>
      <x:c r="I94" s="23" t="n"/>
      <x:c r="J94" s="23" t="n"/>
      <x:c r="K94" s="8" t="n"/>
      <x:c r="L94" s="8" t="n"/>
      <x:c r="M94" s="23" t="n"/>
      <x:c r="N94" s="23" t="n"/>
      <x:c r="O94" s="23" t="n"/>
      <x:c r="P94" s="23" t="n"/>
    </x:row>
    <x:row r="95">
      <x:c r="A95" s="23" t="n"/>
      <x:c r="B95" s="23" t="n"/>
      <x:c r="C95" s="6" t="n"/>
      <x:c r="D95" s="23" t="n"/>
      <x:c r="E95" s="23" t="n"/>
      <x:c r="F95" s="23" t="n"/>
      <x:c r="G95" s="23" t="n"/>
      <x:c r="H95" s="7" t="n"/>
      <x:c r="I95" s="23" t="n"/>
      <x:c r="J95" s="23" t="n"/>
      <x:c r="K95" s="8" t="n"/>
      <x:c r="L95" s="8" t="n"/>
      <x:c r="M95" s="23" t="n"/>
      <x:c r="N95" s="23" t="n"/>
      <x:c r="O95" s="23" t="n"/>
      <x:c r="P95" s="23" t="n"/>
    </x:row>
    <x:row r="96">
      <x:c r="A96" s="23" t="n"/>
      <x:c r="B96" s="23" t="n"/>
      <x:c r="C96" s="6" t="n"/>
      <x:c r="D96" s="23" t="n"/>
      <x:c r="E96" s="23" t="n"/>
      <x:c r="F96" s="23" t="n"/>
      <x:c r="G96" s="23" t="n"/>
      <x:c r="H96" s="7" t="n"/>
      <x:c r="I96" s="23" t="n"/>
      <x:c r="J96" s="23" t="n"/>
      <x:c r="K96" s="8" t="n"/>
      <x:c r="L96" s="8" t="n"/>
      <x:c r="M96" s="23" t="n"/>
      <x:c r="N96" s="23" t="n"/>
      <x:c r="O96" s="23" t="n"/>
      <x:c r="P96" s="23" t="n"/>
    </x:row>
    <x:row r="97">
      <x:c r="A97" s="23" t="n"/>
      <x:c r="B97" s="23" t="n"/>
      <x:c r="C97" s="6" t="n"/>
      <x:c r="D97" s="23" t="n"/>
      <x:c r="E97" s="23" t="n"/>
      <x:c r="F97" s="23" t="n"/>
      <x:c r="G97" s="23" t="n"/>
      <x:c r="H97" s="7" t="n"/>
      <x:c r="I97" s="23" t="n"/>
      <x:c r="J97" s="23" t="n"/>
      <x:c r="K97" s="8" t="n"/>
      <x:c r="L97" s="8" t="n"/>
      <x:c r="M97" s="23" t="n"/>
      <x:c r="N97" s="23" t="n"/>
      <x:c r="O97" s="23" t="n"/>
      <x:c r="P97" s="23" t="n"/>
    </x:row>
    <x:row r="98">
      <x:c r="A98" s="23" t="n"/>
      <x:c r="B98" s="23" t="n"/>
      <x:c r="C98" s="6" t="n"/>
      <x:c r="D98" s="23" t="n"/>
      <x:c r="E98" s="23" t="n"/>
      <x:c r="F98" s="23" t="n"/>
      <x:c r="G98" s="23" t="n"/>
      <x:c r="H98" s="7" t="n"/>
      <x:c r="I98" s="23" t="n"/>
      <x:c r="J98" s="23" t="n"/>
      <x:c r="K98" s="8" t="n"/>
      <x:c r="L98" s="8" t="n"/>
      <x:c r="M98" s="23" t="n"/>
      <x:c r="N98" s="23" t="n"/>
      <x:c r="O98" s="23" t="n"/>
      <x:c r="P98" s="23" t="n"/>
    </x:row>
    <x:row r="99">
      <x:c r="A99" s="23" t="n"/>
      <x:c r="B99" s="23" t="n"/>
      <x:c r="C99" s="6" t="n"/>
      <x:c r="D99" s="23" t="n"/>
      <x:c r="E99" s="23" t="n"/>
      <x:c r="F99" s="23" t="n"/>
      <x:c r="G99" s="23" t="n"/>
      <x:c r="H99" s="7" t="n"/>
      <x:c r="I99" s="23" t="n"/>
      <x:c r="J99" s="23" t="n"/>
      <x:c r="K99" s="8" t="n"/>
      <x:c r="L99" s="8" t="n"/>
      <x:c r="M99" s="23" t="n"/>
      <x:c r="N99" s="23" t="n"/>
      <x:c r="O99" s="23" t="n"/>
      <x:c r="P99" s="23" t="n"/>
    </x:row>
    <x:row r="100">
      <x:c r="A100" s="23" t="n"/>
      <x:c r="B100" s="23" t="n"/>
      <x:c r="C100" s="6" t="n"/>
      <x:c r="D100" s="23" t="n"/>
      <x:c r="E100" s="23" t="n"/>
      <x:c r="F100" s="23" t="n"/>
      <x:c r="G100" s="23" t="n"/>
      <x:c r="H100" s="7" t="n"/>
      <x:c r="I100" s="23" t="n"/>
      <x:c r="J100" s="23" t="n"/>
      <x:c r="K100" s="8" t="n"/>
      <x:c r="L100" s="8" t="n"/>
      <x:c r="M100" s="23" t="n"/>
      <x:c r="N100" s="23" t="n"/>
      <x:c r="O100" s="23" t="n"/>
      <x:c r="P100" s="23" t="n"/>
    </x:row>
    <x:row r="101">
      <x:c r="A101" s="23" t="n"/>
      <x:c r="B101" s="23" t="n"/>
      <x:c r="C101" s="6" t="n"/>
      <x:c r="D101" s="23" t="n"/>
      <x:c r="E101" s="23" t="n"/>
      <x:c r="F101" s="23" t="n"/>
      <x:c r="G101" s="23" t="n"/>
      <x:c r="H101" s="7" t="n"/>
      <x:c r="I101" s="23" t="n"/>
      <x:c r="J101" s="23" t="n"/>
      <x:c r="K101" s="8" t="n"/>
      <x:c r="L101" s="8" t="n"/>
      <x:c r="M101" s="23" t="n"/>
      <x:c r="N101" s="23" t="n"/>
      <x:c r="O101" s="23" t="n"/>
      <x:c r="P101" s="23" t="n"/>
    </x:row>
    <x:row r="102">
      <x:c r="A102" s="23" t="n"/>
      <x:c r="B102" s="23" t="n"/>
      <x:c r="C102" s="6" t="n"/>
      <x:c r="D102" s="23" t="n"/>
      <x:c r="E102" s="23" t="n"/>
      <x:c r="F102" s="23" t="n"/>
      <x:c r="G102" s="23" t="n"/>
      <x:c r="H102" s="7" t="n"/>
      <x:c r="I102" s="23" t="n"/>
      <x:c r="J102" s="23" t="n"/>
      <x:c r="K102" s="8" t="n"/>
      <x:c r="L102" s="8" t="n"/>
      <x:c r="M102" s="23" t="n"/>
      <x:c r="N102" s="23" t="n"/>
      <x:c r="O102" s="23" t="n"/>
      <x:c r="P102" s="23" t="n"/>
    </x:row>
    <x:row r="103">
      <x:c r="A103" s="23" t="n"/>
      <x:c r="B103" s="23" t="n"/>
      <x:c r="C103" s="6" t="n"/>
      <x:c r="D103" s="23" t="n"/>
      <x:c r="E103" s="23" t="n"/>
      <x:c r="F103" s="23" t="n"/>
      <x:c r="G103" s="23" t="n"/>
      <x:c r="H103" s="7" t="n"/>
      <x:c r="I103" s="23" t="n"/>
      <x:c r="J103" s="23" t="n"/>
      <x:c r="K103" s="8" t="n"/>
      <x:c r="L103" s="8" t="n"/>
      <x:c r="M103" s="23" t="n"/>
      <x:c r="N103" s="23" t="n"/>
      <x:c r="O103" s="23" t="n"/>
      <x:c r="P103" s="23" t="n"/>
    </x:row>
    <x:row r="104">
      <x:c r="A104" s="23" t="n"/>
      <x:c r="B104" s="23" t="n"/>
      <x:c r="C104" s="6" t="n"/>
      <x:c r="D104" s="23" t="n"/>
      <x:c r="E104" s="23" t="n"/>
      <x:c r="F104" s="23" t="n"/>
      <x:c r="G104" s="23" t="n"/>
      <x:c r="H104" s="7" t="n"/>
      <x:c r="I104" s="23" t="n"/>
      <x:c r="J104" s="23" t="n"/>
      <x:c r="K104" s="8" t="n"/>
      <x:c r="L104" s="8" t="n"/>
      <x:c r="M104" s="23" t="n"/>
      <x:c r="N104" s="23" t="n"/>
      <x:c r="O104" s="23" t="n"/>
      <x:c r="P104" s="23" t="n"/>
    </x:row>
    <x:row r="105">
      <x:c r="A105" s="23" t="n"/>
      <x:c r="B105" s="23" t="n"/>
      <x:c r="C105" s="6" t="n"/>
      <x:c r="D105" s="23" t="n"/>
      <x:c r="E105" s="23" t="n"/>
      <x:c r="F105" s="23" t="n"/>
      <x:c r="G105" s="23" t="n"/>
      <x:c r="H105" s="7" t="n"/>
      <x:c r="I105" s="23" t="n"/>
      <x:c r="J105" s="23" t="n"/>
      <x:c r="K105" s="8" t="n"/>
      <x:c r="L105" s="8" t="n"/>
      <x:c r="M105" s="23" t="n"/>
      <x:c r="N105" s="23" t="n"/>
      <x:c r="O105" s="23" t="n"/>
      <x:c r="P105" s="23" t="n"/>
    </x:row>
    <x:row r="106">
      <x:c r="A106" s="23" t="n"/>
      <x:c r="B106" s="23" t="n"/>
      <x:c r="C106" s="6" t="n"/>
      <x:c r="D106" s="23" t="n"/>
      <x:c r="E106" s="23" t="n"/>
      <x:c r="F106" s="23" t="n"/>
      <x:c r="G106" s="23" t="n"/>
      <x:c r="H106" s="7" t="n"/>
      <x:c r="I106" s="23" t="n"/>
      <x:c r="J106" s="23" t="n"/>
      <x:c r="K106" s="8" t="n"/>
      <x:c r="L106" s="8" t="n"/>
      <x:c r="M106" s="23" t="n"/>
      <x:c r="N106" s="23" t="n"/>
      <x:c r="O106" s="23" t="n"/>
      <x:c r="P106" s="23" t="n"/>
    </x:row>
    <x:row r="107">
      <x:c r="A107" s="23" t="n"/>
      <x:c r="B107" s="23" t="n"/>
      <x:c r="C107" s="6" t="n"/>
      <x:c r="D107" s="23" t="n"/>
      <x:c r="E107" s="23" t="n"/>
      <x:c r="F107" s="23" t="n"/>
      <x:c r="G107" s="23" t="n"/>
      <x:c r="H107" s="7" t="n"/>
      <x:c r="I107" s="23" t="n"/>
      <x:c r="J107" s="23" t="n"/>
      <x:c r="K107" s="8" t="n"/>
      <x:c r="L107" s="8" t="n"/>
      <x:c r="M107" s="23" t="n"/>
      <x:c r="N107" s="23" t="n"/>
      <x:c r="O107" s="23" t="n"/>
      <x:c r="P107" s="23" t="n"/>
    </x:row>
    <x:row r="108">
      <x:c r="A108" s="23" t="n"/>
      <x:c r="B108" s="23" t="n"/>
      <x:c r="C108" s="6" t="n"/>
      <x:c r="D108" s="23" t="n"/>
      <x:c r="E108" s="23" t="n"/>
      <x:c r="F108" s="23" t="n"/>
      <x:c r="G108" s="23" t="n"/>
      <x:c r="H108" s="7" t="n"/>
      <x:c r="I108" s="23" t="n"/>
      <x:c r="J108" s="23" t="n"/>
      <x:c r="K108" s="8" t="n"/>
      <x:c r="L108" s="8" t="n"/>
      <x:c r="M108" s="23" t="n"/>
      <x:c r="N108" s="23" t="n"/>
      <x:c r="O108" s="23" t="n"/>
      <x:c r="P108" s="23" t="n"/>
    </x:row>
    <x:row r="109">
      <x:c r="A109" s="23" t="n"/>
      <x:c r="B109" s="23" t="n"/>
      <x:c r="C109" s="6" t="n"/>
      <x:c r="D109" s="23" t="n"/>
      <x:c r="E109" s="23" t="n"/>
      <x:c r="F109" s="23" t="n"/>
      <x:c r="G109" s="23" t="n"/>
      <x:c r="H109" s="7" t="n"/>
      <x:c r="I109" s="23" t="n"/>
      <x:c r="J109" s="23" t="n"/>
      <x:c r="K109" s="8" t="n"/>
      <x:c r="L109" s="8" t="n"/>
      <x:c r="M109" s="23" t="n"/>
      <x:c r="N109" s="23" t="n"/>
      <x:c r="O109" s="23" t="n"/>
      <x:c r="P109" s="23" t="n"/>
    </x:row>
    <x:row r="110">
      <x:c r="A110" s="23" t="n"/>
      <x:c r="B110" s="23" t="n"/>
      <x:c r="C110" s="6" t="n"/>
      <x:c r="D110" s="23" t="n"/>
      <x:c r="E110" s="23" t="n"/>
      <x:c r="F110" s="23" t="n"/>
      <x:c r="G110" s="23" t="n"/>
      <x:c r="H110" s="7" t="n"/>
      <x:c r="I110" s="23" t="n"/>
      <x:c r="J110" s="23" t="n"/>
      <x:c r="K110" s="8" t="n"/>
      <x:c r="L110" s="8" t="n"/>
      <x:c r="M110" s="23" t="n"/>
      <x:c r="N110" s="23" t="n"/>
      <x:c r="O110" s="23" t="n"/>
      <x:c r="P110" s="23" t="n"/>
    </x:row>
    <x:row r="111">
      <x:c r="A111" s="23" t="n"/>
      <x:c r="B111" s="23" t="n"/>
      <x:c r="C111" s="6" t="n"/>
      <x:c r="D111" s="23" t="n"/>
      <x:c r="E111" s="23" t="n"/>
      <x:c r="F111" s="23" t="n"/>
      <x:c r="G111" s="23" t="n"/>
      <x:c r="H111" s="7" t="n"/>
      <x:c r="I111" s="23" t="n"/>
      <x:c r="J111" s="23" t="n"/>
      <x:c r="K111" s="8" t="n"/>
      <x:c r="L111" s="8" t="n"/>
      <x:c r="M111" s="23" t="n"/>
      <x:c r="N111" s="23" t="n"/>
      <x:c r="O111" s="23" t="n"/>
      <x:c r="P111" s="23" t="n"/>
    </x:row>
    <x:row r="112">
      <x:c r="A112" s="23" t="n"/>
      <x:c r="B112" s="23" t="n"/>
      <x:c r="C112" s="6" t="n"/>
      <x:c r="D112" s="23" t="n"/>
      <x:c r="E112" s="23" t="n"/>
      <x:c r="F112" s="23" t="n"/>
      <x:c r="G112" s="23" t="n"/>
      <x:c r="H112" s="7" t="n"/>
      <x:c r="I112" s="23" t="n"/>
      <x:c r="J112" s="23" t="n"/>
      <x:c r="K112" s="8" t="n"/>
      <x:c r="L112" s="8" t="n"/>
      <x:c r="M112" s="23" t="n"/>
      <x:c r="N112" s="23" t="n"/>
      <x:c r="O112" s="23" t="n"/>
      <x:c r="P112" s="23" t="n"/>
    </x:row>
    <x:row r="113">
      <x:c r="A113" s="23" t="n"/>
      <x:c r="B113" s="23" t="n"/>
      <x:c r="C113" s="6" t="n"/>
      <x:c r="D113" s="23" t="n"/>
      <x:c r="E113" s="23" t="n"/>
      <x:c r="F113" s="23" t="n"/>
      <x:c r="G113" s="23" t="n"/>
      <x:c r="H113" s="7" t="n"/>
      <x:c r="I113" s="23" t="n"/>
      <x:c r="J113" s="23" t="n"/>
      <x:c r="K113" s="8" t="n"/>
      <x:c r="L113" s="8" t="n"/>
      <x:c r="M113" s="23" t="n"/>
      <x:c r="N113" s="23" t="n"/>
      <x:c r="O113" s="23" t="n"/>
      <x:c r="P113" s="23" t="n"/>
    </x:row>
    <x:row r="114">
      <x:c r="A114" s="23" t="n"/>
      <x:c r="B114" s="23" t="n"/>
      <x:c r="C114" s="6" t="n"/>
      <x:c r="D114" s="23" t="n"/>
      <x:c r="E114" s="23" t="n"/>
      <x:c r="F114" s="23" t="n"/>
      <x:c r="G114" s="23" t="n"/>
      <x:c r="H114" s="7" t="n"/>
      <x:c r="I114" s="23" t="n"/>
      <x:c r="J114" s="23" t="n"/>
      <x:c r="K114" s="8" t="n"/>
      <x:c r="L114" s="8" t="n"/>
      <x:c r="M114" s="23" t="n"/>
      <x:c r="N114" s="23" t="n"/>
      <x:c r="O114" s="23" t="n"/>
      <x:c r="P114" s="23" t="n"/>
    </x:row>
    <x:row r="115">
      <x:c r="A115" s="23" t="n"/>
      <x:c r="B115" s="23" t="n"/>
      <x:c r="C115" s="6" t="n"/>
      <x:c r="D115" s="23" t="n"/>
      <x:c r="E115" s="23" t="n"/>
      <x:c r="F115" s="23" t="n"/>
      <x:c r="G115" s="23" t="n"/>
      <x:c r="H115" s="7" t="n"/>
      <x:c r="I115" s="23" t="n"/>
      <x:c r="J115" s="23" t="n"/>
      <x:c r="K115" s="8" t="n"/>
      <x:c r="L115" s="8" t="n"/>
      <x:c r="M115" s="23" t="n"/>
      <x:c r="N115" s="23" t="n"/>
      <x:c r="O115" s="23" t="n"/>
      <x:c r="P115" s="23" t="n"/>
    </x:row>
    <x:row r="116">
      <x:c r="A116" s="23" t="n"/>
      <x:c r="B116" s="23" t="n"/>
      <x:c r="C116" s="6" t="n"/>
      <x:c r="D116" s="23" t="n"/>
      <x:c r="E116" s="23" t="n"/>
      <x:c r="F116" s="23" t="n"/>
      <x:c r="G116" s="23" t="n"/>
      <x:c r="H116" s="7" t="n"/>
      <x:c r="I116" s="23" t="n"/>
      <x:c r="J116" s="23" t="n"/>
      <x:c r="K116" s="8" t="n"/>
      <x:c r="L116" s="8" t="n"/>
      <x:c r="M116" s="23" t="n"/>
      <x:c r="N116" s="23" t="n"/>
      <x:c r="O116" s="23" t="n"/>
      <x:c r="P116" s="23" t="n"/>
    </x:row>
    <x:row r="117">
      <x:c r="A117" s="23" t="n"/>
      <x:c r="B117" s="23" t="n"/>
      <x:c r="C117" s="6" t="n"/>
      <x:c r="D117" s="23" t="n"/>
      <x:c r="E117" s="23" t="n"/>
      <x:c r="F117" s="23" t="n"/>
      <x:c r="G117" s="23" t="n"/>
      <x:c r="H117" s="7" t="n"/>
      <x:c r="I117" s="23" t="n"/>
      <x:c r="J117" s="23" t="n"/>
      <x:c r="K117" s="8" t="n"/>
      <x:c r="L117" s="8" t="n"/>
      <x:c r="M117" s="23" t="n"/>
      <x:c r="N117" s="23" t="n"/>
      <x:c r="O117" s="23" t="n"/>
      <x:c r="P117" s="23" t="n"/>
    </x:row>
    <x:row r="118">
      <x:c r="A118" s="23" t="n"/>
      <x:c r="B118" s="23" t="n"/>
      <x:c r="C118" s="6" t="n"/>
      <x:c r="D118" s="23" t="n"/>
      <x:c r="E118" s="23" t="n"/>
      <x:c r="F118" s="23" t="n"/>
      <x:c r="G118" s="23" t="n"/>
      <x:c r="H118" s="7" t="n"/>
      <x:c r="I118" s="23" t="n"/>
      <x:c r="J118" s="23" t="n"/>
      <x:c r="K118" s="8" t="n"/>
      <x:c r="L118" s="8" t="n"/>
      <x:c r="M118" s="23" t="n"/>
      <x:c r="N118" s="23" t="n"/>
      <x:c r="O118" s="23" t="n"/>
      <x:c r="P118" s="23" t="n"/>
    </x:row>
    <x:row r="119">
      <x:c r="A119" s="23" t="n"/>
      <x:c r="B119" s="23" t="n"/>
      <x:c r="C119" s="6" t="n"/>
      <x:c r="D119" s="23" t="n"/>
      <x:c r="E119" s="23" t="n"/>
      <x:c r="F119" s="23" t="n"/>
      <x:c r="G119" s="23" t="n"/>
      <x:c r="H119" s="7" t="n"/>
      <x:c r="I119" s="23" t="n"/>
      <x:c r="J119" s="23" t="n"/>
      <x:c r="K119" s="8" t="n"/>
      <x:c r="L119" s="8" t="n"/>
      <x:c r="M119" s="23" t="n"/>
      <x:c r="N119" s="23" t="n"/>
      <x:c r="O119" s="23" t="n"/>
      <x:c r="P119" s="23" t="n"/>
    </x:row>
    <x:row r="120">
      <x:c r="A120" s="23" t="n"/>
      <x:c r="B120" s="23" t="n"/>
      <x:c r="C120" s="6" t="n"/>
      <x:c r="D120" s="23" t="n"/>
      <x:c r="E120" s="23" t="n"/>
      <x:c r="F120" s="23" t="n"/>
      <x:c r="G120" s="23" t="n"/>
      <x:c r="H120" s="7" t="n"/>
      <x:c r="I120" s="23" t="n"/>
      <x:c r="J120" s="23" t="n"/>
      <x:c r="K120" s="8" t="n"/>
      <x:c r="L120" s="8" t="n"/>
      <x:c r="M120" s="23" t="n"/>
      <x:c r="N120" s="23" t="n"/>
      <x:c r="O120" s="23" t="n"/>
      <x:c r="P120" s="23" t="n"/>
    </x:row>
    <x:row r="121">
      <x:c r="A121" s="23" t="n"/>
      <x:c r="B121" s="23" t="n"/>
      <x:c r="C121" s="6" t="n"/>
      <x:c r="D121" s="23" t="n"/>
      <x:c r="E121" s="23" t="n"/>
      <x:c r="F121" s="23" t="n"/>
      <x:c r="G121" s="23" t="n"/>
      <x:c r="H121" s="7" t="n"/>
      <x:c r="I121" s="23" t="n"/>
      <x:c r="J121" s="23" t="n"/>
      <x:c r="K121" s="8" t="n"/>
      <x:c r="L121" s="8" t="n"/>
      <x:c r="M121" s="23" t="n"/>
      <x:c r="N121" s="23" t="n"/>
      <x:c r="O121" s="23" t="n"/>
      <x:c r="P121" s="23" t="n"/>
    </x:row>
    <x:row r="122">
      <x:c r="A122" s="23" t="n"/>
      <x:c r="B122" s="23" t="n"/>
      <x:c r="C122" s="6" t="n"/>
      <x:c r="D122" s="23" t="n"/>
      <x:c r="E122" s="23" t="n"/>
      <x:c r="F122" s="23" t="n"/>
      <x:c r="G122" s="23" t="n"/>
      <x:c r="H122" s="7" t="n"/>
      <x:c r="I122" s="23" t="n"/>
      <x:c r="J122" s="23" t="n"/>
      <x:c r="K122" s="8" t="n"/>
      <x:c r="L122" s="8" t="n"/>
      <x:c r="M122" s="23" t="n"/>
      <x:c r="N122" s="23" t="n"/>
      <x:c r="O122" s="23" t="n"/>
      <x:c r="P122" s="23" t="n"/>
    </x:row>
    <x:row r="123">
      <x:c r="A123" s="23" t="n"/>
      <x:c r="B123" s="23" t="n"/>
      <x:c r="C123" s="6" t="n"/>
      <x:c r="D123" s="23" t="n"/>
      <x:c r="E123" s="23" t="n"/>
      <x:c r="F123" s="23" t="n"/>
      <x:c r="G123" s="23" t="n"/>
      <x:c r="H123" s="7" t="n"/>
      <x:c r="I123" s="23" t="n"/>
      <x:c r="J123" s="23" t="n"/>
      <x:c r="K123" s="8" t="n"/>
      <x:c r="L123" s="8" t="n"/>
      <x:c r="M123" s="23" t="n"/>
      <x:c r="N123" s="23" t="n"/>
      <x:c r="O123" s="23" t="n"/>
      <x:c r="P123" s="23" t="n"/>
    </x:row>
    <x:row r="124">
      <x:c r="A124" s="23" t="n"/>
      <x:c r="B124" s="23" t="n"/>
      <x:c r="C124" s="6" t="n"/>
      <x:c r="D124" s="23" t="n"/>
      <x:c r="E124" s="23" t="n"/>
      <x:c r="F124" s="23" t="n"/>
      <x:c r="G124" s="23" t="n"/>
      <x:c r="H124" s="7" t="n"/>
      <x:c r="I124" s="23" t="n"/>
      <x:c r="J124" s="23" t="n"/>
      <x:c r="K124" s="8" t="n"/>
      <x:c r="L124" s="8" t="n"/>
      <x:c r="M124" s="23" t="n"/>
      <x:c r="N124" s="23" t="n"/>
      <x:c r="O124" s="23" t="n"/>
      <x:c r="P124" s="23" t="n"/>
    </x:row>
    <x:row r="125">
      <x:c r="A125" s="23" t="n"/>
      <x:c r="B125" s="23" t="n"/>
      <x:c r="C125" s="6" t="n"/>
      <x:c r="D125" s="23" t="n"/>
      <x:c r="E125" s="23" t="n"/>
      <x:c r="F125" s="23" t="n"/>
      <x:c r="G125" s="23" t="n"/>
      <x:c r="H125" s="7" t="n"/>
      <x:c r="I125" s="23" t="n"/>
      <x:c r="J125" s="23" t="n"/>
      <x:c r="K125" s="8" t="n"/>
      <x:c r="L125" s="8" t="n"/>
      <x:c r="M125" s="23" t="n"/>
      <x:c r="N125" s="23" t="n"/>
      <x:c r="O125" s="23" t="n"/>
      <x:c r="P125" s="23" t="n"/>
    </x:row>
    <x:row r="126">
      <x:c r="A126" s="23" t="n"/>
      <x:c r="B126" s="23" t="n"/>
      <x:c r="C126" s="6" t="n"/>
      <x:c r="D126" s="23" t="n"/>
      <x:c r="E126" s="23" t="n"/>
      <x:c r="F126" s="23" t="n"/>
      <x:c r="G126" s="23" t="n"/>
      <x:c r="H126" s="7" t="n"/>
      <x:c r="I126" s="23" t="n"/>
      <x:c r="J126" s="23" t="n"/>
      <x:c r="K126" s="8" t="n"/>
      <x:c r="L126" s="8" t="n"/>
      <x:c r="M126" s="23" t="n"/>
      <x:c r="N126" s="23" t="n"/>
      <x:c r="O126" s="23" t="n"/>
      <x:c r="P126" s="23" t="n"/>
    </x:row>
    <x:row r="127">
      <x:c r="A127" s="23" t="n"/>
      <x:c r="B127" s="23" t="n"/>
      <x:c r="C127" s="6" t="n"/>
      <x:c r="D127" s="23" t="n"/>
      <x:c r="E127" s="23" t="n"/>
      <x:c r="F127" s="23" t="n"/>
      <x:c r="G127" s="23" t="n"/>
      <x:c r="H127" s="7" t="n"/>
      <x:c r="I127" s="23" t="n"/>
      <x:c r="J127" s="23" t="n"/>
      <x:c r="K127" s="8" t="n"/>
      <x:c r="L127" s="8" t="n"/>
      <x:c r="M127" s="23" t="n"/>
      <x:c r="N127" s="23" t="n"/>
      <x:c r="O127" s="23" t="n"/>
      <x:c r="P127" s="23" t="n"/>
    </x:row>
    <x:row r="128">
      <x:c r="A128" s="23" t="n"/>
      <x:c r="B128" s="23" t="n"/>
      <x:c r="C128" s="6" t="n"/>
      <x:c r="D128" s="23" t="n"/>
      <x:c r="E128" s="23" t="n"/>
      <x:c r="F128" s="23" t="n"/>
      <x:c r="G128" s="23" t="n"/>
      <x:c r="H128" s="7" t="n"/>
      <x:c r="I128" s="23" t="n"/>
      <x:c r="J128" s="23" t="n"/>
      <x:c r="K128" s="8" t="n"/>
      <x:c r="L128" s="8" t="n"/>
      <x:c r="M128" s="23" t="n"/>
      <x:c r="N128" s="23" t="n"/>
      <x:c r="O128" s="23" t="n"/>
      <x:c r="P128" s="23" t="n"/>
    </x:row>
    <x:row r="129">
      <x:c r="A129" s="23" t="n"/>
      <x:c r="B129" s="23" t="n"/>
      <x:c r="C129" s="6" t="n"/>
      <x:c r="D129" s="23" t="n"/>
      <x:c r="E129" s="23" t="n"/>
      <x:c r="F129" s="23" t="n"/>
      <x:c r="G129" s="23" t="n"/>
      <x:c r="H129" s="7" t="n"/>
      <x:c r="I129" s="23" t="n"/>
      <x:c r="J129" s="23" t="n"/>
      <x:c r="K129" s="8" t="n"/>
      <x:c r="L129" s="8" t="n"/>
      <x:c r="M129" s="23" t="n"/>
      <x:c r="N129" s="23" t="n"/>
      <x:c r="O129" s="23" t="n"/>
      <x:c r="P129" s="23" t="n"/>
    </x:row>
    <x:row r="130">
      <x:c r="A130" s="23" t="n"/>
      <x:c r="B130" s="23" t="n"/>
      <x:c r="C130" s="6" t="n"/>
      <x:c r="D130" s="23" t="n"/>
      <x:c r="E130" s="23" t="n"/>
      <x:c r="F130" s="23" t="n"/>
      <x:c r="G130" s="23" t="n"/>
      <x:c r="H130" s="7" t="n"/>
      <x:c r="I130" s="23" t="n"/>
      <x:c r="J130" s="23" t="n"/>
      <x:c r="K130" s="8" t="n"/>
      <x:c r="L130" s="8" t="n"/>
      <x:c r="M130" s="23" t="n"/>
      <x:c r="N130" s="23" t="n"/>
      <x:c r="O130" s="23" t="n"/>
      <x:c r="P130" s="23" t="n"/>
    </x:row>
    <x:row r="131">
      <x:c r="A131" s="23" t="n"/>
      <x:c r="B131" s="23" t="n"/>
      <x:c r="C131" s="6" t="n"/>
      <x:c r="D131" s="23" t="n"/>
      <x:c r="E131" s="23" t="n"/>
      <x:c r="F131" s="23" t="n"/>
      <x:c r="G131" s="23" t="n"/>
      <x:c r="H131" s="7" t="n"/>
      <x:c r="I131" s="23" t="n"/>
      <x:c r="J131" s="23" t="n"/>
      <x:c r="K131" s="8" t="n"/>
      <x:c r="L131" s="8" t="n"/>
      <x:c r="M131" s="23" t="n"/>
      <x:c r="N131" s="23" t="n"/>
      <x:c r="O131" s="23" t="n"/>
      <x:c r="P131" s="23" t="n"/>
    </x:row>
    <x:row r="132">
      <x:c r="A132" s="23" t="n"/>
      <x:c r="B132" s="23" t="n"/>
      <x:c r="C132" s="6" t="n"/>
      <x:c r="D132" s="23" t="n"/>
      <x:c r="E132" s="23" t="n"/>
      <x:c r="F132" s="23" t="n"/>
      <x:c r="G132" s="23" t="n"/>
      <x:c r="H132" s="7" t="n"/>
      <x:c r="I132" s="23" t="n"/>
      <x:c r="J132" s="23" t="n"/>
      <x:c r="K132" s="8" t="n"/>
      <x:c r="L132" s="8" t="n"/>
      <x:c r="M132" s="23" t="n"/>
      <x:c r="N132" s="23" t="n"/>
      <x:c r="O132" s="23" t="n"/>
      <x:c r="P132" s="23" t="n"/>
    </x:row>
    <x:row r="133">
      <x:c r="A133" s="23" t="n"/>
      <x:c r="B133" s="23" t="n"/>
      <x:c r="C133" s="6" t="n"/>
      <x:c r="D133" s="23" t="n"/>
      <x:c r="E133" s="23" t="n"/>
      <x:c r="F133" s="23" t="n"/>
      <x:c r="G133" s="23" t="n"/>
      <x:c r="H133" s="7" t="n"/>
      <x:c r="I133" s="23" t="n"/>
      <x:c r="J133" s="23" t="n"/>
      <x:c r="K133" s="8" t="n"/>
      <x:c r="L133" s="8" t="n"/>
      <x:c r="M133" s="23" t="n"/>
      <x:c r="N133" s="23" t="n"/>
      <x:c r="O133" s="23" t="n"/>
      <x:c r="P133" s="23" t="n"/>
    </x:row>
    <x:row r="134">
      <x:c r="A134" s="23" t="n"/>
      <x:c r="B134" s="23" t="n"/>
      <x:c r="C134" s="6" t="n"/>
      <x:c r="D134" s="23" t="n"/>
      <x:c r="E134" s="23" t="n"/>
      <x:c r="F134" s="23" t="n"/>
      <x:c r="G134" s="23" t="n"/>
      <x:c r="H134" s="7" t="n"/>
      <x:c r="I134" s="23" t="n"/>
      <x:c r="J134" s="23" t="n"/>
      <x:c r="K134" s="8" t="n"/>
      <x:c r="L134" s="8" t="n"/>
      <x:c r="M134" s="23" t="n"/>
      <x:c r="N134" s="23" t="n"/>
      <x:c r="O134" s="23" t="n"/>
      <x:c r="P134" s="23" t="n"/>
    </x:row>
    <x:row r="135">
      <x:c r="A135" s="23" t="n"/>
      <x:c r="B135" s="23" t="n"/>
      <x:c r="C135" s="6" t="n"/>
      <x:c r="D135" s="23" t="n"/>
      <x:c r="E135" s="23" t="n"/>
      <x:c r="F135" s="23" t="n"/>
      <x:c r="G135" s="23" t="n"/>
      <x:c r="H135" s="7" t="n"/>
      <x:c r="I135" s="23" t="n"/>
      <x:c r="J135" s="23" t="n"/>
      <x:c r="K135" s="8" t="n"/>
      <x:c r="L135" s="8" t="n"/>
      <x:c r="M135" s="23" t="n"/>
      <x:c r="N135" s="23" t="n"/>
      <x:c r="O135" s="23" t="n"/>
      <x:c r="P135" s="23" t="n"/>
    </x:row>
    <x:row r="136">
      <x:c r="A136" s="23" t="n"/>
      <x:c r="B136" s="23" t="n"/>
      <x:c r="C136" s="6" t="n"/>
      <x:c r="D136" s="23" t="n"/>
      <x:c r="E136" s="23" t="n"/>
      <x:c r="F136" s="23" t="n"/>
      <x:c r="G136" s="23" t="n"/>
      <x:c r="H136" s="7" t="n"/>
      <x:c r="I136" s="23" t="n"/>
      <x:c r="J136" s="23" t="n"/>
      <x:c r="K136" s="8" t="n"/>
      <x:c r="L136" s="8" t="n"/>
      <x:c r="M136" s="23" t="n"/>
      <x:c r="N136" s="23" t="n"/>
      <x:c r="O136" s="23" t="n"/>
      <x:c r="P136" s="23" t="n"/>
    </x:row>
    <x:row r="137">
      <x:c r="A137" s="23" t="n"/>
      <x:c r="B137" s="23" t="n"/>
      <x:c r="C137" s="6" t="n"/>
      <x:c r="D137" s="23" t="n"/>
      <x:c r="E137" s="23" t="n"/>
      <x:c r="F137" s="23" t="n"/>
      <x:c r="G137" s="23" t="n"/>
      <x:c r="H137" s="7" t="n"/>
      <x:c r="I137" s="23" t="n"/>
      <x:c r="J137" s="23" t="n"/>
      <x:c r="K137" s="8" t="n"/>
      <x:c r="L137" s="8" t="n"/>
      <x:c r="M137" s="23" t="n"/>
      <x:c r="N137" s="23" t="n"/>
      <x:c r="O137" s="23" t="n"/>
      <x:c r="P137" s="23" t="n"/>
    </x:row>
    <x:row r="138">
      <x:c r="A138" s="23" t="n"/>
      <x:c r="B138" s="23" t="n"/>
      <x:c r="C138" s="6" t="n"/>
      <x:c r="D138" s="23" t="n"/>
      <x:c r="E138" s="23" t="n"/>
      <x:c r="F138" s="23" t="n"/>
      <x:c r="G138" s="23" t="n"/>
      <x:c r="H138" s="7" t="n"/>
      <x:c r="I138" s="23" t="n"/>
      <x:c r="J138" s="23" t="n"/>
      <x:c r="K138" s="8" t="n"/>
      <x:c r="L138" s="8" t="n"/>
      <x:c r="M138" s="23" t="n"/>
      <x:c r="N138" s="23" t="n"/>
      <x:c r="O138" s="23" t="n"/>
      <x:c r="P138" s="23" t="n"/>
    </x:row>
    <x:row r="139">
      <x:c r="A139" s="23" t="n"/>
      <x:c r="B139" s="23" t="n"/>
      <x:c r="C139" s="6" t="n"/>
      <x:c r="D139" s="23" t="n"/>
      <x:c r="E139" s="23" t="n"/>
      <x:c r="F139" s="23" t="n"/>
      <x:c r="G139" s="23" t="n"/>
      <x:c r="H139" s="7" t="n"/>
      <x:c r="I139" s="23" t="n"/>
      <x:c r="J139" s="23" t="n"/>
      <x:c r="K139" s="8" t="n"/>
      <x:c r="L139" s="8" t="n"/>
      <x:c r="M139" s="23" t="n"/>
      <x:c r="N139" s="23" t="n"/>
      <x:c r="O139" s="23" t="n"/>
      <x:c r="P139" s="23" t="n"/>
    </x:row>
    <x:row r="140">
      <x:c r="A140" s="23" t="n"/>
      <x:c r="B140" s="23" t="n"/>
      <x:c r="C140" s="6" t="n"/>
      <x:c r="D140" s="23" t="n"/>
      <x:c r="E140" s="23" t="n"/>
      <x:c r="F140" s="23" t="n"/>
      <x:c r="G140" s="23" t="n"/>
      <x:c r="H140" s="7" t="n"/>
      <x:c r="I140" s="23" t="n"/>
      <x:c r="J140" s="23" t="n"/>
      <x:c r="K140" s="8" t="n"/>
      <x:c r="L140" s="8" t="n"/>
      <x:c r="M140" s="23" t="n"/>
      <x:c r="N140" s="23" t="n"/>
      <x:c r="O140" s="23" t="n"/>
      <x:c r="P140" s="23" t="n"/>
    </x:row>
    <x:row r="141">
      <x:c r="A141" s="23" t="n"/>
      <x:c r="B141" s="23" t="n"/>
      <x:c r="C141" s="6" t="n"/>
      <x:c r="D141" s="23" t="n"/>
      <x:c r="E141" s="23" t="n"/>
      <x:c r="F141" s="23" t="n"/>
      <x:c r="G141" s="23" t="n"/>
      <x:c r="H141" s="7" t="n"/>
      <x:c r="I141" s="23" t="n"/>
      <x:c r="J141" s="23" t="n"/>
      <x:c r="K141" s="8" t="n"/>
      <x:c r="L141" s="8" t="n"/>
      <x:c r="M141" s="23" t="n"/>
      <x:c r="N141" s="23" t="n"/>
      <x:c r="O141" s="23" t="n"/>
      <x:c r="P141" s="23" t="n"/>
    </x:row>
    <x:row r="142">
      <x:c r="A142" s="23" t="n"/>
      <x:c r="B142" s="23" t="n"/>
      <x:c r="C142" s="6" t="n"/>
      <x:c r="D142" s="23" t="n"/>
      <x:c r="E142" s="23" t="n"/>
      <x:c r="F142" s="23" t="n"/>
      <x:c r="G142" s="23" t="n"/>
      <x:c r="H142" s="7" t="n"/>
      <x:c r="I142" s="23" t="n"/>
      <x:c r="J142" s="23" t="n"/>
      <x:c r="K142" s="8" t="n"/>
      <x:c r="L142" s="8" t="n"/>
      <x:c r="M142" s="23" t="n"/>
      <x:c r="N142" s="23" t="n"/>
      <x:c r="O142" s="23" t="n"/>
      <x:c r="P142" s="23" t="n"/>
    </x:row>
    <x:row r="143">
      <x:c r="A143" s="23" t="n"/>
      <x:c r="B143" s="23" t="n"/>
      <x:c r="C143" s="6" t="n"/>
      <x:c r="D143" s="23" t="n"/>
      <x:c r="E143" s="23" t="n"/>
      <x:c r="F143" s="23" t="n"/>
      <x:c r="G143" s="23" t="n"/>
      <x:c r="H143" s="7" t="n"/>
      <x:c r="I143" s="23" t="n"/>
      <x:c r="J143" s="23" t="n"/>
      <x:c r="K143" s="8" t="n"/>
      <x:c r="L143" s="8" t="n"/>
      <x:c r="M143" s="23" t="n"/>
      <x:c r="N143" s="23" t="n"/>
      <x:c r="O143" s="23" t="n"/>
      <x:c r="P143" s="23" t="n"/>
    </x:row>
    <x:row r="144">
      <x:c r="A144" s="23" t="n"/>
      <x:c r="B144" s="23" t="n"/>
      <x:c r="C144" s="6" t="n"/>
      <x:c r="D144" s="23" t="n"/>
      <x:c r="E144" s="23" t="n"/>
      <x:c r="F144" s="23" t="n"/>
      <x:c r="G144" s="23" t="n"/>
      <x:c r="H144" s="7" t="n"/>
      <x:c r="I144" s="23" t="n"/>
      <x:c r="J144" s="23" t="n"/>
      <x:c r="K144" s="8" t="n"/>
      <x:c r="L144" s="8" t="n"/>
      <x:c r="M144" s="23" t="n"/>
      <x:c r="N144" s="23" t="n"/>
      <x:c r="O144" s="23" t="n"/>
      <x:c r="P144" s="23" t="n"/>
    </x:row>
    <x:row r="145">
      <x:c r="A145" s="23" t="n"/>
      <x:c r="B145" s="23" t="n"/>
      <x:c r="C145" s="6" t="n"/>
      <x:c r="D145" s="23" t="n"/>
      <x:c r="E145" s="23" t="n"/>
      <x:c r="F145" s="23" t="n"/>
      <x:c r="G145" s="23" t="n"/>
      <x:c r="H145" s="7" t="n"/>
      <x:c r="I145" s="23" t="n"/>
      <x:c r="J145" s="23" t="n"/>
      <x:c r="K145" s="8" t="n"/>
      <x:c r="L145" s="8" t="n"/>
      <x:c r="M145" s="23" t="n"/>
      <x:c r="N145" s="23" t="n"/>
      <x:c r="O145" s="23" t="n"/>
      <x:c r="P145" s="23" t="n"/>
    </x:row>
    <x:row r="146">
      <x:c r="A146" s="23" t="n"/>
      <x:c r="B146" s="23" t="n"/>
      <x:c r="C146" s="6" t="n"/>
      <x:c r="D146" s="23" t="n"/>
      <x:c r="E146" s="23" t="n"/>
      <x:c r="F146" s="23" t="n"/>
      <x:c r="G146" s="23" t="n"/>
      <x:c r="H146" s="7" t="n"/>
      <x:c r="I146" s="23" t="n"/>
      <x:c r="J146" s="23" t="n"/>
      <x:c r="K146" s="8" t="n"/>
      <x:c r="L146" s="8" t="n"/>
      <x:c r="M146" s="23" t="n"/>
      <x:c r="N146" s="23" t="n"/>
      <x:c r="O146" s="23" t="n"/>
      <x:c r="P146" s="23" t="n"/>
    </x:row>
    <x:row r="147">
      <x:c r="A147" s="23" t="n"/>
      <x:c r="B147" s="23" t="n"/>
      <x:c r="C147" s="6" t="n"/>
      <x:c r="D147" s="23" t="n"/>
      <x:c r="E147" s="23" t="n"/>
      <x:c r="F147" s="23" t="n"/>
      <x:c r="G147" s="23" t="n"/>
      <x:c r="H147" s="7" t="n"/>
      <x:c r="I147" s="23" t="n"/>
      <x:c r="J147" s="23" t="n"/>
      <x:c r="K147" s="8" t="n"/>
      <x:c r="L147" s="8" t="n"/>
      <x:c r="M147" s="23" t="n"/>
      <x:c r="N147" s="23" t="n"/>
      <x:c r="O147" s="23" t="n"/>
      <x:c r="P147" s="23" t="n"/>
    </x:row>
    <x:row r="148">
      <x:c r="A148" s="23" t="n"/>
      <x:c r="B148" s="23" t="n"/>
      <x:c r="C148" s="6" t="n"/>
      <x:c r="D148" s="23" t="n"/>
      <x:c r="E148" s="23" t="n"/>
      <x:c r="F148" s="23" t="n"/>
      <x:c r="G148" s="23" t="n"/>
      <x:c r="H148" s="7" t="n"/>
      <x:c r="I148" s="23" t="n"/>
      <x:c r="J148" s="23" t="n"/>
      <x:c r="K148" s="8" t="n"/>
      <x:c r="L148" s="8" t="n"/>
      <x:c r="M148" s="23" t="n"/>
      <x:c r="N148" s="23" t="n"/>
      <x:c r="O148" s="23" t="n"/>
      <x:c r="P148" s="23" t="n"/>
    </x:row>
    <x:row r="149">
      <x:c r="A149" s="23" t="n"/>
      <x:c r="B149" s="23" t="n"/>
      <x:c r="C149" s="6" t="n"/>
      <x:c r="D149" s="23" t="n"/>
      <x:c r="E149" s="23" t="n"/>
      <x:c r="F149" s="23" t="n"/>
      <x:c r="G149" s="23" t="n"/>
      <x:c r="H149" s="7" t="n"/>
      <x:c r="I149" s="23" t="n"/>
      <x:c r="J149" s="23" t="n"/>
      <x:c r="K149" s="8" t="n"/>
      <x:c r="L149" s="8" t="n"/>
      <x:c r="M149" s="23" t="n"/>
      <x:c r="N149" s="23" t="n"/>
      <x:c r="O149" s="23" t="n"/>
      <x:c r="P149" s="23" t="n"/>
    </x:row>
    <x:row r="150">
      <x:c r="A150" s="23" t="n"/>
      <x:c r="B150" s="23" t="n"/>
      <x:c r="C150" s="6" t="n"/>
      <x:c r="D150" s="23" t="n"/>
      <x:c r="E150" s="23" t="n"/>
      <x:c r="F150" s="23" t="n"/>
      <x:c r="G150" s="23" t="n"/>
      <x:c r="H150" s="7" t="n"/>
      <x:c r="I150" s="23" t="n"/>
      <x:c r="J150" s="23" t="n"/>
      <x:c r="K150" s="8" t="n"/>
      <x:c r="L150" s="8" t="n"/>
      <x:c r="M150" s="23" t="n"/>
      <x:c r="N150" s="23" t="n"/>
      <x:c r="O150" s="23" t="n"/>
      <x:c r="P150" s="23" t="n"/>
    </x:row>
    <x:row r="151">
      <x:c r="A151" s="23" t="n"/>
      <x:c r="B151" s="23" t="n"/>
      <x:c r="C151" s="6" t="n"/>
      <x:c r="D151" s="23" t="n"/>
      <x:c r="E151" s="23" t="n"/>
      <x:c r="F151" s="23" t="n"/>
      <x:c r="G151" s="23" t="n"/>
      <x:c r="H151" s="7" t="n"/>
      <x:c r="I151" s="23" t="n"/>
      <x:c r="J151" s="23" t="n"/>
      <x:c r="K151" s="8" t="n"/>
      <x:c r="L151" s="8" t="n"/>
      <x:c r="M151" s="23" t="n"/>
      <x:c r="N151" s="23" t="n"/>
      <x:c r="O151" s="23" t="n"/>
      <x:c r="P151" s="23" t="n"/>
    </x:row>
    <x:row r="152">
      <x:c r="A152" s="23" t="n"/>
      <x:c r="B152" s="23" t="n"/>
      <x:c r="C152" s="6" t="n"/>
      <x:c r="D152" s="23" t="n"/>
      <x:c r="E152" s="23" t="n"/>
      <x:c r="F152" s="23" t="n"/>
      <x:c r="G152" s="23" t="n"/>
      <x:c r="H152" s="7" t="n"/>
      <x:c r="I152" s="23" t="n"/>
      <x:c r="J152" s="23" t="n"/>
      <x:c r="K152" s="8" t="n"/>
      <x:c r="L152" s="8" t="n"/>
      <x:c r="M152" s="23" t="n"/>
      <x:c r="N152" s="23" t="n"/>
      <x:c r="O152" s="23" t="n"/>
      <x:c r="P152" s="23" t="n"/>
    </x:row>
    <x:row r="153">
      <x:c r="A153" s="23" t="n"/>
      <x:c r="B153" s="23" t="n"/>
      <x:c r="C153" s="6" t="n"/>
      <x:c r="D153" s="23" t="n"/>
      <x:c r="E153" s="23" t="n"/>
      <x:c r="F153" s="23" t="n"/>
      <x:c r="G153" s="23" t="n"/>
      <x:c r="H153" s="7" t="n"/>
      <x:c r="I153" s="23" t="n"/>
      <x:c r="J153" s="23" t="n"/>
      <x:c r="K153" s="8" t="n"/>
      <x:c r="L153" s="8" t="n"/>
      <x:c r="M153" s="23" t="n"/>
      <x:c r="N153" s="23" t="n"/>
      <x:c r="O153" s="23" t="n"/>
      <x:c r="P153" s="23" t="n"/>
    </x:row>
    <x:row r="154">
      <x:c r="A154" s="23" t="n"/>
      <x:c r="B154" s="23" t="n"/>
      <x:c r="C154" s="6" t="n"/>
      <x:c r="D154" s="23" t="n"/>
      <x:c r="E154" s="23" t="n"/>
      <x:c r="F154" s="23" t="n"/>
      <x:c r="G154" s="23" t="n"/>
      <x:c r="H154" s="7" t="n"/>
      <x:c r="I154" s="23" t="n"/>
      <x:c r="J154" s="23" t="n"/>
      <x:c r="K154" s="8" t="n"/>
      <x:c r="L154" s="8" t="n"/>
      <x:c r="M154" s="23" t="n"/>
      <x:c r="N154" s="23" t="n"/>
      <x:c r="O154" s="23" t="n"/>
      <x:c r="P154" s="23" t="n"/>
    </x:row>
    <x:row r="155">
      <x:c r="A155" s="23" t="n"/>
      <x:c r="B155" s="23" t="n"/>
      <x:c r="C155" s="6" t="n"/>
      <x:c r="D155" s="23" t="n"/>
      <x:c r="E155" s="23" t="n"/>
      <x:c r="F155" s="23" t="n"/>
      <x:c r="G155" s="23" t="n"/>
      <x:c r="H155" s="7" t="n"/>
      <x:c r="I155" s="23" t="n"/>
      <x:c r="J155" s="23" t="n"/>
      <x:c r="K155" s="8" t="n"/>
      <x:c r="L155" s="8" t="n"/>
      <x:c r="M155" s="23" t="n"/>
      <x:c r="N155" s="23" t="n"/>
      <x:c r="O155" s="23" t="n"/>
      <x:c r="P155" s="23" t="n"/>
    </x:row>
    <x:row r="156">
      <x:c r="A156" s="23" t="n"/>
      <x:c r="B156" s="23" t="n"/>
      <x:c r="C156" s="6" t="n"/>
      <x:c r="D156" s="23" t="n"/>
      <x:c r="E156" s="23" t="n"/>
      <x:c r="F156" s="23" t="n"/>
      <x:c r="G156" s="23" t="n"/>
      <x:c r="H156" s="7" t="n"/>
      <x:c r="I156" s="23" t="n"/>
      <x:c r="J156" s="23" t="n"/>
      <x:c r="K156" s="8" t="n"/>
      <x:c r="L156" s="8" t="n"/>
      <x:c r="M156" s="23" t="n"/>
      <x:c r="N156" s="23" t="n"/>
      <x:c r="O156" s="23" t="n"/>
      <x:c r="P156" s="23" t="n"/>
    </x:row>
    <x:row r="157">
      <x:c r="A157" s="23" t="n"/>
      <x:c r="B157" s="23" t="n"/>
      <x:c r="C157" s="6" t="n"/>
      <x:c r="D157" s="23" t="n"/>
      <x:c r="E157" s="23" t="n"/>
      <x:c r="F157" s="23" t="n"/>
      <x:c r="G157" s="23" t="n"/>
      <x:c r="H157" s="7" t="n"/>
      <x:c r="I157" s="23" t="n"/>
      <x:c r="J157" s="23" t="n"/>
      <x:c r="K157" s="8" t="n"/>
      <x:c r="L157" s="8" t="n"/>
      <x:c r="M157" s="23" t="n"/>
      <x:c r="N157" s="23" t="n"/>
      <x:c r="O157" s="23" t="n"/>
      <x:c r="P157" s="23" t="n"/>
    </x:row>
    <x:row r="158">
      <x:c r="A158" s="23" t="n"/>
      <x:c r="B158" s="23" t="n"/>
      <x:c r="C158" s="6" t="n"/>
      <x:c r="D158" s="23" t="n"/>
      <x:c r="E158" s="23" t="n"/>
      <x:c r="F158" s="23" t="n"/>
      <x:c r="G158" s="23" t="n"/>
      <x:c r="H158" s="7" t="n"/>
      <x:c r="I158" s="23" t="n"/>
      <x:c r="J158" s="23" t="n"/>
      <x:c r="K158" s="8" t="n"/>
      <x:c r="L158" s="8" t="n"/>
      <x:c r="M158" s="23" t="n"/>
      <x:c r="N158" s="23" t="n"/>
      <x:c r="O158" s="23" t="n"/>
      <x:c r="P158" s="23" t="n"/>
    </x:row>
    <x:row r="159">
      <x:c r="A159" s="23" t="n"/>
      <x:c r="B159" s="23" t="n"/>
      <x:c r="C159" s="6" t="n"/>
      <x:c r="D159" s="23" t="n"/>
      <x:c r="E159" s="23" t="n"/>
      <x:c r="F159" s="23" t="n"/>
      <x:c r="G159" s="23" t="n"/>
      <x:c r="H159" s="7" t="n"/>
      <x:c r="I159" s="23" t="n"/>
      <x:c r="J159" s="23" t="n"/>
      <x:c r="K159" s="8" t="n"/>
      <x:c r="L159" s="8" t="n"/>
      <x:c r="M159" s="23" t="n"/>
      <x:c r="N159" s="23" t="n"/>
      <x:c r="O159" s="23" t="n"/>
      <x:c r="P159" s="23" t="n"/>
    </x:row>
    <x:row r="160">
      <x:c r="A160" s="23" t="n"/>
      <x:c r="B160" s="23" t="n"/>
      <x:c r="C160" s="6" t="n"/>
      <x:c r="D160" s="23" t="n"/>
      <x:c r="E160" s="23" t="n"/>
      <x:c r="F160" s="23" t="n"/>
      <x:c r="G160" s="23" t="n"/>
      <x:c r="H160" s="7" t="n"/>
      <x:c r="I160" s="23" t="n"/>
      <x:c r="J160" s="23" t="n"/>
      <x:c r="K160" s="8" t="n"/>
      <x:c r="L160" s="8" t="n"/>
      <x:c r="M160" s="23" t="n"/>
      <x:c r="N160" s="23" t="n"/>
      <x:c r="O160" s="23" t="n"/>
      <x:c r="P160" s="23" t="n"/>
    </x:row>
    <x:row r="161">
      <x:c r="A161" s="23" t="n"/>
      <x:c r="B161" s="23" t="n"/>
      <x:c r="C161" s="6" t="n"/>
      <x:c r="D161" s="23" t="n"/>
      <x:c r="E161" s="23" t="n"/>
      <x:c r="F161" s="23" t="n"/>
      <x:c r="G161" s="23" t="n"/>
      <x:c r="H161" s="7" t="n"/>
      <x:c r="I161" s="23" t="n"/>
      <x:c r="J161" s="23" t="n"/>
      <x:c r="K161" s="8" t="n"/>
      <x:c r="L161" s="8" t="n"/>
      <x:c r="M161" s="23" t="n"/>
      <x:c r="N161" s="23" t="n"/>
      <x:c r="O161" s="23" t="n"/>
      <x:c r="P161" s="23" t="n"/>
    </x:row>
    <x:row r="162">
      <x:c r="A162" s="23" t="n"/>
      <x:c r="B162" s="23" t="n"/>
      <x:c r="C162" s="6" t="n"/>
      <x:c r="D162" s="23" t="n"/>
      <x:c r="E162" s="23" t="n"/>
      <x:c r="F162" s="23" t="n"/>
      <x:c r="G162" s="23" t="n"/>
      <x:c r="H162" s="7" t="n"/>
      <x:c r="I162" s="23" t="n"/>
      <x:c r="J162" s="23" t="n"/>
      <x:c r="K162" s="8" t="n"/>
      <x:c r="L162" s="8" t="n"/>
      <x:c r="M162" s="23" t="n"/>
      <x:c r="N162" s="23" t="n"/>
      <x:c r="O162" s="23" t="n"/>
      <x:c r="P162" s="23" t="n"/>
    </x:row>
    <x:row r="163">
      <x:c r="A163" s="23" t="n"/>
      <x:c r="B163" s="23" t="n"/>
      <x:c r="C163" s="6" t="n"/>
      <x:c r="D163" s="23" t="n"/>
      <x:c r="E163" s="23" t="n"/>
      <x:c r="F163" s="23" t="n"/>
      <x:c r="G163" s="23" t="n"/>
      <x:c r="H163" s="7" t="n"/>
      <x:c r="I163" s="23" t="n"/>
      <x:c r="J163" s="23" t="n"/>
      <x:c r="K163" s="8" t="n"/>
      <x:c r="L163" s="8" t="n"/>
      <x:c r="M163" s="23" t="n"/>
      <x:c r="N163" s="23" t="n"/>
      <x:c r="O163" s="23" t="n"/>
      <x:c r="P163" s="23" t="n"/>
    </x:row>
    <x:row r="164">
      <x:c r="A164" s="23" t="n"/>
      <x:c r="B164" s="23" t="n"/>
      <x:c r="C164" s="6" t="n"/>
      <x:c r="D164" s="23" t="n"/>
      <x:c r="E164" s="23" t="n"/>
      <x:c r="F164" s="23" t="n"/>
      <x:c r="G164" s="23" t="n"/>
      <x:c r="H164" s="7" t="n"/>
      <x:c r="I164" s="23" t="n"/>
      <x:c r="J164" s="23" t="n"/>
      <x:c r="K164" s="8" t="n"/>
      <x:c r="L164" s="8" t="n"/>
      <x:c r="M164" s="23" t="n"/>
      <x:c r="N164" s="23" t="n"/>
      <x:c r="O164" s="23" t="n"/>
      <x:c r="P164" s="23" t="n"/>
    </x:row>
    <x:row r="165">
      <x:c r="A165" s="23" t="n"/>
      <x:c r="B165" s="23" t="n"/>
      <x:c r="C165" s="6" t="n"/>
      <x:c r="D165" s="23" t="n"/>
      <x:c r="E165" s="23" t="n"/>
      <x:c r="F165" s="23" t="n"/>
      <x:c r="G165" s="23" t="n"/>
      <x:c r="H165" s="7" t="n"/>
      <x:c r="I165" s="23" t="n"/>
      <x:c r="J165" s="23" t="n"/>
      <x:c r="K165" s="8" t="n"/>
      <x:c r="L165" s="8" t="n"/>
      <x:c r="M165" s="23" t="n"/>
      <x:c r="N165" s="23" t="n"/>
      <x:c r="O165" s="23" t="n"/>
      <x:c r="P165" s="23" t="n"/>
    </x:row>
    <x:row r="166">
      <x:c r="A166" s="23" t="n"/>
      <x:c r="B166" s="23" t="n"/>
      <x:c r="C166" s="6" t="n"/>
      <x:c r="D166" s="23" t="n"/>
      <x:c r="E166" s="23" t="n"/>
      <x:c r="F166" s="23" t="n"/>
      <x:c r="G166" s="23" t="n"/>
      <x:c r="H166" s="7" t="n"/>
      <x:c r="I166" s="23" t="n"/>
      <x:c r="J166" s="23" t="n"/>
      <x:c r="K166" s="8" t="n"/>
      <x:c r="L166" s="8" t="n"/>
      <x:c r="M166" s="23" t="n"/>
      <x:c r="N166" s="23" t="n"/>
      <x:c r="O166" s="23" t="n"/>
      <x:c r="P166" s="23" t="n"/>
    </x:row>
    <x:row r="167">
      <x:c r="A167" s="23" t="n"/>
      <x:c r="B167" s="23" t="n"/>
      <x:c r="C167" s="6" t="n"/>
      <x:c r="D167" s="23" t="n"/>
      <x:c r="E167" s="23" t="n"/>
      <x:c r="F167" s="23" t="n"/>
      <x:c r="G167" s="23" t="n"/>
      <x:c r="H167" s="7" t="n"/>
      <x:c r="I167" s="23" t="n"/>
      <x:c r="J167" s="23" t="n"/>
      <x:c r="K167" s="8" t="n"/>
      <x:c r="L167" s="8" t="n"/>
      <x:c r="M167" s="23" t="n"/>
      <x:c r="N167" s="23" t="n"/>
      <x:c r="O167" s="23" t="n"/>
      <x:c r="P167" s="23" t="n"/>
    </x:row>
    <x:row r="168">
      <x:c r="A168" s="23" t="n"/>
      <x:c r="B168" s="23" t="n"/>
      <x:c r="C168" s="6" t="n"/>
      <x:c r="D168" s="23" t="n"/>
      <x:c r="E168" s="23" t="n"/>
      <x:c r="F168" s="23" t="n"/>
      <x:c r="G168" s="23" t="n"/>
      <x:c r="H168" s="7" t="n"/>
      <x:c r="I168" s="23" t="n"/>
      <x:c r="J168" s="23" t="n"/>
      <x:c r="K168" s="8" t="n"/>
      <x:c r="L168" s="8" t="n"/>
      <x:c r="M168" s="23" t="n"/>
      <x:c r="N168" s="23" t="n"/>
      <x:c r="O168" s="23" t="n"/>
      <x:c r="P168" s="23" t="n"/>
    </x:row>
    <x:row r="169">
      <x:c r="A169" s="23" t="n"/>
      <x:c r="B169" s="23" t="n"/>
      <x:c r="C169" s="6" t="n"/>
      <x:c r="D169" s="23" t="n"/>
      <x:c r="E169" s="23" t="n"/>
      <x:c r="F169" s="23" t="n"/>
      <x:c r="G169" s="23" t="n"/>
      <x:c r="H169" s="7" t="n"/>
      <x:c r="I169" s="23" t="n"/>
      <x:c r="J169" s="23" t="n"/>
      <x:c r="K169" s="8" t="n"/>
      <x:c r="L169" s="8" t="n"/>
      <x:c r="M169" s="23" t="n"/>
      <x:c r="N169" s="23" t="n"/>
      <x:c r="O169" s="23" t="n"/>
      <x:c r="P169" s="23" t="n"/>
    </x:row>
    <x:row r="170">
      <x:c r="A170" s="23" t="n"/>
      <x:c r="B170" s="23" t="n"/>
      <x:c r="C170" s="6" t="n"/>
      <x:c r="D170" s="23" t="n"/>
      <x:c r="E170" s="23" t="n"/>
      <x:c r="F170" s="23" t="n"/>
      <x:c r="G170" s="23" t="n"/>
      <x:c r="H170" s="7" t="n"/>
      <x:c r="I170" s="23" t="n"/>
      <x:c r="J170" s="23" t="n"/>
      <x:c r="K170" s="8" t="n"/>
      <x:c r="L170" s="8" t="n"/>
      <x:c r="M170" s="23" t="n"/>
      <x:c r="N170" s="23" t="n"/>
      <x:c r="O170" s="23" t="n"/>
      <x:c r="P170" s="23" t="n"/>
    </x:row>
    <x:row r="171">
      <x:c r="A171" s="23" t="n"/>
      <x:c r="B171" s="23" t="n"/>
      <x:c r="C171" s="6" t="n"/>
      <x:c r="D171" s="23" t="n"/>
      <x:c r="E171" s="23" t="n"/>
      <x:c r="F171" s="23" t="n"/>
      <x:c r="G171" s="23" t="n"/>
      <x:c r="H171" s="7" t="n"/>
      <x:c r="I171" s="23" t="n"/>
      <x:c r="J171" s="23" t="n"/>
      <x:c r="K171" s="8" t="n"/>
      <x:c r="L171" s="8" t="n"/>
      <x:c r="M171" s="23" t="n"/>
      <x:c r="N171" s="23" t="n"/>
      <x:c r="O171" s="23" t="n"/>
      <x:c r="P171" s="23" t="n"/>
    </x:row>
    <x:row r="172">
      <x:c r="A172" s="23" t="n"/>
      <x:c r="B172" s="23" t="n"/>
      <x:c r="C172" s="6" t="n"/>
      <x:c r="D172" s="23" t="n"/>
      <x:c r="E172" s="23" t="n"/>
      <x:c r="F172" s="23" t="n"/>
      <x:c r="G172" s="23" t="n"/>
      <x:c r="H172" s="7" t="n"/>
      <x:c r="I172" s="23" t="n"/>
      <x:c r="J172" s="23" t="n"/>
      <x:c r="K172" s="8" t="n"/>
      <x:c r="L172" s="8" t="n"/>
      <x:c r="M172" s="23" t="n"/>
      <x:c r="N172" s="23" t="n"/>
      <x:c r="O172" s="23" t="n"/>
      <x:c r="P172" s="23" t="n"/>
    </x:row>
    <x:row r="173">
      <x:c r="A173" s="23" t="n"/>
      <x:c r="B173" s="23" t="n"/>
      <x:c r="C173" s="6" t="n"/>
      <x:c r="D173" s="23" t="n"/>
      <x:c r="E173" s="23" t="n"/>
      <x:c r="F173" s="23" t="n"/>
      <x:c r="G173" s="23" t="n"/>
      <x:c r="H173" s="7" t="n"/>
      <x:c r="I173" s="23" t="n"/>
      <x:c r="J173" s="23" t="n"/>
      <x:c r="K173" s="8" t="n"/>
      <x:c r="L173" s="8" t="n"/>
      <x:c r="M173" s="23" t="n"/>
      <x:c r="N173" s="23" t="n"/>
      <x:c r="O173" s="23" t="n"/>
      <x:c r="P173" s="23" t="n"/>
    </x:row>
    <x:row r="174">
      <x:c r="A174" s="23" t="n"/>
      <x:c r="B174" s="23" t="n"/>
      <x:c r="C174" s="6" t="n"/>
      <x:c r="D174" s="23" t="n"/>
      <x:c r="E174" s="23" t="n"/>
      <x:c r="F174" s="23" t="n"/>
      <x:c r="G174" s="23" t="n"/>
      <x:c r="H174" s="7" t="n"/>
      <x:c r="I174" s="23" t="n"/>
      <x:c r="J174" s="23" t="n"/>
      <x:c r="K174" s="8" t="n"/>
      <x:c r="L174" s="8" t="n"/>
      <x:c r="M174" s="23" t="n"/>
      <x:c r="N174" s="23" t="n"/>
      <x:c r="O174" s="23" t="n"/>
      <x:c r="P174" s="23" t="n"/>
    </x:row>
    <x:row r="175">
      <x:c r="A175" s="23" t="n"/>
      <x:c r="B175" s="23" t="n"/>
      <x:c r="C175" s="6" t="n"/>
      <x:c r="D175" s="23" t="n"/>
      <x:c r="E175" s="23" t="n"/>
      <x:c r="F175" s="23" t="n"/>
      <x:c r="G175" s="23" t="n"/>
      <x:c r="H175" s="7" t="n"/>
      <x:c r="I175" s="23" t="n"/>
      <x:c r="J175" s="23" t="n"/>
      <x:c r="K175" s="8" t="n"/>
      <x:c r="L175" s="8" t="n"/>
      <x:c r="M175" s="23" t="n"/>
      <x:c r="N175" s="23" t="n"/>
      <x:c r="O175" s="23" t="n"/>
      <x:c r="P175" s="23" t="n"/>
    </x:row>
    <x:row r="176">
      <x:c r="A176" s="23" t="n"/>
      <x:c r="B176" s="23" t="n"/>
      <x:c r="C176" s="6" t="n"/>
      <x:c r="D176" s="23" t="n"/>
      <x:c r="E176" s="23" t="n"/>
      <x:c r="F176" s="23" t="n"/>
      <x:c r="G176" s="23" t="n"/>
      <x:c r="H176" s="7" t="n"/>
      <x:c r="I176" s="23" t="n"/>
      <x:c r="J176" s="23" t="n"/>
      <x:c r="K176" s="8" t="n"/>
      <x:c r="L176" s="8" t="n"/>
      <x:c r="M176" s="23" t="n"/>
      <x:c r="N176" s="23" t="n"/>
      <x:c r="O176" s="23" t="n"/>
      <x:c r="P176" s="23" t="n"/>
    </x:row>
    <x:row r="177">
      <x:c r="A177" s="23" t="n"/>
      <x:c r="B177" s="23" t="n"/>
      <x:c r="C177" s="6" t="n"/>
      <x:c r="D177" s="23" t="n"/>
      <x:c r="E177" s="23" t="n"/>
      <x:c r="F177" s="23" t="n"/>
      <x:c r="G177" s="23" t="n"/>
      <x:c r="H177" s="7" t="n"/>
      <x:c r="I177" s="23" t="n"/>
      <x:c r="J177" s="23" t="n"/>
      <x:c r="K177" s="8" t="n"/>
      <x:c r="L177" s="8" t="n"/>
      <x:c r="M177" s="23" t="n"/>
      <x:c r="N177" s="23" t="n"/>
      <x:c r="O177" s="23" t="n"/>
      <x:c r="P177" s="23" t="n"/>
    </x:row>
    <x:row r="178">
      <x:c r="A178" s="23" t="n"/>
      <x:c r="B178" s="23" t="n"/>
      <x:c r="C178" s="6" t="n"/>
      <x:c r="D178" s="23" t="n"/>
      <x:c r="E178" s="23" t="n"/>
      <x:c r="F178" s="23" t="n"/>
      <x:c r="G178" s="23" t="n"/>
      <x:c r="H178" s="7" t="n"/>
      <x:c r="I178" s="23" t="n"/>
      <x:c r="J178" s="23" t="n"/>
      <x:c r="K178" s="8" t="n"/>
      <x:c r="L178" s="8" t="n"/>
      <x:c r="M178" s="23" t="n"/>
      <x:c r="N178" s="23" t="n"/>
      <x:c r="O178" s="23" t="n"/>
      <x:c r="P178" s="23" t="n"/>
    </x:row>
    <x:row r="179">
      <x:c r="A179" s="23" t="n"/>
      <x:c r="B179" s="23" t="n"/>
      <x:c r="C179" s="6" t="n"/>
      <x:c r="D179" s="23" t="n"/>
      <x:c r="E179" s="23" t="n"/>
      <x:c r="F179" s="23" t="n"/>
      <x:c r="G179" s="23" t="n"/>
      <x:c r="H179" s="7" t="n"/>
      <x:c r="I179" s="23" t="n"/>
      <x:c r="J179" s="23" t="n"/>
      <x:c r="K179" s="8" t="n"/>
      <x:c r="L179" s="8" t="n"/>
      <x:c r="M179" s="23" t="n"/>
      <x:c r="N179" s="23" t="n"/>
      <x:c r="O179" s="23" t="n"/>
      <x:c r="P179" s="23" t="n"/>
    </x:row>
    <x:row r="180">
      <x:c r="A180" s="23" t="n"/>
      <x:c r="B180" s="23" t="n"/>
      <x:c r="C180" s="6" t="n"/>
      <x:c r="D180" s="23" t="n"/>
      <x:c r="E180" s="23" t="n"/>
      <x:c r="F180" s="23" t="n"/>
      <x:c r="G180" s="23" t="n"/>
      <x:c r="H180" s="7" t="n"/>
      <x:c r="I180" s="23" t="n"/>
      <x:c r="J180" s="23" t="n"/>
      <x:c r="K180" s="8" t="n"/>
      <x:c r="L180" s="8" t="n"/>
      <x:c r="M180" s="23" t="n"/>
      <x:c r="N180" s="23" t="n"/>
      <x:c r="O180" s="23" t="n"/>
      <x:c r="P180" s="23" t="n"/>
    </x:row>
    <x:row r="181">
      <x:c r="A181" s="23" t="n"/>
      <x:c r="B181" s="23" t="n"/>
      <x:c r="C181" s="6" t="n"/>
      <x:c r="D181" s="23" t="n"/>
      <x:c r="E181" s="23" t="n"/>
      <x:c r="F181" s="23" t="n"/>
      <x:c r="G181" s="23" t="n"/>
      <x:c r="H181" s="7" t="n"/>
      <x:c r="I181" s="23" t="n"/>
      <x:c r="J181" s="23" t="n"/>
      <x:c r="K181" s="8" t="n"/>
      <x:c r="L181" s="8" t="n"/>
      <x:c r="M181" s="23" t="n"/>
      <x:c r="N181" s="23" t="n"/>
      <x:c r="O181" s="23" t="n"/>
      <x:c r="P181" s="23" t="n"/>
    </x:row>
    <x:row r="182">
      <x:c r="A182" s="23" t="n"/>
      <x:c r="B182" s="23" t="n"/>
      <x:c r="C182" s="6" t="n"/>
      <x:c r="D182" s="23" t="n"/>
      <x:c r="E182" s="23" t="n"/>
      <x:c r="F182" s="23" t="n"/>
      <x:c r="G182" s="23" t="n"/>
      <x:c r="H182" s="7" t="n"/>
      <x:c r="I182" s="23" t="n"/>
      <x:c r="J182" s="23" t="n"/>
      <x:c r="K182" s="8" t="n"/>
      <x:c r="L182" s="8" t="n"/>
      <x:c r="M182" s="23" t="n"/>
      <x:c r="N182" s="23" t="n"/>
      <x:c r="O182" s="23" t="n"/>
      <x:c r="P182" s="23" t="n"/>
    </x:row>
    <x:row r="183">
      <x:c r="A183" s="23" t="n"/>
      <x:c r="B183" s="23" t="n"/>
      <x:c r="C183" s="6" t="n"/>
      <x:c r="D183" s="23" t="n"/>
      <x:c r="E183" s="23" t="n"/>
      <x:c r="F183" s="23" t="n"/>
      <x:c r="G183" s="23" t="n"/>
      <x:c r="H183" s="7" t="n"/>
      <x:c r="I183" s="23" t="n"/>
      <x:c r="J183" s="23" t="n"/>
      <x:c r="K183" s="8" t="n"/>
      <x:c r="L183" s="8" t="n"/>
      <x:c r="M183" s="23" t="n"/>
      <x:c r="N183" s="23" t="n"/>
      <x:c r="O183" s="23" t="n"/>
      <x:c r="P183" s="23" t="n"/>
    </x:row>
    <x:row r="184">
      <x:c r="A184" s="23" t="n"/>
      <x:c r="B184" s="23" t="n"/>
      <x:c r="C184" s="6" t="n"/>
      <x:c r="D184" s="23" t="n"/>
      <x:c r="E184" s="23" t="n"/>
      <x:c r="F184" s="23" t="n"/>
      <x:c r="G184" s="23" t="n"/>
      <x:c r="H184" s="7" t="n"/>
      <x:c r="I184" s="23" t="n"/>
      <x:c r="J184" s="23" t="n"/>
      <x:c r="K184" s="8" t="n"/>
      <x:c r="L184" s="8" t="n"/>
      <x:c r="M184" s="23" t="n"/>
      <x:c r="N184" s="23" t="n"/>
      <x:c r="O184" s="23" t="n"/>
      <x:c r="P184" s="23" t="n"/>
    </x:row>
    <x:row r="185">
      <x:c r="A185" s="23" t="n"/>
      <x:c r="B185" s="23" t="n"/>
      <x:c r="C185" s="6" t="n"/>
      <x:c r="D185" s="23" t="n"/>
      <x:c r="E185" s="23" t="n"/>
      <x:c r="F185" s="23" t="n"/>
      <x:c r="G185" s="23" t="n"/>
      <x:c r="H185" s="7" t="n"/>
      <x:c r="I185" s="23" t="n"/>
      <x:c r="J185" s="23" t="n"/>
      <x:c r="K185" s="8" t="n"/>
      <x:c r="L185" s="8" t="n"/>
      <x:c r="M185" s="23" t="n"/>
      <x:c r="N185" s="23" t="n"/>
      <x:c r="O185" s="23" t="n"/>
      <x:c r="P185" s="23" t="n"/>
    </x:row>
    <x:row r="186">
      <x:c r="A186" s="23" t="n"/>
      <x:c r="B186" s="23" t="n"/>
      <x:c r="C186" s="6" t="n"/>
      <x:c r="D186" s="23" t="n"/>
      <x:c r="E186" s="23" t="n"/>
      <x:c r="F186" s="23" t="n"/>
      <x:c r="G186" s="23" t="n"/>
      <x:c r="H186" s="7" t="n"/>
      <x:c r="I186" s="23" t="n"/>
      <x:c r="J186" s="23" t="n"/>
      <x:c r="K186" s="8" t="n"/>
      <x:c r="L186" s="8" t="n"/>
      <x:c r="M186" s="23" t="n"/>
      <x:c r="N186" s="23" t="n"/>
      <x:c r="O186" s="23" t="n"/>
      <x:c r="P186" s="23" t="n"/>
    </x:row>
    <x:row r="187">
      <x:c r="A187" s="23" t="n"/>
      <x:c r="B187" s="23" t="n"/>
      <x:c r="C187" s="6" t="n"/>
      <x:c r="D187" s="23" t="n"/>
      <x:c r="E187" s="23" t="n"/>
      <x:c r="F187" s="23" t="n"/>
      <x:c r="G187" s="23" t="n"/>
      <x:c r="H187" s="7" t="n"/>
      <x:c r="I187" s="23" t="n"/>
      <x:c r="J187" s="23" t="n"/>
      <x:c r="K187" s="8" t="n"/>
      <x:c r="L187" s="8" t="n"/>
      <x:c r="M187" s="23" t="n"/>
      <x:c r="N187" s="23" t="n"/>
      <x:c r="O187" s="23" t="n"/>
      <x:c r="P187" s="23" t="n"/>
    </x:row>
    <x:row r="188">
      <x:c r="A188" s="23" t="n"/>
      <x:c r="B188" s="23" t="n"/>
      <x:c r="C188" s="6" t="n"/>
      <x:c r="D188" s="23" t="n"/>
      <x:c r="E188" s="23" t="n"/>
      <x:c r="F188" s="23" t="n"/>
      <x:c r="G188" s="23" t="n"/>
      <x:c r="H188" s="7" t="n"/>
      <x:c r="I188" s="23" t="n"/>
      <x:c r="J188" s="23" t="n"/>
      <x:c r="K188" s="8" t="n"/>
      <x:c r="L188" s="8" t="n"/>
      <x:c r="M188" s="23" t="n"/>
      <x:c r="N188" s="23" t="n"/>
      <x:c r="O188" s="23" t="n"/>
      <x:c r="P188" s="23" t="n"/>
    </x:row>
    <x:row r="189">
      <x:c r="A189" s="23" t="n"/>
      <x:c r="B189" s="23" t="n"/>
      <x:c r="C189" s="6" t="n"/>
      <x:c r="D189" s="23" t="n"/>
      <x:c r="E189" s="23" t="n"/>
      <x:c r="F189" s="23" t="n"/>
      <x:c r="G189" s="23" t="n"/>
      <x:c r="H189" s="7" t="n"/>
      <x:c r="I189" s="23" t="n"/>
      <x:c r="J189" s="23" t="n"/>
      <x:c r="K189" s="8" t="n"/>
      <x:c r="L189" s="8" t="n"/>
      <x:c r="M189" s="23" t="n"/>
      <x:c r="N189" s="23" t="n"/>
      <x:c r="O189" s="23" t="n"/>
      <x:c r="P189" s="23" t="n"/>
    </x:row>
    <x:row r="190">
      <x:c r="A190" s="23" t="n"/>
      <x:c r="B190" s="23" t="n"/>
      <x:c r="C190" s="6" t="n"/>
      <x:c r="D190" s="23" t="n"/>
      <x:c r="E190" s="23" t="n"/>
      <x:c r="F190" s="23" t="n"/>
      <x:c r="G190" s="23" t="n"/>
      <x:c r="H190" s="7" t="n"/>
      <x:c r="I190" s="23" t="n"/>
      <x:c r="J190" s="23" t="n"/>
      <x:c r="K190" s="8" t="n"/>
      <x:c r="L190" s="8" t="n"/>
      <x:c r="M190" s="23" t="n"/>
      <x:c r="N190" s="23" t="n"/>
      <x:c r="O190" s="23" t="n"/>
      <x:c r="P190" s="23" t="n"/>
    </x:row>
    <x:row r="191">
      <x:c r="A191" s="23" t="n"/>
      <x:c r="B191" s="23" t="n"/>
      <x:c r="C191" s="6" t="n"/>
      <x:c r="D191" s="23" t="n"/>
      <x:c r="E191" s="23" t="n"/>
      <x:c r="F191" s="23" t="n"/>
      <x:c r="G191" s="23" t="n"/>
      <x:c r="H191" s="7" t="n"/>
      <x:c r="I191" s="23" t="n"/>
      <x:c r="J191" s="23" t="n"/>
      <x:c r="K191" s="8" t="n"/>
      <x:c r="L191" s="8" t="n"/>
      <x:c r="M191" s="23" t="n"/>
      <x:c r="N191" s="23" t="n"/>
      <x:c r="O191" s="23" t="n"/>
      <x:c r="P191" s="23" t="n"/>
    </x:row>
    <x:row r="192">
      <x:c r="A192" s="23" t="n"/>
      <x:c r="B192" s="23" t="n"/>
      <x:c r="C192" s="6" t="n"/>
      <x:c r="D192" s="23" t="n"/>
      <x:c r="E192" s="23" t="n"/>
      <x:c r="F192" s="23" t="n"/>
      <x:c r="G192" s="23" t="n"/>
      <x:c r="H192" s="7" t="n"/>
      <x:c r="I192" s="23" t="n"/>
      <x:c r="J192" s="23" t="n"/>
      <x:c r="K192" s="8" t="n"/>
      <x:c r="L192" s="8" t="n"/>
      <x:c r="M192" s="23" t="n"/>
      <x:c r="N192" s="23" t="n"/>
      <x:c r="O192" s="23" t="n"/>
      <x:c r="P192" s="23" t="n"/>
    </x:row>
    <x:row r="193">
      <x:c r="A193" s="23" t="n"/>
      <x:c r="B193" s="23" t="n"/>
      <x:c r="C193" s="6" t="n"/>
      <x:c r="D193" s="23" t="n"/>
      <x:c r="E193" s="23" t="n"/>
      <x:c r="F193" s="23" t="n"/>
      <x:c r="G193" s="23" t="n"/>
      <x:c r="H193" s="7" t="n"/>
      <x:c r="I193" s="23" t="n"/>
      <x:c r="J193" s="23" t="n"/>
      <x:c r="K193" s="8" t="n"/>
      <x:c r="L193" s="8" t="n"/>
      <x:c r="M193" s="23" t="n"/>
      <x:c r="N193" s="23" t="n"/>
      <x:c r="O193" s="23" t="n"/>
      <x:c r="P193" s="23" t="n"/>
    </x:row>
    <x:row r="194">
      <x:c r="A194" s="23" t="n"/>
      <x:c r="B194" s="23" t="n"/>
      <x:c r="C194" s="6" t="n"/>
      <x:c r="D194" s="23" t="n"/>
      <x:c r="E194" s="23" t="n"/>
      <x:c r="F194" s="23" t="n"/>
      <x:c r="G194" s="23" t="n"/>
      <x:c r="H194" s="7" t="n"/>
      <x:c r="I194" s="23" t="n"/>
      <x:c r="J194" s="23" t="n"/>
      <x:c r="K194" s="8" t="n"/>
      <x:c r="L194" s="8" t="n"/>
      <x:c r="M194" s="23" t="n"/>
      <x:c r="N194" s="23" t="n"/>
      <x:c r="O194" s="23" t="n"/>
      <x:c r="P194" s="23" t="n"/>
    </x:row>
    <x:row r="195">
      <x:c r="A195" s="23" t="n"/>
      <x:c r="B195" s="23" t="n"/>
      <x:c r="C195" s="6" t="n"/>
      <x:c r="D195" s="23" t="n"/>
      <x:c r="E195" s="23" t="n"/>
      <x:c r="F195" s="23" t="n"/>
      <x:c r="G195" s="23" t="n"/>
      <x:c r="H195" s="7" t="n"/>
      <x:c r="I195" s="23" t="n"/>
      <x:c r="J195" s="23" t="n"/>
      <x:c r="K195" s="8" t="n"/>
      <x:c r="L195" s="8" t="n"/>
      <x:c r="M195" s="23" t="n"/>
      <x:c r="N195" s="23" t="n"/>
      <x:c r="O195" s="23" t="n"/>
      <x:c r="P195" s="23" t="n"/>
    </x:row>
    <x:row r="196">
      <x:c r="A196" s="23" t="n"/>
      <x:c r="B196" s="23" t="n"/>
      <x:c r="C196" s="6" t="n"/>
      <x:c r="D196" s="23" t="n"/>
      <x:c r="E196" s="23" t="n"/>
      <x:c r="F196" s="23" t="n"/>
      <x:c r="G196" s="23" t="n"/>
      <x:c r="H196" s="7" t="n"/>
      <x:c r="I196" s="23" t="n"/>
      <x:c r="J196" s="23" t="n"/>
      <x:c r="K196" s="8" t="n"/>
      <x:c r="L196" s="8" t="n"/>
      <x:c r="M196" s="23" t="n"/>
      <x:c r="N196" s="23" t="n"/>
      <x:c r="O196" s="23" t="n"/>
      <x:c r="P196" s="23" t="n"/>
    </x:row>
    <x:row r="197">
      <x:c r="A197" s="23" t="n"/>
      <x:c r="B197" s="23" t="n"/>
      <x:c r="C197" s="6" t="n"/>
      <x:c r="D197" s="23" t="n"/>
      <x:c r="E197" s="23" t="n"/>
      <x:c r="F197" s="23" t="n"/>
      <x:c r="G197" s="23" t="n"/>
      <x:c r="H197" s="7" t="n"/>
      <x:c r="I197" s="23" t="n"/>
      <x:c r="J197" s="23" t="n"/>
      <x:c r="K197" s="8" t="n"/>
      <x:c r="L197" s="8" t="n"/>
      <x:c r="M197" s="23" t="n"/>
      <x:c r="N197" s="23" t="n"/>
      <x:c r="O197" s="23" t="n"/>
      <x:c r="P197" s="23" t="n"/>
    </x:row>
    <x:row r="198">
      <x:c r="A198" s="23" t="n"/>
      <x:c r="B198" s="23" t="n"/>
      <x:c r="C198" s="6" t="n"/>
      <x:c r="D198" s="23" t="n"/>
      <x:c r="E198" s="23" t="n"/>
      <x:c r="F198" s="23" t="n"/>
      <x:c r="G198" s="23" t="n"/>
      <x:c r="H198" s="7" t="n"/>
      <x:c r="I198" s="23" t="n"/>
      <x:c r="J198" s="23" t="n"/>
      <x:c r="K198" s="8" t="n"/>
      <x:c r="L198" s="8" t="n"/>
      <x:c r="M198" s="23" t="n"/>
      <x:c r="N198" s="23" t="n"/>
      <x:c r="O198" s="23" t="n"/>
      <x:c r="P198" s="23" t="n"/>
    </x:row>
    <x:row r="199">
      <x:c r="A199" s="23" t="n"/>
      <x:c r="B199" s="23" t="n"/>
      <x:c r="C199" s="6" t="n"/>
      <x:c r="D199" s="23" t="n"/>
      <x:c r="E199" s="23" t="n"/>
      <x:c r="F199" s="23" t="n"/>
      <x:c r="G199" s="23" t="n"/>
      <x:c r="H199" s="7" t="n"/>
      <x:c r="I199" s="23" t="n"/>
      <x:c r="J199" s="23" t="n"/>
      <x:c r="K199" s="8" t="n"/>
      <x:c r="L199" s="8" t="n"/>
      <x:c r="M199" s="23" t="n"/>
      <x:c r="N199" s="23" t="n"/>
      <x:c r="O199" s="23" t="n"/>
      <x:c r="P199" s="23" t="n"/>
    </x:row>
    <x:row r="200">
      <x:c r="A200" s="23" t="n"/>
      <x:c r="B200" s="23" t="n"/>
      <x:c r="C200" s="6" t="n"/>
      <x:c r="D200" s="23" t="n"/>
      <x:c r="E200" s="23" t="n"/>
      <x:c r="F200" s="23" t="n"/>
      <x:c r="G200" s="23" t="n"/>
      <x:c r="H200" s="7" t="n"/>
      <x:c r="I200" s="23" t="n"/>
      <x:c r="J200" s="23" t="n"/>
      <x:c r="K200" s="8" t="n"/>
      <x:c r="L200" s="8" t="n"/>
      <x:c r="M200" s="23" t="n"/>
      <x:c r="N200" s="23" t="n"/>
      <x:c r="O200" s="23" t="n"/>
      <x:c r="P200" s="23" t="n"/>
    </x:row>
    <x:row r="201">
      <x:c r="A201" s="23" t="n"/>
      <x:c r="B201" s="23" t="n"/>
      <x:c r="C201" s="6" t="n"/>
      <x:c r="D201" s="23" t="n"/>
      <x:c r="E201" s="23" t="n"/>
      <x:c r="F201" s="23" t="n"/>
      <x:c r="G201" s="23" t="n"/>
      <x:c r="H201" s="7" t="n"/>
      <x:c r="I201" s="23" t="n"/>
      <x:c r="J201" s="23" t="n"/>
      <x:c r="K201" s="8" t="n"/>
      <x:c r="L201" s="8" t="n"/>
      <x:c r="M201" s="23" t="n"/>
      <x:c r="N201" s="23" t="n"/>
      <x:c r="O201" s="23" t="n"/>
      <x:c r="P201" s="23" t="n"/>
    </x:row>
    <x:row r="202">
      <x:c r="A202" s="23" t="n"/>
      <x:c r="B202" s="23" t="n"/>
      <x:c r="C202" s="6" t="n"/>
      <x:c r="D202" s="23" t="n"/>
      <x:c r="E202" s="23" t="n"/>
      <x:c r="F202" s="23" t="n"/>
      <x:c r="G202" s="23" t="n"/>
      <x:c r="H202" s="7" t="n"/>
      <x:c r="I202" s="23" t="n"/>
      <x:c r="J202" s="23" t="n"/>
      <x:c r="K202" s="8" t="n"/>
      <x:c r="L202" s="8" t="n"/>
      <x:c r="M202" s="23" t="n"/>
      <x:c r="N202" s="23" t="n"/>
      <x:c r="O202" s="23" t="n"/>
      <x:c r="P202" s="23" t="n"/>
    </x:row>
    <x:row r="203">
      <x:c r="A203" s="23" t="n"/>
      <x:c r="B203" s="23" t="n"/>
      <x:c r="C203" s="6" t="n"/>
      <x:c r="D203" s="23" t="n"/>
      <x:c r="E203" s="23" t="n"/>
      <x:c r="F203" s="23" t="n"/>
      <x:c r="G203" s="23" t="n"/>
      <x:c r="H203" s="7" t="n"/>
      <x:c r="I203" s="23" t="n"/>
      <x:c r="J203" s="23" t="n"/>
      <x:c r="K203" s="8" t="n"/>
      <x:c r="L203" s="8" t="n"/>
      <x:c r="M203" s="23" t="n"/>
      <x:c r="N203" s="23" t="n"/>
      <x:c r="O203" s="23" t="n"/>
      <x:c r="P203" s="23" t="n"/>
    </x:row>
    <x:row r="204">
      <x:c r="A204" s="23" t="n"/>
      <x:c r="B204" s="23" t="n"/>
      <x:c r="C204" s="6" t="n"/>
      <x:c r="D204" s="23" t="n"/>
      <x:c r="E204" s="23" t="n"/>
      <x:c r="F204" s="23" t="n"/>
      <x:c r="G204" s="23" t="n"/>
      <x:c r="H204" s="7" t="n"/>
      <x:c r="I204" s="23" t="n"/>
      <x:c r="J204" s="23" t="n"/>
      <x:c r="K204" s="8" t="n"/>
      <x:c r="L204" s="8" t="n"/>
      <x:c r="M204" s="23" t="n"/>
      <x:c r="N204" s="23" t="n"/>
      <x:c r="O204" s="23" t="n"/>
      <x:c r="P204" s="23" t="n"/>
    </x:row>
    <x:row r="205">
      <x:c r="A205" s="23" t="n"/>
      <x:c r="B205" s="23" t="n"/>
      <x:c r="C205" s="6" t="n"/>
      <x:c r="D205" s="23" t="n"/>
      <x:c r="E205" s="23" t="n"/>
      <x:c r="F205" s="23" t="n"/>
      <x:c r="G205" s="23" t="n"/>
      <x:c r="H205" s="7" t="n"/>
      <x:c r="I205" s="23" t="n"/>
      <x:c r="J205" s="23" t="n"/>
      <x:c r="K205" s="8" t="n"/>
      <x:c r="L205" s="8" t="n"/>
      <x:c r="M205" s="23" t="n"/>
      <x:c r="N205" s="23" t="n"/>
      <x:c r="O205" s="23" t="n"/>
      <x:c r="P205" s="23" t="n"/>
    </x:row>
    <x:row r="206">
      <x:c r="A206" s="23" t="n"/>
      <x:c r="B206" s="23" t="n"/>
      <x:c r="C206" s="6" t="n"/>
      <x:c r="D206" s="23" t="n"/>
      <x:c r="E206" s="23" t="n"/>
      <x:c r="F206" s="23" t="n"/>
      <x:c r="G206" s="23" t="n"/>
      <x:c r="H206" s="7" t="n"/>
      <x:c r="I206" s="23" t="n"/>
      <x:c r="J206" s="23" t="n"/>
      <x:c r="K206" s="8" t="n"/>
      <x:c r="L206" s="8" t="n"/>
      <x:c r="M206" s="23" t="n"/>
      <x:c r="N206" s="23" t="n"/>
      <x:c r="O206" s="23" t="n"/>
      <x:c r="P206" s="23" t="n"/>
    </x:row>
    <x:row r="207">
      <x:c r="A207" s="23" t="n"/>
      <x:c r="B207" s="23" t="n"/>
      <x:c r="C207" s="6" t="n"/>
      <x:c r="D207" s="23" t="n"/>
      <x:c r="E207" s="23" t="n"/>
      <x:c r="F207" s="23" t="n"/>
      <x:c r="G207" s="23" t="n"/>
      <x:c r="H207" s="7" t="n"/>
      <x:c r="I207" s="23" t="n"/>
      <x:c r="J207" s="23" t="n"/>
      <x:c r="K207" s="8" t="n"/>
      <x:c r="L207" s="8" t="n"/>
      <x:c r="M207" s="23" t="n"/>
      <x:c r="N207" s="23" t="n"/>
      <x:c r="O207" s="23" t="n"/>
      <x:c r="P207" s="23" t="n"/>
    </x:row>
    <x:row r="208">
      <x:c r="A208" s="23" t="n"/>
      <x:c r="B208" s="23" t="n"/>
      <x:c r="C208" s="6" t="n"/>
      <x:c r="D208" s="23" t="n"/>
      <x:c r="E208" s="23" t="n"/>
      <x:c r="F208" s="23" t="n"/>
      <x:c r="G208" s="23" t="n"/>
      <x:c r="H208" s="7" t="n"/>
      <x:c r="I208" s="23" t="n"/>
      <x:c r="J208" s="23" t="n"/>
      <x:c r="K208" s="8" t="n"/>
      <x:c r="L208" s="8" t="n"/>
      <x:c r="M208" s="23" t="n"/>
      <x:c r="N208" s="23" t="n"/>
      <x:c r="O208" s="23" t="n"/>
      <x:c r="P208" s="23" t="n"/>
    </x:row>
    <x:row r="209">
      <x:c r="A209" s="23" t="n"/>
      <x:c r="B209" s="23" t="n"/>
      <x:c r="C209" s="6" t="n"/>
      <x:c r="D209" s="23" t="n"/>
      <x:c r="E209" s="23" t="n"/>
      <x:c r="F209" s="23" t="n"/>
      <x:c r="G209" s="23" t="n"/>
      <x:c r="H209" s="7" t="n"/>
      <x:c r="I209" s="23" t="n"/>
      <x:c r="J209" s="23" t="n"/>
      <x:c r="K209" s="8" t="n"/>
      <x:c r="L209" s="8" t="n"/>
      <x:c r="M209" s="23" t="n"/>
      <x:c r="N209" s="23" t="n"/>
      <x:c r="O209" s="23" t="n"/>
      <x:c r="P209" s="23" t="n"/>
    </x:row>
    <x:row r="210">
      <x:c r="A210" s="23" t="n"/>
      <x:c r="B210" s="23" t="n"/>
      <x:c r="C210" s="6" t="n"/>
      <x:c r="D210" s="23" t="n"/>
      <x:c r="E210" s="23" t="n"/>
      <x:c r="F210" s="23" t="n"/>
      <x:c r="G210" s="23" t="n"/>
      <x:c r="H210" s="7" t="n"/>
      <x:c r="I210" s="23" t="n"/>
      <x:c r="J210" s="23" t="n"/>
      <x:c r="K210" s="8" t="n"/>
      <x:c r="L210" s="8" t="n"/>
      <x:c r="M210" s="23" t="n"/>
      <x:c r="N210" s="23" t="n"/>
      <x:c r="O210" s="23" t="n"/>
      <x:c r="P210" s="23" t="n"/>
    </x:row>
    <x:row r="211">
      <x:c r="A211" s="23" t="n"/>
      <x:c r="B211" s="23" t="n"/>
      <x:c r="C211" s="6" t="n"/>
      <x:c r="D211" s="23" t="n"/>
      <x:c r="E211" s="23" t="n"/>
      <x:c r="F211" s="23" t="n"/>
      <x:c r="G211" s="23" t="n"/>
      <x:c r="H211" s="7" t="n"/>
      <x:c r="I211" s="23" t="n"/>
      <x:c r="J211" s="23" t="n"/>
      <x:c r="K211" s="8" t="n"/>
      <x:c r="L211" s="8" t="n"/>
      <x:c r="M211" s="23" t="n"/>
      <x:c r="N211" s="23" t="n"/>
      <x:c r="O211" s="23" t="n"/>
      <x:c r="P211" s="23" t="n"/>
    </x:row>
    <x:row r="212">
      <x:c r="A212" s="23" t="n"/>
      <x:c r="B212" s="23" t="n"/>
      <x:c r="C212" s="6" t="n"/>
      <x:c r="D212" s="23" t="n"/>
      <x:c r="E212" s="23" t="n"/>
      <x:c r="F212" s="23" t="n"/>
      <x:c r="G212" s="23" t="n"/>
      <x:c r="H212" s="7" t="n"/>
      <x:c r="I212" s="23" t="n"/>
      <x:c r="J212" s="23" t="n"/>
      <x:c r="K212" s="8" t="n"/>
      <x:c r="L212" s="8" t="n"/>
      <x:c r="M212" s="23" t="n"/>
      <x:c r="N212" s="23" t="n"/>
      <x:c r="O212" s="23" t="n"/>
      <x:c r="P212" s="23" t="n"/>
    </x:row>
    <x:row r="213">
      <x:c r="A213" s="23" t="n"/>
      <x:c r="B213" s="23" t="n"/>
      <x:c r="C213" s="6" t="n"/>
      <x:c r="D213" s="23" t="n"/>
      <x:c r="E213" s="23" t="n"/>
      <x:c r="F213" s="23" t="n"/>
      <x:c r="G213" s="23" t="n"/>
      <x:c r="H213" s="7" t="n"/>
      <x:c r="I213" s="23" t="n"/>
      <x:c r="J213" s="23" t="n"/>
      <x:c r="K213" s="8" t="n"/>
      <x:c r="L213" s="8" t="n"/>
      <x:c r="M213" s="23" t="n"/>
      <x:c r="N213" s="23" t="n"/>
      <x:c r="O213" s="23" t="n"/>
      <x:c r="P213" s="23" t="n"/>
    </x:row>
    <x:row r="214">
      <x:c r="A214" s="23" t="n"/>
      <x:c r="B214" s="23" t="n"/>
      <x:c r="C214" s="6" t="n"/>
      <x:c r="D214" s="23" t="n"/>
      <x:c r="E214" s="23" t="n"/>
      <x:c r="F214" s="23" t="n"/>
      <x:c r="G214" s="23" t="n"/>
      <x:c r="H214" s="7" t="n"/>
      <x:c r="I214" s="23" t="n"/>
      <x:c r="J214" s="23" t="n"/>
      <x:c r="K214" s="8" t="n"/>
      <x:c r="L214" s="8" t="n"/>
      <x:c r="M214" s="23" t="n"/>
      <x:c r="N214" s="23" t="n"/>
      <x:c r="O214" s="23" t="n"/>
      <x:c r="P214" s="23" t="n"/>
    </x:row>
    <x:row r="215">
      <x:c r="A215" s="23" t="n"/>
      <x:c r="B215" s="23" t="n"/>
      <x:c r="C215" s="6" t="n"/>
      <x:c r="D215" s="23" t="n"/>
      <x:c r="E215" s="23" t="n"/>
      <x:c r="F215" s="23" t="n"/>
      <x:c r="G215" s="23" t="n"/>
      <x:c r="H215" s="7" t="n"/>
      <x:c r="I215" s="23" t="n"/>
      <x:c r="J215" s="23" t="n"/>
      <x:c r="K215" s="8" t="n"/>
      <x:c r="L215" s="8" t="n"/>
      <x:c r="M215" s="23" t="n"/>
      <x:c r="N215" s="23" t="n"/>
      <x:c r="O215" s="23" t="n"/>
      <x:c r="P215" s="23" t="n"/>
    </x:row>
    <x:row r="216">
      <x:c r="A216" s="23" t="n"/>
      <x:c r="B216" s="23" t="n"/>
      <x:c r="C216" s="6" t="n"/>
      <x:c r="D216" s="23" t="n"/>
      <x:c r="E216" s="23" t="n"/>
      <x:c r="F216" s="23" t="n"/>
      <x:c r="G216" s="23" t="n"/>
      <x:c r="H216" s="7" t="n"/>
      <x:c r="I216" s="23" t="n"/>
      <x:c r="J216" s="23" t="n"/>
      <x:c r="K216" s="8" t="n"/>
      <x:c r="L216" s="8" t="n"/>
      <x:c r="M216" s="23" t="n"/>
      <x:c r="N216" s="23" t="n"/>
      <x:c r="O216" s="23" t="n"/>
      <x:c r="P216" s="23" t="n"/>
    </x:row>
    <x:row r="217">
      <x:c r="A217" s="23" t="n"/>
      <x:c r="B217" s="23" t="n"/>
      <x:c r="C217" s="6" t="n"/>
      <x:c r="D217" s="23" t="n"/>
      <x:c r="E217" s="23" t="n"/>
      <x:c r="F217" s="23" t="n"/>
      <x:c r="G217" s="23" t="n"/>
      <x:c r="H217" s="7" t="n"/>
      <x:c r="I217" s="23" t="n"/>
      <x:c r="J217" s="23" t="n"/>
      <x:c r="K217" s="8" t="n"/>
      <x:c r="L217" s="8" t="n"/>
      <x:c r="M217" s="23" t="n"/>
      <x:c r="N217" s="23" t="n"/>
      <x:c r="O217" s="23" t="n"/>
      <x:c r="P217" s="23" t="n"/>
    </x:row>
    <x:row r="218">
      <x:c r="A218" s="23" t="n"/>
      <x:c r="B218" s="23" t="n"/>
      <x:c r="C218" s="6" t="n"/>
      <x:c r="D218" s="23" t="n"/>
      <x:c r="E218" s="23" t="n"/>
      <x:c r="F218" s="23" t="n"/>
      <x:c r="G218" s="23" t="n"/>
      <x:c r="H218" s="7" t="n"/>
      <x:c r="I218" s="23" t="n"/>
      <x:c r="J218" s="23" t="n"/>
      <x:c r="K218" s="8" t="n"/>
      <x:c r="L218" s="8" t="n"/>
      <x:c r="M218" s="23" t="n"/>
      <x:c r="N218" s="23" t="n"/>
      <x:c r="O218" s="23" t="n"/>
      <x:c r="P218" s="23" t="n"/>
    </x:row>
    <x:row r="219">
      <x:c r="A219" s="23" t="n"/>
      <x:c r="B219" s="23" t="n"/>
      <x:c r="C219" s="6" t="n"/>
      <x:c r="D219" s="23" t="n"/>
      <x:c r="E219" s="23" t="n"/>
      <x:c r="F219" s="23" t="n"/>
      <x:c r="G219" s="23" t="n"/>
      <x:c r="H219" s="7" t="n"/>
      <x:c r="I219" s="23" t="n"/>
      <x:c r="J219" s="23" t="n"/>
      <x:c r="K219" s="8" t="n"/>
      <x:c r="L219" s="8" t="n"/>
      <x:c r="M219" s="23" t="n"/>
      <x:c r="N219" s="23" t="n"/>
      <x:c r="O219" s="23" t="n"/>
      <x:c r="P219" s="23" t="n"/>
    </x:row>
    <x:row r="220">
      <x:c r="A220" s="23" t="n"/>
      <x:c r="B220" s="23" t="n"/>
      <x:c r="C220" s="6" t="n"/>
      <x:c r="D220" s="23" t="n"/>
      <x:c r="E220" s="23" t="n"/>
      <x:c r="F220" s="23" t="n"/>
      <x:c r="G220" s="23" t="n"/>
      <x:c r="H220" s="7" t="n"/>
      <x:c r="I220" s="23" t="n"/>
      <x:c r="J220" s="23" t="n"/>
      <x:c r="K220" s="8" t="n"/>
      <x:c r="L220" s="8" t="n"/>
      <x:c r="M220" s="23" t="n"/>
      <x:c r="N220" s="23" t="n"/>
      <x:c r="O220" s="23" t="n"/>
      <x:c r="P220" s="23" t="n"/>
    </x:row>
    <x:row r="221">
      <x:c r="A221" s="23" t="n"/>
      <x:c r="B221" s="23" t="n"/>
      <x:c r="C221" s="6" t="n"/>
      <x:c r="D221" s="23" t="n"/>
      <x:c r="E221" s="23" t="n"/>
      <x:c r="F221" s="23" t="n"/>
      <x:c r="G221" s="23" t="n"/>
      <x:c r="H221" s="7" t="n"/>
      <x:c r="I221" s="23" t="n"/>
      <x:c r="J221" s="23" t="n"/>
      <x:c r="K221" s="8" t="n"/>
      <x:c r="L221" s="8" t="n"/>
      <x:c r="M221" s="23" t="n"/>
      <x:c r="N221" s="23" t="n"/>
      <x:c r="O221" s="23" t="n"/>
      <x:c r="P221" s="23" t="n"/>
    </x:row>
    <x:row r="222">
      <x:c r="A222" s="23" t="n"/>
      <x:c r="B222" s="23" t="n"/>
      <x:c r="C222" s="6" t="n"/>
      <x:c r="D222" s="23" t="n"/>
      <x:c r="E222" s="23" t="n"/>
      <x:c r="F222" s="23" t="n"/>
      <x:c r="G222" s="23" t="n"/>
      <x:c r="H222" s="7" t="n"/>
      <x:c r="I222" s="23" t="n"/>
      <x:c r="J222" s="23" t="n"/>
      <x:c r="K222" s="8" t="n"/>
      <x:c r="L222" s="8" t="n"/>
      <x:c r="M222" s="23" t="n"/>
      <x:c r="N222" s="23" t="n"/>
      <x:c r="O222" s="23" t="n"/>
      <x:c r="P222" s="23" t="n"/>
    </x:row>
    <x:row r="223">
      <x:c r="A223" s="23" t="n"/>
      <x:c r="B223" s="23" t="n"/>
      <x:c r="C223" s="6" t="n"/>
      <x:c r="D223" s="23" t="n"/>
      <x:c r="E223" s="23" t="n"/>
      <x:c r="F223" s="23" t="n"/>
      <x:c r="G223" s="23" t="n"/>
      <x:c r="H223" s="7" t="n"/>
      <x:c r="I223" s="23" t="n"/>
      <x:c r="J223" s="23" t="n"/>
      <x:c r="K223" s="8" t="n"/>
      <x:c r="L223" s="8" t="n"/>
      <x:c r="M223" s="23" t="n"/>
      <x:c r="N223" s="23" t="n"/>
      <x:c r="O223" s="23" t="n"/>
      <x:c r="P223" s="23" t="n"/>
    </x:row>
    <x:row r="224">
      <x:c r="A224" s="23" t="n"/>
      <x:c r="B224" s="23" t="n"/>
      <x:c r="C224" s="6" t="n"/>
      <x:c r="D224" s="23" t="n"/>
      <x:c r="E224" s="23" t="n"/>
      <x:c r="F224" s="23" t="n"/>
      <x:c r="G224" s="23" t="n"/>
      <x:c r="H224" s="7" t="n"/>
      <x:c r="I224" s="23" t="n"/>
      <x:c r="J224" s="23" t="n"/>
      <x:c r="K224" s="8" t="n"/>
      <x:c r="L224" s="8" t="n"/>
      <x:c r="M224" s="23" t="n"/>
      <x:c r="N224" s="23" t="n"/>
      <x:c r="O224" s="23" t="n"/>
      <x:c r="P224" s="23" t="n"/>
    </x:row>
    <x:row r="225">
      <x:c r="A225" s="23" t="n"/>
      <x:c r="B225" s="23" t="n"/>
      <x:c r="C225" s="6" t="n"/>
      <x:c r="D225" s="23" t="n"/>
      <x:c r="E225" s="23" t="n"/>
      <x:c r="F225" s="23" t="n"/>
      <x:c r="G225" s="23" t="n"/>
      <x:c r="H225" s="7" t="n"/>
      <x:c r="I225" s="23" t="n"/>
      <x:c r="J225" s="23" t="n"/>
      <x:c r="K225" s="8" t="n"/>
      <x:c r="L225" s="8" t="n"/>
      <x:c r="M225" s="23" t="n"/>
      <x:c r="N225" s="23" t="n"/>
      <x:c r="O225" s="23" t="n"/>
      <x:c r="P225" s="23" t="n"/>
    </x:row>
    <x:row r="226">
      <x:c r="A226" s="23" t="n"/>
      <x:c r="B226" s="23" t="n"/>
      <x:c r="C226" s="6" t="n"/>
      <x:c r="D226" s="23" t="n"/>
      <x:c r="E226" s="23" t="n"/>
      <x:c r="F226" s="23" t="n"/>
      <x:c r="G226" s="23" t="n"/>
      <x:c r="H226" s="7" t="n"/>
      <x:c r="I226" s="23" t="n"/>
      <x:c r="J226" s="23" t="n"/>
      <x:c r="K226" s="8" t="n"/>
      <x:c r="L226" s="8" t="n"/>
      <x:c r="M226" s="23" t="n"/>
      <x:c r="N226" s="23" t="n"/>
      <x:c r="O226" s="23" t="n"/>
      <x:c r="P226" s="23" t="n"/>
    </x:row>
    <x:row r="227">
      <x:c r="A227" s="23" t="n"/>
      <x:c r="B227" s="23" t="n"/>
      <x:c r="C227" s="6" t="n"/>
      <x:c r="D227" s="23" t="n"/>
      <x:c r="E227" s="23" t="n"/>
      <x:c r="F227" s="23" t="n"/>
      <x:c r="G227" s="23" t="n"/>
      <x:c r="H227" s="7" t="n"/>
      <x:c r="I227" s="23" t="n"/>
      <x:c r="J227" s="23" t="n"/>
      <x:c r="K227" s="8" t="n"/>
      <x:c r="L227" s="8" t="n"/>
      <x:c r="M227" s="23" t="n"/>
      <x:c r="N227" s="23" t="n"/>
      <x:c r="O227" s="23" t="n"/>
      <x:c r="P227" s="23" t="n"/>
    </x:row>
    <x:row r="228">
      <x:c r="A228" s="23" t="n"/>
      <x:c r="B228" s="23" t="n"/>
      <x:c r="C228" s="6" t="n"/>
      <x:c r="D228" s="23" t="n"/>
      <x:c r="E228" s="23" t="n"/>
      <x:c r="F228" s="23" t="n"/>
      <x:c r="G228" s="23" t="n"/>
      <x:c r="H228" s="7" t="n"/>
      <x:c r="I228" s="23" t="n"/>
      <x:c r="J228" s="23" t="n"/>
      <x:c r="K228" s="8" t="n"/>
      <x:c r="L228" s="8" t="n"/>
      <x:c r="M228" s="23" t="n"/>
      <x:c r="N228" s="23" t="n"/>
      <x:c r="O228" s="23" t="n"/>
      <x:c r="P228" s="23" t="n"/>
    </x:row>
    <x:row r="229">
      <x:c r="A229" s="23" t="n"/>
      <x:c r="B229" s="23" t="n"/>
      <x:c r="C229" s="6" t="n"/>
      <x:c r="D229" s="23" t="n"/>
      <x:c r="E229" s="23" t="n"/>
      <x:c r="F229" s="23" t="n"/>
      <x:c r="G229" s="23" t="n"/>
      <x:c r="H229" s="7" t="n"/>
      <x:c r="I229" s="23" t="n"/>
      <x:c r="J229" s="23" t="n"/>
      <x:c r="K229" s="8" t="n"/>
      <x:c r="L229" s="8" t="n"/>
      <x:c r="M229" s="23" t="n"/>
      <x:c r="N229" s="23" t="n"/>
      <x:c r="O229" s="23" t="n"/>
      <x:c r="P229" s="23" t="n"/>
    </x:row>
    <x:row r="230">
      <x:c r="A230" s="23" t="n"/>
      <x:c r="B230" s="23" t="n"/>
      <x:c r="C230" s="6" t="n"/>
      <x:c r="D230" s="23" t="n"/>
      <x:c r="E230" s="23" t="n"/>
      <x:c r="F230" s="23" t="n"/>
      <x:c r="G230" s="23" t="n"/>
      <x:c r="H230" s="7" t="n"/>
      <x:c r="I230" s="23" t="n"/>
      <x:c r="J230" s="23" t="n"/>
      <x:c r="K230" s="8" t="n"/>
      <x:c r="L230" s="8" t="n"/>
      <x:c r="M230" s="23" t="n"/>
      <x:c r="N230" s="23" t="n"/>
      <x:c r="O230" s="23" t="n"/>
      <x:c r="P230" s="23" t="n"/>
    </x:row>
    <x:row r="231">
      <x:c r="A231" s="23" t="n"/>
      <x:c r="B231" s="23" t="n"/>
      <x:c r="C231" s="6" t="n"/>
      <x:c r="D231" s="23" t="n"/>
      <x:c r="E231" s="23" t="n"/>
      <x:c r="F231" s="23" t="n"/>
      <x:c r="G231" s="23" t="n"/>
      <x:c r="H231" s="7" t="n"/>
      <x:c r="I231" s="23" t="n"/>
      <x:c r="J231" s="23" t="n"/>
      <x:c r="K231" s="8" t="n"/>
      <x:c r="L231" s="8" t="n"/>
      <x:c r="M231" s="23" t="n"/>
      <x:c r="N231" s="23" t="n"/>
      <x:c r="O231" s="23" t="n"/>
      <x:c r="P231" s="23" t="n"/>
    </x:row>
    <x:row r="232">
      <x:c r="A232" s="23" t="n"/>
      <x:c r="B232" s="23" t="n"/>
      <x:c r="C232" s="6" t="n"/>
      <x:c r="D232" s="23" t="n"/>
      <x:c r="E232" s="23" t="n"/>
      <x:c r="F232" s="23" t="n"/>
      <x:c r="G232" s="23" t="n"/>
      <x:c r="H232" s="7" t="n"/>
      <x:c r="I232" s="23" t="n"/>
      <x:c r="J232" s="23" t="n"/>
      <x:c r="K232" s="8" t="n"/>
      <x:c r="L232" s="8" t="n"/>
      <x:c r="M232" s="23" t="n"/>
      <x:c r="N232" s="23" t="n"/>
      <x:c r="O232" s="23" t="n"/>
      <x:c r="P232" s="23" t="n"/>
    </x:row>
    <x:row r="233">
      <x:c r="A233" s="23" t="n"/>
      <x:c r="B233" s="23" t="n"/>
      <x:c r="C233" s="6" t="n"/>
      <x:c r="D233" s="23" t="n"/>
      <x:c r="E233" s="23" t="n"/>
      <x:c r="F233" s="23" t="n"/>
      <x:c r="G233" s="23" t="n"/>
      <x:c r="H233" s="7" t="n"/>
      <x:c r="I233" s="23" t="n"/>
      <x:c r="J233" s="23" t="n"/>
      <x:c r="K233" s="8" t="n"/>
      <x:c r="L233" s="8" t="n"/>
      <x:c r="M233" s="23" t="n"/>
      <x:c r="N233" s="23" t="n"/>
      <x:c r="O233" s="23" t="n"/>
      <x:c r="P233" s="23" t="n"/>
    </x:row>
    <x:row r="234">
      <x:c r="A234" s="23" t="n"/>
      <x:c r="B234" s="23" t="n"/>
      <x:c r="C234" s="6" t="n"/>
      <x:c r="D234" s="23" t="n"/>
      <x:c r="E234" s="23" t="n"/>
      <x:c r="F234" s="23" t="n"/>
      <x:c r="G234" s="23" t="n"/>
      <x:c r="H234" s="7" t="n"/>
      <x:c r="I234" s="23" t="n"/>
      <x:c r="J234" s="23" t="n"/>
      <x:c r="K234" s="8" t="n"/>
      <x:c r="L234" s="8" t="n"/>
      <x:c r="M234" s="23" t="n"/>
      <x:c r="N234" s="23" t="n"/>
      <x:c r="O234" s="23" t="n"/>
      <x:c r="P234" s="23" t="n"/>
    </x:row>
    <x:row r="235">
      <x:c r="A235" s="23" t="n"/>
      <x:c r="B235" s="23" t="n"/>
      <x:c r="C235" s="6" t="n"/>
      <x:c r="D235" s="23" t="n"/>
      <x:c r="E235" s="23" t="n"/>
      <x:c r="F235" s="23" t="n"/>
      <x:c r="G235" s="23" t="n"/>
      <x:c r="H235" s="7" t="n"/>
      <x:c r="I235" s="23" t="n"/>
      <x:c r="J235" s="23" t="n"/>
      <x:c r="K235" s="8" t="n"/>
      <x:c r="L235" s="8" t="n"/>
      <x:c r="M235" s="23" t="n"/>
      <x:c r="N235" s="23" t="n"/>
      <x:c r="O235" s="23" t="n"/>
      <x:c r="P235" s="23" t="n"/>
    </x:row>
    <x:row r="236">
      <x:c r="A236" s="23" t="n"/>
      <x:c r="B236" s="23" t="n"/>
      <x:c r="C236" s="6" t="n"/>
      <x:c r="D236" s="23" t="n"/>
      <x:c r="E236" s="23" t="n"/>
      <x:c r="F236" s="23" t="n"/>
      <x:c r="G236" s="23" t="n"/>
      <x:c r="H236" s="7" t="n"/>
      <x:c r="I236" s="23" t="n"/>
      <x:c r="J236" s="23" t="n"/>
      <x:c r="K236" s="8" t="n"/>
      <x:c r="L236" s="8" t="n"/>
      <x:c r="M236" s="23" t="n"/>
      <x:c r="N236" s="23" t="n"/>
      <x:c r="O236" s="23" t="n"/>
      <x:c r="P236" s="23" t="n"/>
    </x:row>
    <x:row r="237">
      <x:c r="A237" s="23" t="n"/>
      <x:c r="B237" s="23" t="n"/>
      <x:c r="C237" s="6" t="n"/>
      <x:c r="D237" s="23" t="n"/>
      <x:c r="E237" s="23" t="n"/>
      <x:c r="F237" s="23" t="n"/>
      <x:c r="G237" s="23" t="n"/>
      <x:c r="H237" s="7" t="n"/>
      <x:c r="I237" s="23" t="n"/>
      <x:c r="J237" s="23" t="n"/>
      <x:c r="K237" s="8" t="n"/>
      <x:c r="L237" s="8" t="n"/>
      <x:c r="M237" s="23" t="n"/>
      <x:c r="N237" s="23" t="n"/>
      <x:c r="O237" s="23" t="n"/>
      <x:c r="P237" s="23" t="n"/>
    </x:row>
    <x:row r="238">
      <x:c r="A238" s="23" t="n"/>
      <x:c r="B238" s="23" t="n"/>
      <x:c r="C238" s="6" t="n"/>
      <x:c r="D238" s="23" t="n"/>
      <x:c r="E238" s="23" t="n"/>
      <x:c r="F238" s="23" t="n"/>
      <x:c r="G238" s="23" t="n"/>
      <x:c r="H238" s="7" t="n"/>
      <x:c r="I238" s="23" t="n"/>
      <x:c r="J238" s="23" t="n"/>
      <x:c r="K238" s="8" t="n"/>
      <x:c r="L238" s="8" t="n"/>
      <x:c r="M238" s="23" t="n"/>
      <x:c r="N238" s="23" t="n"/>
      <x:c r="O238" s="23" t="n"/>
      <x:c r="P238" s="23" t="n"/>
    </x:row>
    <x:row r="239">
      <x:c r="A239" s="23" t="n"/>
      <x:c r="B239" s="23" t="n"/>
      <x:c r="C239" s="6" t="n"/>
      <x:c r="D239" s="23" t="n"/>
      <x:c r="E239" s="23" t="n"/>
      <x:c r="F239" s="23" t="n"/>
      <x:c r="G239" s="23" t="n"/>
      <x:c r="H239" s="7" t="n"/>
      <x:c r="I239" s="23" t="n"/>
      <x:c r="J239" s="23" t="n"/>
      <x:c r="K239" s="8" t="n"/>
      <x:c r="L239" s="8" t="n"/>
      <x:c r="M239" s="23" t="n"/>
      <x:c r="N239" s="23" t="n"/>
      <x:c r="O239" s="23" t="n"/>
      <x:c r="P239" s="23" t="n"/>
    </x:row>
    <x:row r="240">
      <x:c r="A240" s="23" t="n"/>
      <x:c r="B240" s="23" t="n"/>
      <x:c r="C240" s="6" t="n"/>
      <x:c r="D240" s="23" t="n"/>
      <x:c r="E240" s="23" t="n"/>
      <x:c r="F240" s="23" t="n"/>
      <x:c r="G240" s="23" t="n"/>
      <x:c r="H240" s="7" t="n"/>
      <x:c r="I240" s="23" t="n"/>
      <x:c r="J240" s="23" t="n"/>
      <x:c r="K240" s="8" t="n"/>
      <x:c r="L240" s="8" t="n"/>
      <x:c r="M240" s="23" t="n"/>
      <x:c r="N240" s="23" t="n"/>
      <x:c r="O240" s="23" t="n"/>
      <x:c r="P240" s="23" t="n"/>
    </x:row>
    <x:row r="241">
      <x:c r="A241" s="23" t="n"/>
      <x:c r="B241" s="23" t="n"/>
      <x:c r="C241" s="6" t="n"/>
      <x:c r="D241" s="23" t="n"/>
      <x:c r="E241" s="23" t="n"/>
      <x:c r="F241" s="23" t="n"/>
      <x:c r="G241" s="23" t="n"/>
      <x:c r="H241" s="7" t="n"/>
      <x:c r="I241" s="23" t="n"/>
      <x:c r="J241" s="23" t="n"/>
      <x:c r="K241" s="8" t="n"/>
      <x:c r="L241" s="8" t="n"/>
      <x:c r="M241" s="23" t="n"/>
      <x:c r="N241" s="23" t="n"/>
      <x:c r="O241" s="23" t="n"/>
      <x:c r="P241" s="23" t="n"/>
    </x:row>
    <x:row r="242">
      <x:c r="A242" s="23" t="n"/>
      <x:c r="B242" s="23" t="n"/>
      <x:c r="C242" s="6" t="n"/>
      <x:c r="D242" s="23" t="n"/>
      <x:c r="E242" s="23" t="n"/>
      <x:c r="F242" s="23" t="n"/>
      <x:c r="G242" s="23" t="n"/>
      <x:c r="H242" s="7" t="n"/>
      <x:c r="I242" s="23" t="n"/>
      <x:c r="J242" s="23" t="n"/>
      <x:c r="K242" s="8" t="n"/>
      <x:c r="L242" s="8" t="n"/>
      <x:c r="M242" s="23" t="n"/>
      <x:c r="N242" s="23" t="n"/>
      <x:c r="O242" s="23" t="n"/>
      <x:c r="P242" s="23" t="n"/>
    </x:row>
    <x:row r="243">
      <x:c r="A243" s="23" t="n"/>
      <x:c r="B243" s="23" t="n"/>
      <x:c r="C243" s="6" t="n"/>
      <x:c r="D243" s="23" t="n"/>
      <x:c r="E243" s="23" t="n"/>
      <x:c r="F243" s="23" t="n"/>
      <x:c r="G243" s="23" t="n"/>
      <x:c r="H243" s="7" t="n"/>
      <x:c r="I243" s="23" t="n"/>
      <x:c r="J243" s="23" t="n"/>
      <x:c r="K243" s="8" t="n"/>
      <x:c r="L243" s="8" t="n"/>
      <x:c r="M243" s="23" t="n"/>
      <x:c r="N243" s="23" t="n"/>
      <x:c r="O243" s="23" t="n"/>
      <x:c r="P243" s="23" t="n"/>
    </x:row>
    <x:row r="244">
      <x:c r="A244" s="23" t="n"/>
      <x:c r="B244" s="23" t="n"/>
      <x:c r="C244" s="6" t="n"/>
      <x:c r="D244" s="23" t="n"/>
      <x:c r="E244" s="23" t="n"/>
      <x:c r="F244" s="23" t="n"/>
      <x:c r="G244" s="23" t="n"/>
      <x:c r="H244" s="7" t="n"/>
      <x:c r="I244" s="23" t="n"/>
      <x:c r="J244" s="23" t="n"/>
      <x:c r="K244" s="8" t="n"/>
      <x:c r="L244" s="8" t="n"/>
      <x:c r="M244" s="23" t="n"/>
      <x:c r="N244" s="23" t="n"/>
      <x:c r="O244" s="23" t="n"/>
      <x:c r="P244" s="23" t="n"/>
    </x:row>
    <x:row r="245">
      <x:c r="A245" s="23" t="n"/>
      <x:c r="B245" s="23" t="n"/>
      <x:c r="C245" s="6" t="n"/>
      <x:c r="D245" s="23" t="n"/>
      <x:c r="E245" s="23" t="n"/>
      <x:c r="F245" s="23" t="n"/>
      <x:c r="G245" s="23" t="n"/>
      <x:c r="H245" s="7" t="n"/>
      <x:c r="I245" s="23" t="n"/>
      <x:c r="J245" s="23" t="n"/>
      <x:c r="K245" s="8" t="n"/>
      <x:c r="L245" s="8" t="n"/>
      <x:c r="M245" s="23" t="n"/>
      <x:c r="N245" s="23" t="n"/>
      <x:c r="O245" s="23" t="n"/>
      <x:c r="P245" s="23" t="n"/>
    </x:row>
    <x:row r="246">
      <x:c r="A246" s="23" t="n"/>
      <x:c r="B246" s="23" t="n"/>
      <x:c r="C246" s="6" t="n"/>
      <x:c r="D246" s="23" t="n"/>
      <x:c r="E246" s="23" t="n"/>
      <x:c r="F246" s="23" t="n"/>
      <x:c r="G246" s="23" t="n"/>
      <x:c r="H246" s="7" t="n"/>
      <x:c r="I246" s="23" t="n"/>
      <x:c r="J246" s="23" t="n"/>
      <x:c r="K246" s="8" t="n"/>
      <x:c r="L246" s="8" t="n"/>
      <x:c r="M246" s="23" t="n"/>
      <x:c r="N246" s="23" t="n"/>
      <x:c r="O246" s="23" t="n"/>
      <x:c r="P246" s="23" t="n"/>
    </x:row>
    <x:row r="247">
      <x:c r="A247" s="23" t="n"/>
      <x:c r="B247" s="23" t="n"/>
      <x:c r="C247" s="6" t="n"/>
      <x:c r="D247" s="23" t="n"/>
      <x:c r="E247" s="23" t="n"/>
      <x:c r="F247" s="23" t="n"/>
      <x:c r="G247" s="23" t="n"/>
      <x:c r="H247" s="7" t="n"/>
      <x:c r="I247" s="23" t="n"/>
      <x:c r="J247" s="23" t="n"/>
      <x:c r="K247" s="8" t="n"/>
      <x:c r="L247" s="8" t="n"/>
      <x:c r="M247" s="23" t="n"/>
      <x:c r="N247" s="23" t="n"/>
      <x:c r="O247" s="23" t="n"/>
      <x:c r="P247" s="23" t="n"/>
    </x:row>
    <x:row r="248">
      <x:c r="A248" s="23" t="n"/>
      <x:c r="B248" s="23" t="n"/>
      <x:c r="C248" s="6" t="n"/>
      <x:c r="D248" s="23" t="n"/>
      <x:c r="E248" s="23" t="n"/>
      <x:c r="F248" s="23" t="n"/>
      <x:c r="G248" s="23" t="n"/>
      <x:c r="H248" s="7" t="n"/>
      <x:c r="I248" s="23" t="n"/>
      <x:c r="J248" s="23" t="n"/>
      <x:c r="K248" s="8" t="n"/>
      <x:c r="L248" s="8" t="n"/>
      <x:c r="M248" s="23" t="n"/>
      <x:c r="N248" s="23" t="n"/>
      <x:c r="O248" s="23" t="n"/>
      <x:c r="P248" s="23" t="n"/>
    </x:row>
    <x:row r="249">
      <x:c r="A249" s="23" t="n"/>
      <x:c r="B249" s="23" t="n"/>
      <x:c r="C249" s="6" t="n"/>
      <x:c r="D249" s="23" t="n"/>
      <x:c r="E249" s="23" t="n"/>
      <x:c r="F249" s="23" t="n"/>
      <x:c r="G249" s="23" t="n"/>
      <x:c r="H249" s="7" t="n"/>
      <x:c r="I249" s="23" t="n"/>
      <x:c r="J249" s="23" t="n"/>
      <x:c r="K249" s="8" t="n"/>
      <x:c r="L249" s="8" t="n"/>
      <x:c r="M249" s="23" t="n"/>
      <x:c r="N249" s="23" t="n"/>
      <x:c r="O249" s="23" t="n"/>
      <x:c r="P249" s="23" t="n"/>
    </x:row>
    <x:row r="250">
      <x:c r="A250" s="23" t="n"/>
      <x:c r="B250" s="23" t="n"/>
      <x:c r="C250" s="6" t="n"/>
      <x:c r="D250" s="23" t="n"/>
      <x:c r="E250" s="23" t="n"/>
      <x:c r="F250" s="23" t="n"/>
      <x:c r="G250" s="23" t="n"/>
      <x:c r="H250" s="7" t="n"/>
      <x:c r="I250" s="23" t="n"/>
      <x:c r="J250" s="23" t="n"/>
      <x:c r="K250" s="8" t="n"/>
      <x:c r="L250" s="8" t="n"/>
      <x:c r="M250" s="23" t="n"/>
      <x:c r="N250" s="23" t="n"/>
      <x:c r="O250" s="23" t="n"/>
      <x:c r="P250" s="23" t="n"/>
    </x:row>
    <x:row r="251">
      <x:c r="A251" s="23" t="n"/>
      <x:c r="B251" s="23" t="n"/>
      <x:c r="C251" s="6" t="n"/>
      <x:c r="D251" s="23" t="n"/>
      <x:c r="E251" s="23" t="n"/>
      <x:c r="F251" s="23" t="n"/>
      <x:c r="G251" s="23" t="n"/>
      <x:c r="H251" s="7" t="n"/>
      <x:c r="I251" s="23" t="n"/>
      <x:c r="J251" s="23" t="n"/>
      <x:c r="K251" s="8" t="n"/>
      <x:c r="L251" s="8" t="n"/>
      <x:c r="M251" s="23" t="n"/>
      <x:c r="N251" s="23" t="n"/>
      <x:c r="O251" s="23" t="n"/>
      <x:c r="P251" s="23" t="n"/>
    </x:row>
    <x:row r="252">
      <x:c r="A252" s="23" t="n"/>
      <x:c r="B252" s="23" t="n"/>
      <x:c r="C252" s="6" t="n"/>
      <x:c r="D252" s="23" t="n"/>
      <x:c r="E252" s="23" t="n"/>
      <x:c r="F252" s="23" t="n"/>
      <x:c r="G252" s="23" t="n"/>
      <x:c r="H252" s="7" t="n"/>
      <x:c r="I252" s="23" t="n"/>
      <x:c r="J252" s="23" t="n"/>
      <x:c r="K252" s="8" t="n"/>
      <x:c r="L252" s="8" t="n"/>
      <x:c r="M252" s="23" t="n"/>
      <x:c r="N252" s="23" t="n"/>
      <x:c r="O252" s="23" t="n"/>
      <x:c r="P252" s="23" t="n"/>
    </x:row>
    <x:row r="253">
      <x:c r="A253" s="23" t="n"/>
      <x:c r="B253" s="23" t="n"/>
      <x:c r="C253" s="6" t="n"/>
      <x:c r="D253" s="23" t="n"/>
      <x:c r="E253" s="23" t="n"/>
      <x:c r="F253" s="23" t="n"/>
      <x:c r="G253" s="23" t="n"/>
      <x:c r="H253" s="7" t="n"/>
      <x:c r="I253" s="23" t="n"/>
      <x:c r="J253" s="23" t="n"/>
      <x:c r="K253" s="8" t="n"/>
      <x:c r="L253" s="8" t="n"/>
      <x:c r="M253" s="23" t="n"/>
      <x:c r="N253" s="23" t="n"/>
      <x:c r="O253" s="23" t="n"/>
      <x:c r="P253" s="23" t="n"/>
    </x:row>
    <x:row r="254">
      <x:c r="A254" s="23" t="n"/>
      <x:c r="B254" s="23" t="n"/>
      <x:c r="C254" s="6" t="n"/>
      <x:c r="D254" s="23" t="n"/>
      <x:c r="E254" s="23" t="n"/>
      <x:c r="F254" s="23" t="n"/>
      <x:c r="G254" s="23" t="n"/>
      <x:c r="H254" s="7" t="n"/>
      <x:c r="I254" s="23" t="n"/>
      <x:c r="J254" s="23" t="n"/>
      <x:c r="K254" s="8" t="n"/>
      <x:c r="L254" s="8" t="n"/>
      <x:c r="M254" s="23" t="n"/>
      <x:c r="N254" s="23" t="n"/>
      <x:c r="O254" s="23" t="n"/>
      <x:c r="P254" s="23" t="n"/>
    </x:row>
    <x:row r="255">
      <x:c r="A255" s="23" t="n"/>
      <x:c r="B255" s="23" t="n"/>
      <x:c r="C255" s="6" t="n"/>
      <x:c r="D255" s="23" t="n"/>
      <x:c r="E255" s="23" t="n"/>
      <x:c r="F255" s="23" t="n"/>
      <x:c r="G255" s="23" t="n"/>
      <x:c r="H255" s="7" t="n"/>
      <x:c r="I255" s="23" t="n"/>
      <x:c r="J255" s="23" t="n"/>
      <x:c r="K255" s="8" t="n"/>
      <x:c r="L255" s="8" t="n"/>
      <x:c r="M255" s="23" t="n"/>
      <x:c r="N255" s="23" t="n"/>
      <x:c r="O255" s="23" t="n"/>
      <x:c r="P255" s="23" t="n"/>
    </x:row>
    <x:row r="256">
      <x:c r="A256" s="23" t="n"/>
      <x:c r="B256" s="23" t="n"/>
      <x:c r="C256" s="6" t="n"/>
      <x:c r="D256" s="23" t="n"/>
      <x:c r="E256" s="23" t="n"/>
      <x:c r="F256" s="23" t="n"/>
      <x:c r="G256" s="23" t="n"/>
      <x:c r="H256" s="7" t="n"/>
      <x:c r="I256" s="23" t="n"/>
      <x:c r="J256" s="23" t="n"/>
      <x:c r="K256" s="8" t="n"/>
      <x:c r="L256" s="8" t="n"/>
      <x:c r="M256" s="23" t="n"/>
      <x:c r="N256" s="23" t="n"/>
      <x:c r="O256" s="23" t="n"/>
      <x:c r="P256" s="23" t="n"/>
    </x:row>
    <x:row r="257">
      <x:c r="A257" s="23" t="n"/>
      <x:c r="B257" s="23" t="n"/>
      <x:c r="C257" s="6" t="n"/>
      <x:c r="D257" s="23" t="n"/>
      <x:c r="E257" s="23" t="n"/>
      <x:c r="F257" s="23" t="n"/>
      <x:c r="G257" s="23" t="n"/>
      <x:c r="H257" s="7" t="n"/>
      <x:c r="I257" s="23" t="n"/>
      <x:c r="J257" s="23" t="n"/>
      <x:c r="K257" s="8" t="n"/>
      <x:c r="L257" s="8" t="n"/>
      <x:c r="M257" s="23" t="n"/>
      <x:c r="N257" s="23" t="n"/>
      <x:c r="O257" s="23" t="n"/>
      <x:c r="P257" s="23" t="n"/>
    </x:row>
    <x:row r="258">
      <x:c r="A258" s="23" t="n"/>
      <x:c r="B258" s="23" t="n"/>
      <x:c r="C258" s="6" t="n"/>
      <x:c r="D258" s="23" t="n"/>
      <x:c r="E258" s="23" t="n"/>
      <x:c r="F258" s="23" t="n"/>
      <x:c r="G258" s="23" t="n"/>
      <x:c r="H258" s="7" t="n"/>
      <x:c r="I258" s="23" t="n"/>
      <x:c r="J258" s="23" t="n"/>
      <x:c r="K258" s="8" t="n"/>
      <x:c r="L258" s="8" t="n"/>
      <x:c r="M258" s="23" t="n"/>
      <x:c r="N258" s="23" t="n"/>
      <x:c r="O258" s="23" t="n"/>
      <x:c r="P258" s="23" t="n"/>
    </x:row>
    <x:row r="259">
      <x:c r="A259" s="23" t="n"/>
      <x:c r="B259" s="23" t="n"/>
      <x:c r="C259" s="6" t="n"/>
      <x:c r="D259" s="23" t="n"/>
      <x:c r="E259" s="23" t="n"/>
      <x:c r="F259" s="23" t="n"/>
      <x:c r="G259" s="23" t="n"/>
      <x:c r="H259" s="7" t="n"/>
      <x:c r="I259" s="23" t="n"/>
      <x:c r="J259" s="23" t="n"/>
      <x:c r="K259" s="8" t="n"/>
      <x:c r="L259" s="8" t="n"/>
      <x:c r="M259" s="23" t="n"/>
      <x:c r="N259" s="23" t="n"/>
      <x:c r="O259" s="23" t="n"/>
      <x:c r="P259" s="23" t="n"/>
    </x:row>
    <x:row r="260">
      <x:c r="A260" s="23" t="n"/>
      <x:c r="B260" s="23" t="n"/>
      <x:c r="C260" s="6" t="n"/>
      <x:c r="D260" s="23" t="n"/>
      <x:c r="E260" s="23" t="n"/>
      <x:c r="F260" s="23" t="n"/>
      <x:c r="G260" s="23" t="n"/>
      <x:c r="H260" s="7" t="n"/>
      <x:c r="I260" s="23" t="n"/>
      <x:c r="J260" s="23" t="n"/>
      <x:c r="K260" s="8" t="n"/>
      <x:c r="L260" s="8" t="n"/>
      <x:c r="M260" s="23" t="n"/>
      <x:c r="N260" s="23" t="n"/>
      <x:c r="O260" s="23" t="n"/>
      <x:c r="P260" s="23" t="n"/>
    </x:row>
    <x:row r="261">
      <x:c r="A261" s="23" t="n"/>
      <x:c r="B261" s="23" t="n"/>
      <x:c r="C261" s="6" t="n"/>
      <x:c r="D261" s="23" t="n"/>
      <x:c r="E261" s="23" t="n"/>
      <x:c r="F261" s="23" t="n"/>
      <x:c r="G261" s="23" t="n"/>
      <x:c r="H261" s="7" t="n"/>
      <x:c r="I261" s="23" t="n"/>
      <x:c r="J261" s="23" t="n"/>
      <x:c r="K261" s="8" t="n"/>
      <x:c r="L261" s="8" t="n"/>
      <x:c r="M261" s="23" t="n"/>
      <x:c r="N261" s="23" t="n"/>
      <x:c r="O261" s="23" t="n"/>
      <x:c r="P261" s="23" t="n"/>
    </x:row>
    <x:row r="262">
      <x:c r="A262" s="23" t="n"/>
      <x:c r="B262" s="23" t="n"/>
      <x:c r="C262" s="6" t="n"/>
      <x:c r="D262" s="23" t="n"/>
      <x:c r="E262" s="23" t="n"/>
      <x:c r="F262" s="23" t="n"/>
      <x:c r="G262" s="23" t="n"/>
      <x:c r="H262" s="7" t="n"/>
      <x:c r="I262" s="23" t="n"/>
      <x:c r="J262" s="23" t="n"/>
      <x:c r="K262" s="8" t="n"/>
      <x:c r="L262" s="8" t="n"/>
      <x:c r="M262" s="23" t="n"/>
      <x:c r="N262" s="23" t="n"/>
      <x:c r="O262" s="23" t="n"/>
      <x:c r="P262" s="23" t="n"/>
    </x:row>
    <x:row r="263">
      <x:c r="A263" s="23" t="n"/>
      <x:c r="B263" s="23" t="n"/>
      <x:c r="C263" s="6" t="n"/>
      <x:c r="D263" s="23" t="n"/>
      <x:c r="E263" s="23" t="n"/>
      <x:c r="F263" s="23" t="n"/>
      <x:c r="G263" s="23" t="n"/>
      <x:c r="H263" s="7" t="n"/>
      <x:c r="I263" s="23" t="n"/>
      <x:c r="J263" s="23" t="n"/>
      <x:c r="K263" s="8" t="n"/>
      <x:c r="L263" s="8" t="n"/>
      <x:c r="M263" s="23" t="n"/>
      <x:c r="N263" s="23" t="n"/>
      <x:c r="O263" s="23" t="n"/>
      <x:c r="P263" s="23" t="n"/>
    </x:row>
    <x:row r="264">
      <x:c r="A264" s="23" t="n"/>
      <x:c r="B264" s="23" t="n"/>
      <x:c r="C264" s="6" t="n"/>
      <x:c r="D264" s="23" t="n"/>
      <x:c r="E264" s="23" t="n"/>
      <x:c r="F264" s="23" t="n"/>
      <x:c r="G264" s="23" t="n"/>
      <x:c r="H264" s="7" t="n"/>
      <x:c r="I264" s="23" t="n"/>
      <x:c r="J264" s="23" t="n"/>
      <x:c r="K264" s="8" t="n"/>
      <x:c r="L264" s="8" t="n"/>
      <x:c r="M264" s="23" t="n"/>
      <x:c r="N264" s="23" t="n"/>
      <x:c r="O264" s="23" t="n"/>
      <x:c r="P264" s="23" t="n"/>
    </x:row>
    <x:row r="265">
      <x:c r="A265" s="23" t="n"/>
      <x:c r="B265" s="23" t="n"/>
      <x:c r="C265" s="6" t="n"/>
      <x:c r="D265" s="23" t="n"/>
      <x:c r="E265" s="23" t="n"/>
      <x:c r="F265" s="23" t="n"/>
      <x:c r="G265" s="23" t="n"/>
      <x:c r="H265" s="7" t="n"/>
      <x:c r="I265" s="23" t="n"/>
      <x:c r="J265" s="23" t="n"/>
      <x:c r="K265" s="8" t="n"/>
      <x:c r="L265" s="8" t="n"/>
      <x:c r="M265" s="23" t="n"/>
      <x:c r="N265" s="23" t="n"/>
      <x:c r="O265" s="23" t="n"/>
      <x:c r="P265" s="23" t="n"/>
    </x:row>
    <x:row r="266">
      <x:c r="A266" s="23" t="n"/>
      <x:c r="B266" s="23" t="n"/>
      <x:c r="C266" s="6" t="n"/>
      <x:c r="D266" s="23" t="n"/>
      <x:c r="E266" s="23" t="n"/>
      <x:c r="F266" s="23" t="n"/>
      <x:c r="G266" s="23" t="n"/>
      <x:c r="H266" s="7" t="n"/>
      <x:c r="I266" s="23" t="n"/>
      <x:c r="J266" s="23" t="n"/>
      <x:c r="K266" s="8" t="n"/>
      <x:c r="L266" s="8" t="n"/>
      <x:c r="M266" s="23" t="n"/>
      <x:c r="N266" s="23" t="n"/>
      <x:c r="O266" s="23" t="n"/>
      <x:c r="P266" s="23" t="n"/>
    </x:row>
    <x:row r="267">
      <x:c r="A267" s="23" t="n"/>
      <x:c r="B267" s="23" t="n"/>
      <x:c r="C267" s="6" t="n"/>
      <x:c r="D267" s="23" t="n"/>
      <x:c r="E267" s="23" t="n"/>
      <x:c r="F267" s="23" t="n"/>
      <x:c r="G267" s="23" t="n"/>
      <x:c r="H267" s="7" t="n"/>
      <x:c r="I267" s="23" t="n"/>
      <x:c r="J267" s="23" t="n"/>
      <x:c r="K267" s="8" t="n"/>
      <x:c r="L267" s="8" t="n"/>
      <x:c r="M267" s="23" t="n"/>
      <x:c r="N267" s="23" t="n"/>
      <x:c r="O267" s="23" t="n"/>
      <x:c r="P267" s="23" t="n"/>
    </x:row>
    <x:row r="268">
      <x:c r="A268" s="23" t="n"/>
      <x:c r="B268" s="23" t="n"/>
      <x:c r="C268" s="6" t="n"/>
      <x:c r="D268" s="23" t="n"/>
      <x:c r="E268" s="23" t="n"/>
      <x:c r="F268" s="23" t="n"/>
      <x:c r="G268" s="23" t="n"/>
      <x:c r="H268" s="7" t="n"/>
      <x:c r="I268" s="23" t="n"/>
      <x:c r="J268" s="23" t="n"/>
      <x:c r="K268" s="8" t="n"/>
      <x:c r="L268" s="8" t="n"/>
      <x:c r="M268" s="23" t="n"/>
      <x:c r="N268" s="23" t="n"/>
      <x:c r="O268" s="23" t="n"/>
      <x:c r="P268" s="23" t="n"/>
    </x:row>
    <x:row r="269">
      <x:c r="A269" s="23" t="n"/>
      <x:c r="B269" s="23" t="n"/>
      <x:c r="C269" s="6" t="n"/>
      <x:c r="D269" s="23" t="n"/>
      <x:c r="E269" s="23" t="n"/>
      <x:c r="F269" s="23" t="n"/>
      <x:c r="G269" s="23" t="n"/>
      <x:c r="H269" s="7" t="n"/>
      <x:c r="I269" s="23" t="n"/>
      <x:c r="J269" s="23" t="n"/>
      <x:c r="K269" s="8" t="n"/>
      <x:c r="L269" s="8" t="n"/>
      <x:c r="M269" s="23" t="n"/>
      <x:c r="N269" s="23" t="n"/>
      <x:c r="O269" s="23" t="n"/>
      <x:c r="P269" s="23" t="n"/>
    </x:row>
    <x:row r="270">
      <x:c r="A270" s="23" t="n"/>
      <x:c r="B270" s="23" t="n"/>
      <x:c r="C270" s="6" t="n"/>
      <x:c r="D270" s="23" t="n"/>
      <x:c r="E270" s="23" t="n"/>
      <x:c r="F270" s="23" t="n"/>
      <x:c r="G270" s="23" t="n"/>
      <x:c r="H270" s="7" t="n"/>
      <x:c r="I270" s="23" t="n"/>
      <x:c r="J270" s="23" t="n"/>
      <x:c r="K270" s="8" t="n"/>
      <x:c r="L270" s="8" t="n"/>
      <x:c r="M270" s="23" t="n"/>
      <x:c r="N270" s="23" t="n"/>
      <x:c r="O270" s="23" t="n"/>
      <x:c r="P270" s="23" t="n"/>
    </x:row>
    <x:row r="271">
      <x:c r="A271" s="23" t="n"/>
      <x:c r="B271" s="23" t="n"/>
      <x:c r="C271" s="6" t="n"/>
      <x:c r="D271" s="23" t="n"/>
      <x:c r="E271" s="23" t="n"/>
      <x:c r="F271" s="23" t="n"/>
      <x:c r="G271" s="23" t="n"/>
      <x:c r="H271" s="7" t="n"/>
      <x:c r="I271" s="23" t="n"/>
      <x:c r="J271" s="23" t="n"/>
      <x:c r="K271" s="8" t="n"/>
      <x:c r="L271" s="8" t="n"/>
      <x:c r="M271" s="23" t="n"/>
      <x:c r="N271" s="23" t="n"/>
      <x:c r="O271" s="23" t="n"/>
      <x:c r="P271" s="23" t="n"/>
    </x:row>
    <x:row r="272">
      <x:c r="A272" s="23" t="n"/>
      <x:c r="B272" s="23" t="n"/>
      <x:c r="C272" s="6" t="n"/>
      <x:c r="D272" s="23" t="n"/>
      <x:c r="E272" s="23" t="n"/>
      <x:c r="F272" s="23" t="n"/>
      <x:c r="G272" s="23" t="n"/>
      <x:c r="H272" s="7" t="n"/>
      <x:c r="I272" s="23" t="n"/>
      <x:c r="J272" s="23" t="n"/>
      <x:c r="K272" s="8" t="n"/>
      <x:c r="L272" s="8" t="n"/>
      <x:c r="M272" s="23" t="n"/>
      <x:c r="N272" s="23" t="n"/>
      <x:c r="O272" s="23" t="n"/>
      <x:c r="P272" s="23" t="n"/>
    </x:row>
    <x:row r="273">
      <x:c r="A273" s="23" t="n"/>
      <x:c r="B273" s="23" t="n"/>
      <x:c r="C273" s="6" t="n"/>
      <x:c r="D273" s="23" t="n"/>
      <x:c r="E273" s="23" t="n"/>
      <x:c r="F273" s="23" t="n"/>
      <x:c r="G273" s="23" t="n"/>
      <x:c r="H273" s="7" t="n"/>
      <x:c r="I273" s="23" t="n"/>
      <x:c r="J273" s="23" t="n"/>
      <x:c r="K273" s="8" t="n"/>
      <x:c r="L273" s="8" t="n"/>
      <x:c r="M273" s="23" t="n"/>
      <x:c r="N273" s="23" t="n"/>
      <x:c r="O273" s="23" t="n"/>
      <x:c r="P273" s="23" t="n"/>
    </x:row>
    <x:row r="274">
      <x:c r="A274" s="23" t="n"/>
      <x:c r="B274" s="23" t="n"/>
      <x:c r="C274" s="6" t="n"/>
      <x:c r="D274" s="23" t="n"/>
      <x:c r="E274" s="23" t="n"/>
      <x:c r="F274" s="23" t="n"/>
      <x:c r="G274" s="23" t="n"/>
      <x:c r="H274" s="7" t="n"/>
      <x:c r="I274" s="23" t="n"/>
      <x:c r="J274" s="23" t="n"/>
      <x:c r="K274" s="8" t="n"/>
      <x:c r="L274" s="8" t="n"/>
      <x:c r="M274" s="23" t="n"/>
      <x:c r="N274" s="23" t="n"/>
      <x:c r="O274" s="23" t="n"/>
      <x:c r="P274" s="23" t="n"/>
    </x:row>
    <x:row r="275">
      <x:c r="A275" s="23" t="n"/>
      <x:c r="B275" s="23" t="n"/>
      <x:c r="C275" s="6" t="n"/>
      <x:c r="D275" s="23" t="n"/>
      <x:c r="E275" s="23" t="n"/>
      <x:c r="F275" s="23" t="n"/>
      <x:c r="G275" s="23" t="n"/>
      <x:c r="H275" s="7" t="n"/>
      <x:c r="I275" s="23" t="n"/>
      <x:c r="J275" s="23" t="n"/>
      <x:c r="K275" s="8" t="n"/>
      <x:c r="L275" s="8" t="n"/>
      <x:c r="M275" s="23" t="n"/>
      <x:c r="N275" s="23" t="n"/>
      <x:c r="O275" s="23" t="n"/>
      <x:c r="P275" s="23" t="n"/>
    </x:row>
    <x:row r="276">
      <x:c r="A276" s="23" t="n"/>
      <x:c r="B276" s="23" t="n"/>
      <x:c r="C276" s="6" t="n"/>
      <x:c r="D276" s="23" t="n"/>
      <x:c r="E276" s="23" t="n"/>
      <x:c r="F276" s="23" t="n"/>
      <x:c r="G276" s="23" t="n"/>
      <x:c r="H276" s="7" t="n"/>
      <x:c r="I276" s="23" t="n"/>
      <x:c r="J276" s="23" t="n"/>
      <x:c r="K276" s="8" t="n"/>
      <x:c r="L276" s="8" t="n"/>
      <x:c r="M276" s="23" t="n"/>
      <x:c r="N276" s="23" t="n"/>
      <x:c r="O276" s="23" t="n"/>
      <x:c r="P276" s="23" t="n"/>
    </x:row>
    <x:row r="277">
      <x:c r="A277" s="23" t="n"/>
      <x:c r="B277" s="23" t="n"/>
      <x:c r="C277" s="6" t="n"/>
      <x:c r="D277" s="23" t="n"/>
      <x:c r="E277" s="23" t="n"/>
      <x:c r="F277" s="23" t="n"/>
      <x:c r="G277" s="23" t="n"/>
      <x:c r="H277" s="7" t="n"/>
      <x:c r="I277" s="23" t="n"/>
      <x:c r="J277" s="23" t="n"/>
      <x:c r="K277" s="8" t="n"/>
      <x:c r="L277" s="8" t="n"/>
      <x:c r="M277" s="23" t="n"/>
      <x:c r="N277" s="23" t="n"/>
      <x:c r="O277" s="23" t="n"/>
      <x:c r="P277" s="23" t="n"/>
    </x:row>
    <x:row r="278">
      <x:c r="A278" s="23" t="n"/>
      <x:c r="B278" s="23" t="n"/>
      <x:c r="C278" s="6" t="n"/>
      <x:c r="D278" s="23" t="n"/>
      <x:c r="E278" s="23" t="n"/>
      <x:c r="F278" s="23" t="n"/>
      <x:c r="G278" s="23" t="n"/>
      <x:c r="H278" s="7" t="n"/>
      <x:c r="I278" s="23" t="n"/>
      <x:c r="J278" s="23" t="n"/>
      <x:c r="K278" s="8" t="n"/>
      <x:c r="L278" s="8" t="n"/>
      <x:c r="M278" s="23" t="n"/>
      <x:c r="N278" s="23" t="n"/>
      <x:c r="O278" s="23" t="n"/>
      <x:c r="P278" s="23" t="n"/>
    </x:row>
    <x:row r="279">
      <x:c r="A279" s="23" t="n"/>
      <x:c r="B279" s="23" t="n"/>
      <x:c r="C279" s="6" t="n"/>
      <x:c r="D279" s="23" t="n"/>
      <x:c r="E279" s="23" t="n"/>
      <x:c r="F279" s="23" t="n"/>
      <x:c r="G279" s="23" t="n"/>
      <x:c r="H279" s="7" t="n"/>
      <x:c r="I279" s="23" t="n"/>
      <x:c r="J279" s="23" t="n"/>
      <x:c r="K279" s="8" t="n"/>
      <x:c r="L279" s="8" t="n"/>
      <x:c r="M279" s="23" t="n"/>
      <x:c r="N279" s="23" t="n"/>
      <x:c r="O279" s="23" t="n"/>
      <x:c r="P279" s="23" t="n"/>
    </x:row>
    <x:row r="280">
      <x:c r="A280" s="23" t="n"/>
      <x:c r="B280" s="23" t="n"/>
      <x:c r="C280" s="6" t="n"/>
      <x:c r="D280" s="23" t="n"/>
      <x:c r="E280" s="23" t="n"/>
      <x:c r="F280" s="23" t="n"/>
      <x:c r="G280" s="23" t="n"/>
      <x:c r="H280" s="7" t="n"/>
      <x:c r="I280" s="23" t="n"/>
      <x:c r="J280" s="23" t="n"/>
      <x:c r="K280" s="8" t="n"/>
      <x:c r="L280" s="8" t="n"/>
      <x:c r="M280" s="23" t="n"/>
      <x:c r="N280" s="23" t="n"/>
      <x:c r="O280" s="23" t="n"/>
      <x:c r="P280" s="23" t="n"/>
    </x:row>
    <x:row r="281">
      <x:c r="A281" s="23" t="n"/>
      <x:c r="B281" s="23" t="n"/>
      <x:c r="C281" s="6" t="n"/>
      <x:c r="D281" s="23" t="n"/>
      <x:c r="E281" s="23" t="n"/>
      <x:c r="F281" s="23" t="n"/>
      <x:c r="G281" s="23" t="n"/>
      <x:c r="H281" s="7" t="n"/>
      <x:c r="I281" s="23" t="n"/>
      <x:c r="J281" s="23" t="n"/>
      <x:c r="K281" s="8" t="n"/>
      <x:c r="L281" s="8" t="n"/>
      <x:c r="M281" s="23" t="n"/>
      <x:c r="N281" s="23" t="n"/>
      <x:c r="O281" s="23" t="n"/>
      <x:c r="P281" s="23" t="n"/>
    </x:row>
    <x:row r="282">
      <x:c r="A282" s="23" t="n"/>
      <x:c r="B282" s="23" t="n"/>
      <x:c r="C282" s="6" t="n"/>
      <x:c r="D282" s="23" t="n"/>
      <x:c r="E282" s="23" t="n"/>
      <x:c r="F282" s="23" t="n"/>
      <x:c r="G282" s="23" t="n"/>
      <x:c r="H282" s="7" t="n"/>
      <x:c r="I282" s="23" t="n"/>
      <x:c r="J282" s="23" t="n"/>
      <x:c r="K282" s="8" t="n"/>
      <x:c r="L282" s="8" t="n"/>
      <x:c r="M282" s="23" t="n"/>
      <x:c r="N282" s="23" t="n"/>
      <x:c r="O282" s="23" t="n"/>
      <x:c r="P282" s="23" t="n"/>
    </x:row>
    <x:row r="283">
      <x:c r="A283" s="23" t="n"/>
      <x:c r="B283" s="23" t="n"/>
      <x:c r="C283" s="6" t="n"/>
      <x:c r="D283" s="23" t="n"/>
      <x:c r="E283" s="23" t="n"/>
      <x:c r="F283" s="23" t="n"/>
      <x:c r="G283" s="23" t="n"/>
      <x:c r="H283" s="7" t="n"/>
      <x:c r="I283" s="23" t="n"/>
      <x:c r="J283" s="23" t="n"/>
      <x:c r="K283" s="8" t="n"/>
      <x:c r="L283" s="8" t="n"/>
      <x:c r="M283" s="23" t="n"/>
      <x:c r="N283" s="23" t="n"/>
      <x:c r="O283" s="23" t="n"/>
      <x:c r="P283" s="23" t="n"/>
    </x:row>
    <x:row r="284">
      <x:c r="A284" s="23" t="n"/>
      <x:c r="B284" s="23" t="n"/>
      <x:c r="C284" s="6" t="n"/>
      <x:c r="D284" s="23" t="n"/>
      <x:c r="E284" s="23" t="n"/>
      <x:c r="F284" s="23" t="n"/>
      <x:c r="G284" s="23" t="n"/>
      <x:c r="H284" s="7" t="n"/>
      <x:c r="I284" s="23" t="n"/>
      <x:c r="J284" s="23" t="n"/>
      <x:c r="K284" s="8" t="n"/>
      <x:c r="L284" s="8" t="n"/>
      <x:c r="M284" s="23" t="n"/>
      <x:c r="N284" s="23" t="n"/>
      <x:c r="O284" s="23" t="n"/>
      <x:c r="P284" s="23" t="n"/>
    </x:row>
    <x:row r="285">
      <x:c r="A285" s="23" t="n"/>
      <x:c r="B285" s="23" t="n"/>
      <x:c r="C285" s="6" t="n"/>
      <x:c r="D285" s="23" t="n"/>
      <x:c r="E285" s="23" t="n"/>
      <x:c r="F285" s="23" t="n"/>
      <x:c r="G285" s="23" t="n"/>
      <x:c r="H285" s="7" t="n"/>
      <x:c r="I285" s="23" t="n"/>
      <x:c r="J285" s="23" t="n"/>
      <x:c r="K285" s="8" t="n"/>
      <x:c r="L285" s="8" t="n"/>
      <x:c r="M285" s="23" t="n"/>
      <x:c r="N285" s="23" t="n"/>
      <x:c r="O285" s="23" t="n"/>
      <x:c r="P285" s="23" t="n"/>
    </x:row>
    <x:row r="286">
      <x:c r="A286" s="23" t="n"/>
      <x:c r="B286" s="23" t="n"/>
      <x:c r="C286" s="6" t="n"/>
      <x:c r="D286" s="23" t="n"/>
      <x:c r="E286" s="23" t="n"/>
      <x:c r="F286" s="23" t="n"/>
      <x:c r="G286" s="23" t="n"/>
      <x:c r="H286" s="7" t="n"/>
      <x:c r="I286" s="23" t="n"/>
      <x:c r="J286" s="23" t="n"/>
      <x:c r="K286" s="8" t="n"/>
      <x:c r="L286" s="8" t="n"/>
      <x:c r="M286" s="23" t="n"/>
      <x:c r="N286" s="23" t="n"/>
      <x:c r="O286" s="23" t="n"/>
      <x:c r="P286" s="23" t="n"/>
    </x:row>
    <x:row r="287">
      <x:c r="A287" s="23" t="n"/>
      <x:c r="B287" s="23" t="n"/>
      <x:c r="C287" s="6" t="n"/>
      <x:c r="D287" s="23" t="n"/>
      <x:c r="E287" s="23" t="n"/>
      <x:c r="F287" s="23" t="n"/>
      <x:c r="G287" s="23" t="n"/>
      <x:c r="H287" s="7" t="n"/>
      <x:c r="I287" s="23" t="n"/>
      <x:c r="J287" s="23" t="n"/>
      <x:c r="K287" s="8" t="n"/>
      <x:c r="L287" s="8" t="n"/>
      <x:c r="M287" s="23" t="n"/>
      <x:c r="N287" s="23" t="n"/>
      <x:c r="O287" s="23" t="n"/>
      <x:c r="P287" s="23" t="n"/>
    </x:row>
    <x:row r="288">
      <x:c r="A288" s="23" t="n"/>
      <x:c r="B288" s="23" t="n"/>
      <x:c r="C288" s="6" t="n"/>
      <x:c r="D288" s="23" t="n"/>
      <x:c r="E288" s="23" t="n"/>
      <x:c r="F288" s="23" t="n"/>
      <x:c r="G288" s="23" t="n"/>
      <x:c r="H288" s="7" t="n"/>
      <x:c r="I288" s="23" t="n"/>
      <x:c r="J288" s="23" t="n"/>
      <x:c r="K288" s="8" t="n"/>
      <x:c r="L288" s="8" t="n"/>
      <x:c r="M288" s="23" t="n"/>
      <x:c r="N288" s="23" t="n"/>
      <x:c r="O288" s="23" t="n"/>
      <x:c r="P288" s="23" t="n"/>
    </x:row>
    <x:row r="289">
      <x:c r="A289" s="23" t="n"/>
      <x:c r="B289" s="23" t="n"/>
      <x:c r="C289" s="6" t="n"/>
      <x:c r="D289" s="23" t="n"/>
      <x:c r="E289" s="23" t="n"/>
      <x:c r="F289" s="23" t="n"/>
      <x:c r="G289" s="23" t="n"/>
      <x:c r="H289" s="7" t="n"/>
      <x:c r="I289" s="23" t="n"/>
      <x:c r="J289" s="23" t="n"/>
      <x:c r="K289" s="8" t="n"/>
      <x:c r="L289" s="8" t="n"/>
      <x:c r="M289" s="23" t="n"/>
      <x:c r="N289" s="23" t="n"/>
      <x:c r="O289" s="23" t="n"/>
      <x:c r="P289" s="23" t="n"/>
    </x:row>
    <x:row r="290">
      <x:c r="A290" s="23" t="n"/>
      <x:c r="B290" s="23" t="n"/>
      <x:c r="C290" s="6" t="n"/>
      <x:c r="D290" s="23" t="n"/>
      <x:c r="E290" s="23" t="n"/>
      <x:c r="F290" s="23" t="n"/>
      <x:c r="G290" s="23" t="n"/>
      <x:c r="H290" s="7" t="n"/>
      <x:c r="I290" s="23" t="n"/>
      <x:c r="J290" s="23" t="n"/>
      <x:c r="K290" s="8" t="n"/>
      <x:c r="L290" s="8" t="n"/>
      <x:c r="M290" s="23" t="n"/>
      <x:c r="N290" s="23" t="n"/>
      <x:c r="O290" s="23" t="n"/>
      <x:c r="P290" s="23" t="n"/>
    </x:row>
    <x:row r="291">
      <x:c r="A291" s="23" t="n"/>
      <x:c r="B291" s="23" t="n"/>
      <x:c r="C291" s="6" t="n"/>
      <x:c r="D291" s="23" t="n"/>
      <x:c r="E291" s="23" t="n"/>
      <x:c r="F291" s="23" t="n"/>
      <x:c r="G291" s="23" t="n"/>
      <x:c r="H291" s="7" t="n"/>
      <x:c r="I291" s="23" t="n"/>
      <x:c r="J291" s="23" t="n"/>
      <x:c r="K291" s="8" t="n"/>
      <x:c r="L291" s="8" t="n"/>
      <x:c r="M291" s="23" t="n"/>
      <x:c r="N291" s="23" t="n"/>
      <x:c r="O291" s="23" t="n"/>
      <x:c r="P291" s="23" t="n"/>
    </x:row>
    <x:row r="292">
      <x:c r="A292" s="23" t="n"/>
      <x:c r="B292" s="23" t="n"/>
      <x:c r="C292" s="6" t="n"/>
      <x:c r="D292" s="23" t="n"/>
      <x:c r="E292" s="23" t="n"/>
      <x:c r="F292" s="23" t="n"/>
      <x:c r="G292" s="23" t="n"/>
      <x:c r="H292" s="7" t="n"/>
      <x:c r="I292" s="23" t="n"/>
      <x:c r="J292" s="23" t="n"/>
      <x:c r="K292" s="8" t="n"/>
      <x:c r="L292" s="8" t="n"/>
      <x:c r="M292" s="23" t="n"/>
      <x:c r="N292" s="23" t="n"/>
      <x:c r="O292" s="23" t="n"/>
      <x:c r="P292" s="23" t="n"/>
    </x:row>
    <x:row r="293">
      <x:c r="A293" s="23" t="n"/>
      <x:c r="B293" s="23" t="n"/>
      <x:c r="C293" s="6" t="n"/>
      <x:c r="D293" s="23" t="n"/>
      <x:c r="E293" s="23" t="n"/>
      <x:c r="F293" s="23" t="n"/>
      <x:c r="G293" s="23" t="n"/>
      <x:c r="H293" s="7" t="n"/>
      <x:c r="I293" s="23" t="n"/>
      <x:c r="J293" s="23" t="n"/>
      <x:c r="K293" s="8" t="n"/>
      <x:c r="L293" s="8" t="n"/>
      <x:c r="M293" s="23" t="n"/>
      <x:c r="N293" s="23" t="n"/>
      <x:c r="O293" s="23" t="n"/>
      <x:c r="P293" s="23" t="n"/>
    </x:row>
    <x:row r="294">
      <x:c r="A294" s="23" t="n"/>
      <x:c r="B294" s="23" t="n"/>
      <x:c r="C294" s="6" t="n"/>
      <x:c r="D294" s="23" t="n"/>
      <x:c r="E294" s="23" t="n"/>
      <x:c r="F294" s="23" t="n"/>
      <x:c r="G294" s="23" t="n"/>
      <x:c r="H294" s="7" t="n"/>
      <x:c r="I294" s="23" t="n"/>
      <x:c r="J294" s="23" t="n"/>
      <x:c r="K294" s="8" t="n"/>
      <x:c r="L294" s="8" t="n"/>
      <x:c r="M294" s="23" t="n"/>
      <x:c r="N294" s="23" t="n"/>
      <x:c r="O294" s="23" t="n"/>
      <x:c r="P294" s="23" t="n"/>
    </x:row>
    <x:row r="295">
      <x:c r="A295" s="23" t="n"/>
      <x:c r="B295" s="23" t="n"/>
      <x:c r="C295" s="6" t="n"/>
      <x:c r="D295" s="23" t="n"/>
      <x:c r="E295" s="23" t="n"/>
      <x:c r="F295" s="23" t="n"/>
      <x:c r="G295" s="23" t="n"/>
      <x:c r="H295" s="7" t="n"/>
      <x:c r="I295" s="23" t="n"/>
      <x:c r="J295" s="23" t="n"/>
      <x:c r="K295" s="8" t="n"/>
      <x:c r="L295" s="8" t="n"/>
      <x:c r="M295" s="23" t="n"/>
      <x:c r="N295" s="23" t="n"/>
      <x:c r="O295" s="23" t="n"/>
      <x:c r="P295" s="23" t="n"/>
    </x:row>
    <x:row r="296">
      <x:c r="A296" s="23" t="n"/>
      <x:c r="B296" s="23" t="n"/>
      <x:c r="C296" s="6" t="n"/>
      <x:c r="D296" s="23" t="n"/>
      <x:c r="E296" s="23" t="n"/>
      <x:c r="F296" s="23" t="n"/>
      <x:c r="G296" s="23" t="n"/>
      <x:c r="H296" s="7" t="n"/>
      <x:c r="I296" s="23" t="n"/>
      <x:c r="J296" s="23" t="n"/>
      <x:c r="K296" s="8" t="n"/>
      <x:c r="L296" s="8" t="n"/>
      <x:c r="M296" s="23" t="n"/>
      <x:c r="N296" s="23" t="n"/>
      <x:c r="O296" s="23" t="n"/>
      <x:c r="P296" s="23" t="n"/>
    </x:row>
    <x:row r="297">
      <x:c r="A297" s="23" t="n"/>
      <x:c r="B297" s="23" t="n"/>
      <x:c r="C297" s="6" t="n"/>
      <x:c r="D297" s="23" t="n"/>
      <x:c r="E297" s="23" t="n"/>
      <x:c r="F297" s="23" t="n"/>
      <x:c r="G297" s="23" t="n"/>
      <x:c r="H297" s="7" t="n"/>
      <x:c r="I297" s="23" t="n"/>
      <x:c r="J297" s="23" t="n"/>
      <x:c r="K297" s="8" t="n"/>
      <x:c r="L297" s="8" t="n"/>
      <x:c r="M297" s="23" t="n"/>
      <x:c r="N297" s="23" t="n"/>
      <x:c r="O297" s="23" t="n"/>
      <x:c r="P297" s="23" t="n"/>
    </x:row>
    <x:row r="298">
      <x:c r="A298" s="23" t="n"/>
      <x:c r="B298" s="23" t="n"/>
      <x:c r="C298" s="6" t="n"/>
      <x:c r="D298" s="23" t="n"/>
      <x:c r="E298" s="23" t="n"/>
      <x:c r="F298" s="23" t="n"/>
      <x:c r="G298" s="23" t="n"/>
      <x:c r="H298" s="7" t="n"/>
      <x:c r="I298" s="23" t="n"/>
      <x:c r="J298" s="23" t="n"/>
      <x:c r="K298" s="8" t="n"/>
      <x:c r="L298" s="8" t="n"/>
      <x:c r="M298" s="23" t="n"/>
      <x:c r="N298" s="23" t="n"/>
      <x:c r="O298" s="23" t="n"/>
      <x:c r="P298" s="23" t="n"/>
    </x:row>
    <x:row r="299">
      <x:c r="A299" s="23" t="n"/>
      <x:c r="B299" s="23" t="n"/>
      <x:c r="C299" s="6" t="n"/>
      <x:c r="D299" s="23" t="n"/>
      <x:c r="E299" s="23" t="n"/>
      <x:c r="F299" s="23" t="n"/>
      <x:c r="G299" s="23" t="n"/>
      <x:c r="H299" s="7" t="n"/>
      <x:c r="I299" s="23" t="n"/>
      <x:c r="J299" s="23" t="n"/>
      <x:c r="K299" s="8" t="n"/>
      <x:c r="L299" s="8" t="n"/>
      <x:c r="M299" s="23" t="n"/>
      <x:c r="N299" s="23" t="n"/>
      <x:c r="O299" s="23" t="n"/>
      <x:c r="P299" s="23" t="n"/>
    </x:row>
    <x:row r="300">
      <x:c r="A300" s="23" t="n"/>
      <x:c r="B300" s="23" t="n"/>
      <x:c r="C300" s="6" t="n"/>
      <x:c r="D300" s="23" t="n"/>
      <x:c r="E300" s="23" t="n"/>
      <x:c r="F300" s="23" t="n"/>
      <x:c r="G300" s="23" t="n"/>
      <x:c r="H300" s="7" t="n"/>
      <x:c r="I300" s="23" t="n"/>
      <x:c r="J300" s="23" t="n"/>
      <x:c r="K300" s="8" t="n"/>
      <x:c r="L300" s="8" t="n"/>
      <x:c r="M300" s="23" t="n"/>
      <x:c r="N300" s="23" t="n"/>
      <x:c r="O300" s="23" t="n"/>
      <x:c r="P300" s="23" t="n"/>
    </x:row>
    <x:row r="301">
      <x:c r="A301" s="23" t="n"/>
      <x:c r="B301" s="23" t="n"/>
      <x:c r="C301" s="6" t="n"/>
      <x:c r="D301" s="23" t="n"/>
      <x:c r="E301" s="23" t="n"/>
      <x:c r="F301" s="23" t="n"/>
      <x:c r="G301" s="23" t="n"/>
      <x:c r="H301" s="7" t="n"/>
      <x:c r="I301" s="23" t="n"/>
      <x:c r="J301" s="23" t="n"/>
      <x:c r="K301" s="8" t="n"/>
      <x:c r="L301" s="8" t="n"/>
      <x:c r="M301" s="23" t="n"/>
      <x:c r="N301" s="23" t="n"/>
      <x:c r="O301" s="23" t="n"/>
      <x:c r="P301" s="23" t="n"/>
    </x:row>
    <x:row r="302">
      <x:c r="A302" s="23" t="n"/>
      <x:c r="B302" s="23" t="n"/>
      <x:c r="C302" s="6" t="n"/>
      <x:c r="D302" s="23" t="n"/>
      <x:c r="E302" s="23" t="n"/>
      <x:c r="F302" s="23" t="n"/>
      <x:c r="G302" s="23" t="n"/>
      <x:c r="H302" s="7" t="n"/>
      <x:c r="I302" s="23" t="n"/>
      <x:c r="J302" s="23" t="n"/>
      <x:c r="K302" s="8" t="n"/>
      <x:c r="L302" s="8" t="n"/>
      <x:c r="M302" s="23" t="n"/>
      <x:c r="N302" s="23" t="n"/>
      <x:c r="O302" s="23" t="n"/>
      <x:c r="P302" s="23" t="n"/>
    </x:row>
    <x:row r="303">
      <x:c r="A303" s="23" t="n"/>
      <x:c r="B303" s="23" t="n"/>
      <x:c r="C303" s="6" t="n"/>
      <x:c r="D303" s="23" t="n"/>
      <x:c r="E303" s="23" t="n"/>
      <x:c r="F303" s="23" t="n"/>
      <x:c r="G303" s="23" t="n"/>
      <x:c r="H303" s="7" t="n"/>
      <x:c r="I303" s="23" t="n"/>
      <x:c r="J303" s="23" t="n"/>
      <x:c r="K303" s="8" t="n"/>
      <x:c r="L303" s="8" t="n"/>
      <x:c r="M303" s="23" t="n"/>
      <x:c r="N303" s="23" t="n"/>
      <x:c r="O303" s="23" t="n"/>
      <x:c r="P303" s="23" t="n"/>
    </x:row>
    <x:row r="304">
      <x:c r="A304" s="23" t="n"/>
      <x:c r="B304" s="23" t="n"/>
      <x:c r="C304" s="6" t="n"/>
      <x:c r="D304" s="23" t="n"/>
      <x:c r="E304" s="23" t="n"/>
      <x:c r="F304" s="23" t="n"/>
      <x:c r="G304" s="23" t="n"/>
      <x:c r="H304" s="7" t="n"/>
      <x:c r="I304" s="23" t="n"/>
      <x:c r="J304" s="23" t="n"/>
      <x:c r="K304" s="8" t="n"/>
      <x:c r="L304" s="8" t="n"/>
      <x:c r="M304" s="23" t="n"/>
      <x:c r="N304" s="23" t="n"/>
      <x:c r="O304" s="23" t="n"/>
      <x:c r="P304" s="23" t="n"/>
    </x:row>
    <x:row r="305">
      <x:c r="A305" s="23" t="n"/>
      <x:c r="B305" s="23" t="n"/>
      <x:c r="C305" s="6" t="n"/>
      <x:c r="D305" s="23" t="n"/>
      <x:c r="E305" s="23" t="n"/>
      <x:c r="F305" s="23" t="n"/>
      <x:c r="G305" s="23" t="n"/>
      <x:c r="H305" s="7" t="n"/>
      <x:c r="I305" s="23" t="n"/>
      <x:c r="J305" s="23" t="n"/>
      <x:c r="K305" s="8" t="n"/>
      <x:c r="L305" s="8" t="n"/>
      <x:c r="M305" s="23" t="n"/>
      <x:c r="N305" s="23" t="n"/>
      <x:c r="O305" s="23" t="n"/>
      <x:c r="P305" s="23" t="n"/>
    </x:row>
    <x:row r="306">
      <x:c r="A306" s="23" t="n"/>
      <x:c r="B306" s="23" t="n"/>
      <x:c r="C306" s="6" t="n"/>
      <x:c r="D306" s="23" t="n"/>
      <x:c r="E306" s="23" t="n"/>
      <x:c r="F306" s="23" t="n"/>
      <x:c r="G306" s="23" t="n"/>
      <x:c r="H306" s="7" t="n"/>
      <x:c r="I306" s="23" t="n"/>
      <x:c r="J306" s="23" t="n"/>
      <x:c r="K306" s="8" t="n"/>
      <x:c r="L306" s="8" t="n"/>
      <x:c r="M306" s="23" t="n"/>
      <x:c r="N306" s="23" t="n"/>
      <x:c r="O306" s="23" t="n"/>
      <x:c r="P306" s="23" t="n"/>
    </x:row>
    <x:row r="307">
      <x:c r="A307" s="23" t="n"/>
      <x:c r="B307" s="23" t="n"/>
      <x:c r="C307" s="6" t="n"/>
      <x:c r="D307" s="23" t="n"/>
      <x:c r="E307" s="23" t="n"/>
      <x:c r="F307" s="23" t="n"/>
      <x:c r="G307" s="23" t="n"/>
      <x:c r="H307" s="7" t="n"/>
      <x:c r="I307" s="23" t="n"/>
      <x:c r="J307" s="23" t="n"/>
      <x:c r="K307" s="8" t="n"/>
      <x:c r="L307" s="8" t="n"/>
      <x:c r="M307" s="23" t="n"/>
      <x:c r="N307" s="23" t="n"/>
      <x:c r="O307" s="23" t="n"/>
      <x:c r="P307" s="23" t="n"/>
    </x:row>
    <x:row r="308">
      <x:c r="A308" s="23" t="n"/>
      <x:c r="B308" s="23" t="n"/>
      <x:c r="C308" s="6" t="n"/>
      <x:c r="D308" s="23" t="n"/>
      <x:c r="E308" s="23" t="n"/>
      <x:c r="F308" s="23" t="n"/>
      <x:c r="G308" s="23" t="n"/>
      <x:c r="H308" s="7" t="n"/>
      <x:c r="I308" s="23" t="n"/>
      <x:c r="J308" s="23" t="n"/>
      <x:c r="K308" s="8" t="n"/>
      <x:c r="L308" s="8" t="n"/>
      <x:c r="M308" s="23" t="n"/>
      <x:c r="N308" s="23" t="n"/>
      <x:c r="O308" s="23" t="n"/>
      <x:c r="P308" s="23" t="n"/>
    </x:row>
    <x:row r="309">
      <x:c r="A309" s="23" t="n"/>
      <x:c r="B309" s="23" t="n"/>
      <x:c r="C309" s="6" t="n"/>
      <x:c r="D309" s="23" t="n"/>
      <x:c r="E309" s="23" t="n"/>
      <x:c r="F309" s="23" t="n"/>
      <x:c r="G309" s="23" t="n"/>
      <x:c r="H309" s="7" t="n"/>
      <x:c r="I309" s="23" t="n"/>
      <x:c r="J309" s="23" t="n"/>
      <x:c r="K309" s="8" t="n"/>
      <x:c r="L309" s="8" t="n"/>
      <x:c r="M309" s="23" t="n"/>
      <x:c r="N309" s="23" t="n"/>
      <x:c r="O309" s="23" t="n"/>
      <x:c r="P309" s="23" t="n"/>
    </x:row>
    <x:row r="310">
      <x:c r="A310" s="23" t="n"/>
      <x:c r="B310" s="23" t="n"/>
      <x:c r="C310" s="6" t="n"/>
      <x:c r="D310" s="23" t="n"/>
      <x:c r="E310" s="23" t="n"/>
      <x:c r="F310" s="23" t="n"/>
      <x:c r="G310" s="23" t="n"/>
      <x:c r="H310" s="7" t="n"/>
      <x:c r="I310" s="23" t="n"/>
      <x:c r="J310" s="23" t="n"/>
      <x:c r="K310" s="8" t="n"/>
      <x:c r="L310" s="8" t="n"/>
      <x:c r="M310" s="23" t="n"/>
      <x:c r="N310" s="23" t="n"/>
      <x:c r="O310" s="23" t="n"/>
      <x:c r="P310" s="23" t="n"/>
    </x:row>
    <x:row r="311">
      <x:c r="A311" s="23" t="n"/>
      <x:c r="B311" s="23" t="n"/>
      <x:c r="C311" s="6" t="n"/>
      <x:c r="D311" s="23" t="n"/>
      <x:c r="E311" s="23" t="n"/>
      <x:c r="F311" s="23" t="n"/>
      <x:c r="G311" s="23" t="n"/>
      <x:c r="H311" s="7" t="n"/>
      <x:c r="I311" s="23" t="n"/>
      <x:c r="J311" s="23" t="n"/>
      <x:c r="K311" s="8" t="n"/>
      <x:c r="L311" s="8" t="n"/>
      <x:c r="M311" s="23" t="n"/>
      <x:c r="N311" s="23" t="n"/>
      <x:c r="O311" s="23" t="n"/>
      <x:c r="P311" s="23" t="n"/>
    </x:row>
    <x:row r="312">
      <x:c r="A312" s="23" t="n"/>
      <x:c r="B312" s="23" t="n"/>
      <x:c r="C312" s="6" t="n"/>
      <x:c r="D312" s="23" t="n"/>
      <x:c r="E312" s="23" t="n"/>
      <x:c r="F312" s="23" t="n"/>
      <x:c r="G312" s="23" t="n"/>
      <x:c r="H312" s="7" t="n"/>
      <x:c r="I312" s="23" t="n"/>
      <x:c r="J312" s="23" t="n"/>
      <x:c r="K312" s="8" t="n"/>
      <x:c r="L312" s="8" t="n"/>
      <x:c r="M312" s="23" t="n"/>
      <x:c r="N312" s="23" t="n"/>
      <x:c r="O312" s="23" t="n"/>
      <x:c r="P312" s="23" t="n"/>
    </x:row>
    <x:row r="313">
      <x:c r="A313" s="23" t="n"/>
      <x:c r="B313" s="23" t="n"/>
      <x:c r="C313" s="6" t="n"/>
      <x:c r="D313" s="23" t="n"/>
      <x:c r="E313" s="23" t="n"/>
      <x:c r="F313" s="23" t="n"/>
      <x:c r="G313" s="23" t="n"/>
      <x:c r="H313" s="7" t="n"/>
      <x:c r="I313" s="23" t="n"/>
      <x:c r="J313" s="23" t="n"/>
      <x:c r="K313" s="8" t="n"/>
      <x:c r="L313" s="8" t="n"/>
      <x:c r="M313" s="23" t="n"/>
      <x:c r="N313" s="23" t="n"/>
      <x:c r="O313" s="23" t="n"/>
      <x:c r="P313" s="23" t="n"/>
    </x:row>
    <x:row r="314">
      <x:c r="A314" s="23" t="n"/>
      <x:c r="B314" s="23" t="n"/>
      <x:c r="C314" s="6" t="n"/>
      <x:c r="D314" s="23" t="n"/>
      <x:c r="E314" s="23" t="n"/>
      <x:c r="F314" s="23" t="n"/>
      <x:c r="G314" s="23" t="n"/>
      <x:c r="H314" s="7" t="n"/>
      <x:c r="I314" s="23" t="n"/>
      <x:c r="J314" s="23" t="n"/>
      <x:c r="K314" s="8" t="n"/>
      <x:c r="L314" s="8" t="n"/>
      <x:c r="M314" s="23" t="n"/>
      <x:c r="N314" s="23" t="n"/>
      <x:c r="O314" s="23" t="n"/>
      <x:c r="P314" s="23" t="n"/>
    </x:row>
    <x:row r="315">
      <x:c r="A315" s="23" t="n"/>
      <x:c r="B315" s="23" t="n"/>
      <x:c r="C315" s="6" t="n"/>
      <x:c r="D315" s="23" t="n"/>
      <x:c r="E315" s="23" t="n"/>
      <x:c r="F315" s="23" t="n"/>
      <x:c r="G315" s="23" t="n"/>
      <x:c r="H315" s="7" t="n"/>
      <x:c r="I315" s="23" t="n"/>
      <x:c r="J315" s="23" t="n"/>
      <x:c r="K315" s="8" t="n"/>
      <x:c r="L315" s="8" t="n"/>
      <x:c r="M315" s="23" t="n"/>
      <x:c r="N315" s="23" t="n"/>
      <x:c r="O315" s="23" t="n"/>
      <x:c r="P315" s="23" t="n"/>
    </x:row>
    <x:row r="316">
      <x:c r="A316" s="23" t="n"/>
      <x:c r="B316" s="23" t="n"/>
      <x:c r="C316" s="6" t="n"/>
      <x:c r="D316" s="23" t="n"/>
      <x:c r="E316" s="23" t="n"/>
      <x:c r="F316" s="23" t="n"/>
      <x:c r="G316" s="23" t="n"/>
      <x:c r="H316" s="7" t="n"/>
      <x:c r="I316" s="23" t="n"/>
      <x:c r="J316" s="23" t="n"/>
      <x:c r="K316" s="8" t="n"/>
      <x:c r="L316" s="8" t="n"/>
      <x:c r="M316" s="23" t="n"/>
      <x:c r="N316" s="23" t="n"/>
      <x:c r="O316" s="23" t="n"/>
      <x:c r="P316" s="23" t="n"/>
    </x:row>
    <x:row r="317">
      <x:c r="A317" s="23" t="n"/>
      <x:c r="B317" s="23" t="n"/>
      <x:c r="C317" s="6" t="n"/>
      <x:c r="D317" s="23" t="n"/>
      <x:c r="E317" s="23" t="n"/>
      <x:c r="F317" s="23" t="n"/>
      <x:c r="G317" s="23" t="n"/>
      <x:c r="H317" s="7" t="n"/>
      <x:c r="I317" s="23" t="n"/>
      <x:c r="J317" s="23" t="n"/>
      <x:c r="K317" s="8" t="n"/>
      <x:c r="L317" s="8" t="n"/>
      <x:c r="M317" s="23" t="n"/>
      <x:c r="N317" s="23" t="n"/>
      <x:c r="O317" s="23" t="n"/>
      <x:c r="P317" s="23" t="n"/>
    </x:row>
    <x:row r="318">
      <x:c r="A318" s="23" t="n"/>
      <x:c r="B318" s="23" t="n"/>
      <x:c r="C318" s="6" t="n"/>
      <x:c r="D318" s="23" t="n"/>
      <x:c r="E318" s="23" t="n"/>
      <x:c r="F318" s="23" t="n"/>
      <x:c r="G318" s="23" t="n"/>
      <x:c r="H318" s="7" t="n"/>
      <x:c r="I318" s="23" t="n"/>
      <x:c r="J318" s="23" t="n"/>
      <x:c r="K318" s="8" t="n"/>
      <x:c r="L318" s="8" t="n"/>
      <x:c r="M318" s="23" t="n"/>
      <x:c r="N318" s="23" t="n"/>
      <x:c r="O318" s="23" t="n"/>
      <x:c r="P318" s="23" t="n"/>
    </x:row>
    <x:row r="319">
      <x:c r="A319" s="23" t="n"/>
      <x:c r="B319" s="23" t="n"/>
      <x:c r="C319" s="6" t="n"/>
      <x:c r="D319" s="23" t="n"/>
      <x:c r="E319" s="23" t="n"/>
      <x:c r="F319" s="23" t="n"/>
      <x:c r="G319" s="23" t="n"/>
      <x:c r="H319" s="7" t="n"/>
      <x:c r="I319" s="23" t="n"/>
      <x:c r="J319" s="23" t="n"/>
      <x:c r="K319" s="8" t="n"/>
      <x:c r="L319" s="8" t="n"/>
      <x:c r="M319" s="23" t="n"/>
      <x:c r="N319" s="23" t="n"/>
      <x:c r="O319" s="23" t="n"/>
      <x:c r="P319" s="23" t="n"/>
    </x:row>
    <x:row r="320">
      <x:c r="A320" s="23" t="n"/>
      <x:c r="B320" s="23" t="n"/>
      <x:c r="C320" s="6" t="n"/>
      <x:c r="D320" s="23" t="n"/>
      <x:c r="E320" s="23" t="n"/>
      <x:c r="F320" s="23" t="n"/>
      <x:c r="G320" s="23" t="n"/>
      <x:c r="H320" s="7" t="n"/>
      <x:c r="I320" s="23" t="n"/>
      <x:c r="J320" s="23" t="n"/>
      <x:c r="K320" s="8" t="n"/>
      <x:c r="L320" s="8" t="n"/>
      <x:c r="M320" s="23" t="n"/>
      <x:c r="N320" s="23" t="n"/>
      <x:c r="O320" s="23" t="n"/>
      <x:c r="P320" s="23" t="n"/>
    </x:row>
    <x:row r="321">
      <x:c r="A321" s="23" t="n"/>
      <x:c r="B321" s="23" t="n"/>
      <x:c r="C321" s="6" t="n"/>
      <x:c r="D321" s="23" t="n"/>
      <x:c r="E321" s="23" t="n"/>
      <x:c r="F321" s="23" t="n"/>
      <x:c r="G321" s="23" t="n"/>
      <x:c r="H321" s="7" t="n"/>
      <x:c r="I321" s="23" t="n"/>
      <x:c r="J321" s="23" t="n"/>
      <x:c r="K321" s="8" t="n"/>
      <x:c r="L321" s="8" t="n"/>
      <x:c r="M321" s="23" t="n"/>
      <x:c r="N321" s="23" t="n"/>
      <x:c r="O321" s="23" t="n"/>
      <x:c r="P321" s="23" t="n"/>
    </x:row>
    <x:row r="322">
      <x:c r="A322" s="23" t="n"/>
      <x:c r="B322" s="23" t="n"/>
      <x:c r="C322" s="6" t="n"/>
      <x:c r="D322" s="23" t="n"/>
      <x:c r="E322" s="23" t="n"/>
      <x:c r="F322" s="23" t="n"/>
      <x:c r="G322" s="23" t="n"/>
      <x:c r="H322" s="7" t="n"/>
      <x:c r="I322" s="23" t="n"/>
      <x:c r="J322" s="23" t="n"/>
      <x:c r="K322" s="8" t="n"/>
      <x:c r="L322" s="8" t="n"/>
      <x:c r="M322" s="23" t="n"/>
      <x:c r="N322" s="23" t="n"/>
      <x:c r="O322" s="23" t="n"/>
      <x:c r="P322" s="23" t="n"/>
    </x:row>
    <x:row r="323">
      <x:c r="A323" s="23" t="n"/>
      <x:c r="B323" s="23" t="n"/>
      <x:c r="C323" s="6" t="n"/>
      <x:c r="D323" s="23" t="n"/>
      <x:c r="E323" s="23" t="n"/>
      <x:c r="F323" s="23" t="n"/>
      <x:c r="G323" s="23" t="n"/>
      <x:c r="H323" s="7" t="n"/>
      <x:c r="I323" s="23" t="n"/>
      <x:c r="J323" s="23" t="n"/>
      <x:c r="K323" s="8" t="n"/>
      <x:c r="L323" s="8" t="n"/>
      <x:c r="M323" s="23" t="n"/>
      <x:c r="N323" s="23" t="n"/>
      <x:c r="O323" s="23" t="n"/>
      <x:c r="P323" s="23" t="n"/>
    </x:row>
    <x:row r="324">
      <x:c r="A324" s="23" t="n"/>
      <x:c r="B324" s="23" t="n"/>
      <x:c r="C324" s="6" t="n"/>
      <x:c r="D324" s="23" t="n"/>
      <x:c r="E324" s="23" t="n"/>
      <x:c r="F324" s="23" t="n"/>
      <x:c r="G324" s="23" t="n"/>
      <x:c r="H324" s="7" t="n"/>
      <x:c r="I324" s="23" t="n"/>
      <x:c r="J324" s="23" t="n"/>
      <x:c r="K324" s="8" t="n"/>
      <x:c r="L324" s="8" t="n"/>
      <x:c r="M324" s="23" t="n"/>
      <x:c r="N324" s="23" t="n"/>
      <x:c r="O324" s="23" t="n"/>
      <x:c r="P324" s="23" t="n"/>
    </x:row>
    <x:row r="325">
      <x:c r="A325" s="23" t="n"/>
      <x:c r="B325" s="23" t="n"/>
      <x:c r="C325" s="6" t="n"/>
      <x:c r="D325" s="23" t="n"/>
      <x:c r="E325" s="23" t="n"/>
      <x:c r="F325" s="23" t="n"/>
      <x:c r="G325" s="23" t="n"/>
      <x:c r="H325" s="7" t="n"/>
      <x:c r="I325" s="23" t="n"/>
      <x:c r="J325" s="23" t="n"/>
      <x:c r="K325" s="8" t="n"/>
      <x:c r="L325" s="8" t="n"/>
      <x:c r="M325" s="23" t="n"/>
      <x:c r="N325" s="23" t="n"/>
      <x:c r="O325" s="23" t="n"/>
      <x:c r="P325" s="23" t="n"/>
    </x:row>
    <x:row r="326">
      <x:c r="A326" s="23" t="n"/>
      <x:c r="B326" s="23" t="n"/>
      <x:c r="C326" s="6" t="n"/>
      <x:c r="D326" s="23" t="n"/>
      <x:c r="E326" s="23" t="n"/>
      <x:c r="F326" s="23" t="n"/>
      <x:c r="G326" s="23" t="n"/>
      <x:c r="H326" s="7" t="n"/>
      <x:c r="I326" s="23" t="n"/>
      <x:c r="J326" s="23" t="n"/>
      <x:c r="K326" s="8" t="n"/>
      <x:c r="L326" s="8" t="n"/>
      <x:c r="M326" s="23" t="n"/>
      <x:c r="N326" s="23" t="n"/>
      <x:c r="O326" s="23" t="n"/>
      <x:c r="P326" s="23" t="n"/>
    </x:row>
    <x:row r="327">
      <x:c r="A327" s="23" t="n"/>
      <x:c r="B327" s="23" t="n"/>
      <x:c r="C327" s="6" t="n"/>
      <x:c r="D327" s="23" t="n"/>
      <x:c r="E327" s="23" t="n"/>
      <x:c r="F327" s="23" t="n"/>
      <x:c r="G327" s="23" t="n"/>
      <x:c r="H327" s="7" t="n"/>
      <x:c r="I327" s="23" t="n"/>
      <x:c r="J327" s="23" t="n"/>
      <x:c r="K327" s="8" t="n"/>
      <x:c r="L327" s="8" t="n"/>
      <x:c r="M327" s="23" t="n"/>
      <x:c r="N327" s="23" t="n"/>
      <x:c r="O327" s="23" t="n"/>
      <x:c r="P327" s="23" t="n"/>
    </x:row>
    <x:row r="328">
      <x:c r="A328" s="23" t="n"/>
      <x:c r="B328" s="23" t="n"/>
      <x:c r="C328" s="6" t="n"/>
      <x:c r="D328" s="23" t="n"/>
      <x:c r="E328" s="23" t="n"/>
      <x:c r="F328" s="23" t="n"/>
      <x:c r="G328" s="23" t="n"/>
      <x:c r="H328" s="7" t="n"/>
      <x:c r="I328" s="23" t="n"/>
      <x:c r="J328" s="23" t="n"/>
      <x:c r="K328" s="8" t="n"/>
      <x:c r="L328" s="8" t="n"/>
      <x:c r="M328" s="23" t="n"/>
      <x:c r="N328" s="23" t="n"/>
      <x:c r="O328" s="23" t="n"/>
      <x:c r="P328" s="23" t="n"/>
    </x:row>
    <x:row r="329">
      <x:c r="A329" s="23" t="n"/>
      <x:c r="B329" s="23" t="n"/>
      <x:c r="C329" s="6" t="n"/>
      <x:c r="D329" s="23" t="n"/>
      <x:c r="E329" s="23" t="n"/>
      <x:c r="F329" s="23" t="n"/>
      <x:c r="G329" s="23" t="n"/>
      <x:c r="H329" s="7" t="n"/>
      <x:c r="I329" s="23" t="n"/>
      <x:c r="J329" s="23" t="n"/>
      <x:c r="K329" s="8" t="n"/>
      <x:c r="L329" s="8" t="n"/>
      <x:c r="M329" s="23" t="n"/>
      <x:c r="N329" s="23" t="n"/>
      <x:c r="O329" s="23" t="n"/>
      <x:c r="P329" s="23" t="n"/>
    </x:row>
    <x:row r="330">
      <x:c r="A330" s="23" t="n"/>
      <x:c r="B330" s="23" t="n"/>
      <x:c r="C330" s="6" t="n"/>
      <x:c r="D330" s="23" t="n"/>
      <x:c r="E330" s="23" t="n"/>
      <x:c r="F330" s="23" t="n"/>
      <x:c r="G330" s="23" t="n"/>
      <x:c r="H330" s="7" t="n"/>
      <x:c r="I330" s="23" t="n"/>
      <x:c r="J330" s="23" t="n"/>
      <x:c r="K330" s="8" t="n"/>
      <x:c r="L330" s="8" t="n"/>
      <x:c r="M330" s="23" t="n"/>
      <x:c r="N330" s="23" t="n"/>
      <x:c r="O330" s="23" t="n"/>
      <x:c r="P330" s="23" t="n"/>
    </x:row>
    <x:row r="331">
      <x:c r="A331" s="23" t="n"/>
      <x:c r="B331" s="23" t="n"/>
      <x:c r="C331" s="6" t="n"/>
      <x:c r="D331" s="23" t="n"/>
      <x:c r="E331" s="23" t="n"/>
      <x:c r="F331" s="23" t="n"/>
      <x:c r="G331" s="23" t="n"/>
      <x:c r="H331" s="7" t="n"/>
      <x:c r="I331" s="23" t="n"/>
      <x:c r="J331" s="23" t="n"/>
      <x:c r="K331" s="8" t="n"/>
      <x:c r="L331" s="8" t="n"/>
      <x:c r="M331" s="23" t="n"/>
      <x:c r="N331" s="23" t="n"/>
      <x:c r="O331" s="23" t="n"/>
      <x:c r="P331" s="23" t="n"/>
    </x:row>
    <x:row r="332">
      <x:c r="A332" s="23" t="n"/>
      <x:c r="B332" s="23" t="n"/>
      <x:c r="C332" s="6" t="n"/>
      <x:c r="D332" s="23" t="n"/>
      <x:c r="E332" s="23" t="n"/>
      <x:c r="F332" s="23" t="n"/>
      <x:c r="G332" s="23" t="n"/>
      <x:c r="H332" s="7" t="n"/>
      <x:c r="I332" s="23" t="n"/>
      <x:c r="J332" s="23" t="n"/>
      <x:c r="K332" s="8" t="n"/>
      <x:c r="L332" s="8" t="n"/>
      <x:c r="M332" s="23" t="n"/>
      <x:c r="N332" s="23" t="n"/>
      <x:c r="O332" s="23" t="n"/>
      <x:c r="P332" s="23" t="n"/>
    </x:row>
    <x:row r="333">
      <x:c r="A333" s="23" t="n"/>
      <x:c r="B333" s="23" t="n"/>
      <x:c r="C333" s="6" t="n"/>
      <x:c r="D333" s="23" t="n"/>
      <x:c r="E333" s="23" t="n"/>
      <x:c r="F333" s="23" t="n"/>
      <x:c r="G333" s="23" t="n"/>
      <x:c r="H333" s="7" t="n"/>
      <x:c r="I333" s="23" t="n"/>
      <x:c r="J333" s="23" t="n"/>
      <x:c r="K333" s="8" t="n"/>
      <x:c r="L333" s="8" t="n"/>
      <x:c r="M333" s="23" t="n"/>
      <x:c r="N333" s="23" t="n"/>
      <x:c r="O333" s="23" t="n"/>
      <x:c r="P333" s="23" t="n"/>
    </x:row>
    <x:row r="334">
      <x:c r="A334" s="23" t="n"/>
      <x:c r="B334" s="23" t="n"/>
      <x:c r="C334" s="6" t="n"/>
      <x:c r="D334" s="23" t="n"/>
      <x:c r="E334" s="23" t="n"/>
      <x:c r="F334" s="23" t="n"/>
      <x:c r="G334" s="23" t="n"/>
      <x:c r="H334" s="7" t="n"/>
      <x:c r="I334" s="23" t="n"/>
      <x:c r="J334" s="23" t="n"/>
      <x:c r="K334" s="8" t="n"/>
      <x:c r="L334" s="8" t="n"/>
      <x:c r="M334" s="23" t="n"/>
      <x:c r="N334" s="23" t="n"/>
      <x:c r="O334" s="23" t="n"/>
      <x:c r="P334" s="23" t="n"/>
    </x:row>
    <x:row r="335">
      <x:c r="A335" s="23" t="n"/>
      <x:c r="B335" s="23" t="n"/>
      <x:c r="C335" s="6" t="n"/>
      <x:c r="D335" s="23" t="n"/>
      <x:c r="E335" s="23" t="n"/>
      <x:c r="F335" s="23" t="n"/>
      <x:c r="G335" s="23" t="n"/>
      <x:c r="H335" s="7" t="n"/>
      <x:c r="I335" s="23" t="n"/>
      <x:c r="J335" s="23" t="n"/>
      <x:c r="K335" s="8" t="n"/>
      <x:c r="L335" s="8" t="n"/>
      <x:c r="M335" s="23" t="n"/>
      <x:c r="N335" s="23" t="n"/>
      <x:c r="O335" s="23" t="n"/>
      <x:c r="P335" s="23" t="n"/>
    </x:row>
    <x:row r="336">
      <x:c r="A336" s="23" t="n"/>
      <x:c r="B336" s="23" t="n"/>
      <x:c r="C336" s="6" t="n"/>
      <x:c r="D336" s="23" t="n"/>
      <x:c r="E336" s="23" t="n"/>
      <x:c r="F336" s="23" t="n"/>
      <x:c r="G336" s="23" t="n"/>
      <x:c r="H336" s="7" t="n"/>
      <x:c r="I336" s="23" t="n"/>
      <x:c r="J336" s="23" t="n"/>
      <x:c r="K336" s="8" t="n"/>
      <x:c r="L336" s="8" t="n"/>
      <x:c r="M336" s="23" t="n"/>
      <x:c r="N336" s="23" t="n"/>
      <x:c r="O336" s="23" t="n"/>
      <x:c r="P336" s="23" t="n"/>
    </x:row>
    <x:row r="337">
      <x:c r="A337" s="23" t="n"/>
      <x:c r="B337" s="23" t="n"/>
      <x:c r="C337" s="6" t="n"/>
      <x:c r="D337" s="23" t="n"/>
      <x:c r="E337" s="23" t="n"/>
      <x:c r="F337" s="23" t="n"/>
      <x:c r="G337" s="23" t="n"/>
      <x:c r="H337" s="7" t="n"/>
      <x:c r="I337" s="23" t="n"/>
      <x:c r="J337" s="23" t="n"/>
      <x:c r="K337" s="8" t="n"/>
      <x:c r="L337" s="8" t="n"/>
      <x:c r="M337" s="23" t="n"/>
      <x:c r="N337" s="23" t="n"/>
      <x:c r="O337" s="23" t="n"/>
      <x:c r="P337" s="23" t="n"/>
    </x:row>
    <x:row r="338">
      <x:c r="A338" s="23" t="n"/>
      <x:c r="B338" s="23" t="n"/>
      <x:c r="C338" s="6" t="n"/>
      <x:c r="D338" s="23" t="n"/>
      <x:c r="E338" s="23" t="n"/>
      <x:c r="F338" s="23" t="n"/>
      <x:c r="G338" s="23" t="n"/>
      <x:c r="H338" s="7" t="n"/>
      <x:c r="I338" s="23" t="n"/>
      <x:c r="J338" s="23" t="n"/>
      <x:c r="K338" s="8" t="n"/>
      <x:c r="L338" s="8" t="n"/>
      <x:c r="M338" s="23" t="n"/>
      <x:c r="N338" s="23" t="n"/>
      <x:c r="O338" s="23" t="n"/>
      <x:c r="P338" s="23" t="n"/>
    </x:row>
    <x:row r="339">
      <x:c r="A339" s="23" t="n"/>
      <x:c r="B339" s="23" t="n"/>
      <x:c r="C339" s="6" t="n"/>
      <x:c r="D339" s="23" t="n"/>
      <x:c r="E339" s="23" t="n"/>
      <x:c r="F339" s="23" t="n"/>
      <x:c r="G339" s="23" t="n"/>
      <x:c r="H339" s="7" t="n"/>
      <x:c r="I339" s="23" t="n"/>
      <x:c r="J339" s="23" t="n"/>
      <x:c r="K339" s="8" t="n"/>
      <x:c r="L339" s="8" t="n"/>
      <x:c r="M339" s="23" t="n"/>
      <x:c r="N339" s="23" t="n"/>
      <x:c r="O339" s="23" t="n"/>
      <x:c r="P339" s="23" t="n"/>
    </x:row>
    <x:row r="340">
      <x:c r="A340" s="23" t="n"/>
      <x:c r="B340" s="23" t="n"/>
      <x:c r="C340" s="6" t="n"/>
      <x:c r="D340" s="23" t="n"/>
      <x:c r="E340" s="23" t="n"/>
      <x:c r="F340" s="23" t="n"/>
      <x:c r="G340" s="23" t="n"/>
      <x:c r="H340" s="7" t="n"/>
      <x:c r="I340" s="23" t="n"/>
      <x:c r="J340" s="23" t="n"/>
      <x:c r="K340" s="8" t="n"/>
      <x:c r="L340" s="8" t="n"/>
      <x:c r="M340" s="23" t="n"/>
      <x:c r="N340" s="23" t="n"/>
      <x:c r="O340" s="23" t="n"/>
      <x:c r="P340" s="23" t="n"/>
    </x:row>
    <x:row r="341">
      <x:c r="A341" s="23" t="n"/>
      <x:c r="B341" s="23" t="n"/>
      <x:c r="C341" s="6" t="n"/>
      <x:c r="D341" s="23" t="n"/>
      <x:c r="E341" s="23" t="n"/>
      <x:c r="F341" s="23" t="n"/>
      <x:c r="G341" s="23" t="n"/>
      <x:c r="H341" s="7" t="n"/>
      <x:c r="I341" s="23" t="n"/>
      <x:c r="J341" s="23" t="n"/>
      <x:c r="K341" s="8" t="n"/>
      <x:c r="L341" s="8" t="n"/>
      <x:c r="M341" s="23" t="n"/>
      <x:c r="N341" s="23" t="n"/>
      <x:c r="O341" s="23" t="n"/>
      <x:c r="P341" s="23" t="n"/>
    </x:row>
    <x:row r="342">
      <x:c r="A342" s="23" t="n"/>
      <x:c r="B342" s="23" t="n"/>
      <x:c r="C342" s="6" t="n"/>
      <x:c r="D342" s="23" t="n"/>
      <x:c r="E342" s="23" t="n"/>
      <x:c r="F342" s="23" t="n"/>
      <x:c r="G342" s="23" t="n"/>
      <x:c r="H342" s="7" t="n"/>
      <x:c r="I342" s="23" t="n"/>
      <x:c r="J342" s="23" t="n"/>
      <x:c r="K342" s="8" t="n"/>
      <x:c r="L342" s="8" t="n"/>
      <x:c r="M342" s="23" t="n"/>
      <x:c r="N342" s="23" t="n"/>
      <x:c r="O342" s="23" t="n"/>
      <x:c r="P342" s="23" t="n"/>
    </x:row>
    <x:row r="343">
      <x:c r="A343" s="23" t="n"/>
      <x:c r="B343" s="23" t="n"/>
      <x:c r="C343" s="6" t="n"/>
      <x:c r="D343" s="23" t="n"/>
      <x:c r="E343" s="23" t="n"/>
      <x:c r="F343" s="23" t="n"/>
      <x:c r="G343" s="23" t="n"/>
      <x:c r="H343" s="7" t="n"/>
      <x:c r="I343" s="23" t="n"/>
      <x:c r="J343" s="23" t="n"/>
      <x:c r="K343" s="8" t="n"/>
      <x:c r="L343" s="8" t="n"/>
      <x:c r="M343" s="23" t="n"/>
      <x:c r="N343" s="23" t="n"/>
      <x:c r="O343" s="23" t="n"/>
      <x:c r="P343" s="23" t="n"/>
    </x:row>
    <x:row r="344">
      <x:c r="A344" s="23" t="n"/>
      <x:c r="B344" s="23" t="n"/>
      <x:c r="C344" s="6" t="n"/>
      <x:c r="D344" s="23" t="n"/>
      <x:c r="E344" s="23" t="n"/>
      <x:c r="F344" s="23" t="n"/>
      <x:c r="G344" s="23" t="n"/>
      <x:c r="H344" s="7" t="n"/>
      <x:c r="I344" s="23" t="n"/>
      <x:c r="J344" s="23" t="n"/>
      <x:c r="K344" s="8" t="n"/>
      <x:c r="L344" s="8" t="n"/>
      <x:c r="M344" s="23" t="n"/>
      <x:c r="N344" s="23" t="n"/>
      <x:c r="O344" s="23" t="n"/>
      <x:c r="P344" s="23" t="n"/>
    </x:row>
    <x:row r="345">
      <x:c r="A345" s="23" t="n"/>
      <x:c r="B345" s="23" t="n"/>
      <x:c r="C345" s="6" t="n"/>
      <x:c r="D345" s="23" t="n"/>
      <x:c r="E345" s="23" t="n"/>
      <x:c r="F345" s="23" t="n"/>
      <x:c r="G345" s="23" t="n"/>
      <x:c r="H345" s="7" t="n"/>
      <x:c r="I345" s="23" t="n"/>
      <x:c r="J345" s="23" t="n"/>
      <x:c r="K345" s="8" t="n"/>
      <x:c r="L345" s="8" t="n"/>
      <x:c r="M345" s="23" t="n"/>
      <x:c r="N345" s="23" t="n"/>
      <x:c r="O345" s="23" t="n"/>
      <x:c r="P345" s="23" t="n"/>
    </x:row>
    <x:row r="346">
      <x:c r="A346" s="23" t="n"/>
      <x:c r="B346" s="23" t="n"/>
      <x:c r="C346" s="6" t="n"/>
      <x:c r="D346" s="23" t="n"/>
      <x:c r="E346" s="23" t="n"/>
      <x:c r="F346" s="23" t="n"/>
      <x:c r="G346" s="23" t="n"/>
      <x:c r="H346" s="7" t="n"/>
      <x:c r="I346" s="23" t="n"/>
      <x:c r="J346" s="23" t="n"/>
      <x:c r="K346" s="8" t="n"/>
      <x:c r="L346" s="8" t="n"/>
      <x:c r="M346" s="23" t="n"/>
      <x:c r="N346" s="23" t="n"/>
      <x:c r="O346" s="23" t="n"/>
      <x:c r="P346" s="23" t="n"/>
    </x:row>
    <x:row r="347">
      <x:c r="A347" s="23" t="n"/>
      <x:c r="B347" s="23" t="n"/>
      <x:c r="C347" s="6" t="n"/>
      <x:c r="D347" s="23" t="n"/>
      <x:c r="E347" s="23" t="n"/>
      <x:c r="F347" s="23" t="n"/>
      <x:c r="G347" s="23" t="n"/>
      <x:c r="H347" s="7" t="n"/>
      <x:c r="I347" s="23" t="n"/>
      <x:c r="J347" s="23" t="n"/>
      <x:c r="K347" s="8" t="n"/>
      <x:c r="L347" s="8" t="n"/>
      <x:c r="M347" s="23" t="n"/>
      <x:c r="N347" s="23" t="n"/>
      <x:c r="O347" s="23" t="n"/>
      <x:c r="P347" s="23" t="n"/>
    </x:row>
    <x:row r="348">
      <x:c r="A348" s="23" t="n"/>
      <x:c r="B348" s="23" t="n"/>
      <x:c r="C348" s="6" t="n"/>
      <x:c r="D348" s="23" t="n"/>
      <x:c r="E348" s="23" t="n"/>
      <x:c r="F348" s="23" t="n"/>
      <x:c r="G348" s="23" t="n"/>
      <x:c r="H348" s="7" t="n"/>
      <x:c r="I348" s="23" t="n"/>
      <x:c r="J348" s="23" t="n"/>
      <x:c r="K348" s="8" t="n"/>
      <x:c r="L348" s="8" t="n"/>
      <x:c r="M348" s="23" t="n"/>
      <x:c r="N348" s="23" t="n"/>
      <x:c r="O348" s="23" t="n"/>
      <x:c r="P348" s="23" t="n"/>
    </x:row>
    <x:row r="349">
      <x:c r="A349" s="23" t="n"/>
      <x:c r="B349" s="23" t="n"/>
      <x:c r="C349" s="6" t="n"/>
      <x:c r="D349" s="23" t="n"/>
      <x:c r="E349" s="23" t="n"/>
      <x:c r="F349" s="23" t="n"/>
      <x:c r="G349" s="23" t="n"/>
      <x:c r="H349" s="7" t="n"/>
      <x:c r="I349" s="23" t="n"/>
      <x:c r="J349" s="23" t="n"/>
      <x:c r="K349" s="8" t="n"/>
      <x:c r="L349" s="8" t="n"/>
      <x:c r="M349" s="23" t="n"/>
      <x:c r="N349" s="23" t="n"/>
      <x:c r="O349" s="23" t="n"/>
      <x:c r="P349" s="23" t="n"/>
    </x:row>
    <x:row r="350">
      <x:c r="A350" s="23" t="n"/>
      <x:c r="B350" s="23" t="n"/>
      <x:c r="C350" s="6" t="n"/>
      <x:c r="D350" s="23" t="n"/>
      <x:c r="E350" s="23" t="n"/>
      <x:c r="F350" s="23" t="n"/>
      <x:c r="G350" s="23" t="n"/>
      <x:c r="H350" s="7" t="n"/>
      <x:c r="I350" s="23" t="n"/>
      <x:c r="J350" s="23" t="n"/>
      <x:c r="K350" s="8" t="n"/>
      <x:c r="L350" s="8" t="n"/>
      <x:c r="M350" s="23" t="n"/>
      <x:c r="N350" s="23" t="n"/>
      <x:c r="O350" s="23" t="n"/>
      <x:c r="P350" s="23" t="n"/>
    </x:row>
    <x:row r="351">
      <x:c r="A351" s="23" t="n"/>
      <x:c r="B351" s="23" t="n"/>
      <x:c r="C351" s="6" t="n"/>
      <x:c r="D351" s="23" t="n"/>
      <x:c r="E351" s="23" t="n"/>
      <x:c r="F351" s="23" t="n"/>
      <x:c r="G351" s="23" t="n"/>
      <x:c r="H351" s="7" t="n"/>
      <x:c r="I351" s="23" t="n"/>
      <x:c r="J351" s="23" t="n"/>
      <x:c r="K351" s="8" t="n"/>
      <x:c r="L351" s="8" t="n"/>
      <x:c r="M351" s="23" t="n"/>
      <x:c r="N351" s="23" t="n"/>
      <x:c r="O351" s="23" t="n"/>
      <x:c r="P351" s="23" t="n"/>
    </x:row>
    <x:row r="352">
      <x:c r="A352" s="23" t="n"/>
      <x:c r="B352" s="23" t="n"/>
      <x:c r="C352" s="6" t="n"/>
      <x:c r="D352" s="23" t="n"/>
      <x:c r="E352" s="23" t="n"/>
      <x:c r="F352" s="23" t="n"/>
      <x:c r="G352" s="23" t="n"/>
      <x:c r="H352" s="7" t="n"/>
      <x:c r="I352" s="23" t="n"/>
      <x:c r="J352" s="23" t="n"/>
      <x:c r="K352" s="8" t="n"/>
      <x:c r="L352" s="8" t="n"/>
      <x:c r="M352" s="23" t="n"/>
      <x:c r="N352" s="23" t="n"/>
      <x:c r="O352" s="23" t="n"/>
      <x:c r="P352" s="23" t="n"/>
    </x:row>
    <x:row r="353">
      <x:c r="A353" s="23" t="n"/>
      <x:c r="B353" s="23" t="n"/>
      <x:c r="C353" s="6" t="n"/>
      <x:c r="D353" s="23" t="n"/>
      <x:c r="E353" s="23" t="n"/>
      <x:c r="F353" s="23" t="n"/>
      <x:c r="G353" s="23" t="n"/>
      <x:c r="H353" s="7" t="n"/>
      <x:c r="I353" s="23" t="n"/>
      <x:c r="J353" s="23" t="n"/>
      <x:c r="K353" s="8" t="n"/>
      <x:c r="L353" s="8" t="n"/>
      <x:c r="M353" s="23" t="n"/>
      <x:c r="N353" s="23" t="n"/>
      <x:c r="O353" s="23" t="n"/>
      <x:c r="P353" s="23" t="n"/>
    </x:row>
    <x:row r="354">
      <x:c r="A354" s="23" t="n"/>
      <x:c r="B354" s="23" t="n"/>
      <x:c r="C354" s="6" t="n"/>
      <x:c r="D354" s="23" t="n"/>
      <x:c r="E354" s="23" t="n"/>
      <x:c r="F354" s="23" t="n"/>
      <x:c r="G354" s="23" t="n"/>
      <x:c r="H354" s="7" t="n"/>
      <x:c r="I354" s="23" t="n"/>
      <x:c r="J354" s="23" t="n"/>
      <x:c r="K354" s="8" t="n"/>
      <x:c r="L354" s="8" t="n"/>
      <x:c r="M354" s="23" t="n"/>
      <x:c r="N354" s="23" t="n"/>
      <x:c r="O354" s="23" t="n"/>
      <x:c r="P354" s="23" t="n"/>
    </x:row>
    <x:row r="355">
      <x:c r="A355" s="23" t="n"/>
      <x:c r="B355" s="23" t="n"/>
      <x:c r="C355" s="6" t="n"/>
      <x:c r="D355" s="23" t="n"/>
      <x:c r="E355" s="23" t="n"/>
      <x:c r="F355" s="23" t="n"/>
      <x:c r="G355" s="23" t="n"/>
      <x:c r="H355" s="7" t="n"/>
      <x:c r="I355" s="23" t="n"/>
      <x:c r="J355" s="23" t="n"/>
      <x:c r="K355" s="8" t="n"/>
      <x:c r="L355" s="8" t="n"/>
      <x:c r="M355" s="23" t="n"/>
      <x:c r="N355" s="23" t="n"/>
      <x:c r="O355" s="23" t="n"/>
      <x:c r="P355" s="23" t="n"/>
    </x:row>
    <x:row r="356">
      <x:c r="A356" s="23" t="n"/>
      <x:c r="B356" s="23" t="n"/>
      <x:c r="C356" s="6" t="n"/>
      <x:c r="D356" s="23" t="n"/>
      <x:c r="E356" s="23" t="n"/>
      <x:c r="F356" s="23" t="n"/>
      <x:c r="G356" s="23" t="n"/>
      <x:c r="H356" s="7" t="n"/>
      <x:c r="I356" s="23" t="n"/>
      <x:c r="J356" s="23" t="n"/>
      <x:c r="K356" s="8" t="n"/>
      <x:c r="L356" s="8" t="n"/>
      <x:c r="M356" s="23" t="n"/>
      <x:c r="N356" s="23" t="n"/>
      <x:c r="O356" s="23" t="n"/>
      <x:c r="P356" s="23" t="n"/>
    </x:row>
    <x:row r="357">
      <x:c r="A357" s="23" t="n"/>
      <x:c r="B357" s="23" t="n"/>
      <x:c r="C357" s="6" t="n"/>
      <x:c r="D357" s="23" t="n"/>
      <x:c r="E357" s="23" t="n"/>
      <x:c r="F357" s="23" t="n"/>
      <x:c r="G357" s="23" t="n"/>
      <x:c r="H357" s="7" t="n"/>
      <x:c r="I357" s="23" t="n"/>
      <x:c r="J357" s="23" t="n"/>
      <x:c r="K357" s="8" t="n"/>
      <x:c r="L357" s="8" t="n"/>
      <x:c r="M357" s="23" t="n"/>
      <x:c r="N357" s="23" t="n"/>
      <x:c r="O357" s="23" t="n"/>
      <x:c r="P357" s="23" t="n"/>
    </x:row>
    <x:row r="358">
      <x:c r="A358" s="23" t="n"/>
      <x:c r="B358" s="23" t="n"/>
      <x:c r="C358" s="6" t="n"/>
      <x:c r="D358" s="23" t="n"/>
      <x:c r="E358" s="23" t="n"/>
      <x:c r="F358" s="23" t="n"/>
      <x:c r="G358" s="23" t="n"/>
      <x:c r="H358" s="7" t="n"/>
      <x:c r="I358" s="23" t="n"/>
      <x:c r="J358" s="23" t="n"/>
      <x:c r="K358" s="8" t="n"/>
      <x:c r="L358" s="8" t="n"/>
      <x:c r="M358" s="23" t="n"/>
      <x:c r="N358" s="23" t="n"/>
      <x:c r="O358" s="23" t="n"/>
      <x:c r="P358" s="23" t="n"/>
    </x:row>
    <x:row r="359">
      <x:c r="A359" s="23" t="n"/>
      <x:c r="B359" s="23" t="n"/>
      <x:c r="C359" s="6" t="n"/>
      <x:c r="D359" s="23" t="n"/>
      <x:c r="E359" s="23" t="n"/>
      <x:c r="F359" s="23" t="n"/>
      <x:c r="G359" s="23" t="n"/>
      <x:c r="H359" s="7" t="n"/>
      <x:c r="I359" s="23" t="n"/>
      <x:c r="J359" s="23" t="n"/>
      <x:c r="K359" s="8" t="n"/>
      <x:c r="L359" s="8" t="n"/>
      <x:c r="M359" s="23" t="n"/>
      <x:c r="N359" s="23" t="n"/>
      <x:c r="O359" s="23" t="n"/>
      <x:c r="P359" s="23" t="n"/>
    </x:row>
    <x:row r="360">
      <x:c r="A360" s="23" t="n"/>
      <x:c r="B360" s="23" t="n"/>
      <x:c r="C360" s="6" t="n"/>
      <x:c r="D360" s="23" t="n"/>
      <x:c r="E360" s="23" t="n"/>
      <x:c r="F360" s="23" t="n"/>
      <x:c r="G360" s="23" t="n"/>
      <x:c r="H360" s="7" t="n"/>
      <x:c r="I360" s="23" t="n"/>
      <x:c r="J360" s="23" t="n"/>
      <x:c r="K360" s="8" t="n"/>
      <x:c r="L360" s="8" t="n"/>
      <x:c r="M360" s="23" t="n"/>
      <x:c r="N360" s="23" t="n"/>
      <x:c r="O360" s="23" t="n"/>
      <x:c r="P360" s="23" t="n"/>
    </x:row>
    <x:row r="361">
      <x:c r="A361" s="23" t="n"/>
      <x:c r="B361" s="23" t="n"/>
      <x:c r="C361" s="6" t="n"/>
      <x:c r="D361" s="23" t="n"/>
      <x:c r="E361" s="23" t="n"/>
      <x:c r="F361" s="23" t="n"/>
      <x:c r="G361" s="23" t="n"/>
      <x:c r="H361" s="7" t="n"/>
      <x:c r="I361" s="23" t="n"/>
      <x:c r="J361" s="23" t="n"/>
      <x:c r="K361" s="8" t="n"/>
      <x:c r="L361" s="8" t="n"/>
      <x:c r="M361" s="23" t="n"/>
      <x:c r="N361" s="23" t="n"/>
      <x:c r="O361" s="23" t="n"/>
      <x:c r="P361" s="23" t="n"/>
    </x:row>
    <x:row r="362">
      <x:c r="A362" s="23" t="n"/>
      <x:c r="B362" s="23" t="n"/>
      <x:c r="C362" s="6" t="n"/>
      <x:c r="D362" s="23" t="n"/>
      <x:c r="E362" s="23" t="n"/>
      <x:c r="F362" s="23" t="n"/>
      <x:c r="G362" s="23" t="n"/>
      <x:c r="H362" s="7" t="n"/>
      <x:c r="I362" s="23" t="n"/>
      <x:c r="J362" s="23" t="n"/>
      <x:c r="K362" s="8" t="n"/>
      <x:c r="L362" s="8" t="n"/>
      <x:c r="M362" s="23" t="n"/>
      <x:c r="N362" s="23" t="n"/>
      <x:c r="O362" s="23" t="n"/>
      <x:c r="P362" s="23" t="n"/>
    </x:row>
    <x:row r="363">
      <x:c r="A363" s="23" t="n"/>
      <x:c r="B363" s="23" t="n"/>
      <x:c r="C363" s="6" t="n"/>
      <x:c r="D363" s="23" t="n"/>
      <x:c r="E363" s="23" t="n"/>
      <x:c r="F363" s="23" t="n"/>
      <x:c r="G363" s="23" t="n"/>
      <x:c r="H363" s="7" t="n"/>
      <x:c r="I363" s="23" t="n"/>
      <x:c r="J363" s="23" t="n"/>
      <x:c r="K363" s="8" t="n"/>
      <x:c r="L363" s="8" t="n"/>
      <x:c r="M363" s="23" t="n"/>
      <x:c r="N363" s="23" t="n"/>
      <x:c r="O363" s="23" t="n"/>
      <x:c r="P363" s="23" t="n"/>
    </x:row>
    <x:row r="364">
      <x:c r="A364" s="23" t="n"/>
      <x:c r="B364" s="23" t="n"/>
      <x:c r="C364" s="6" t="n"/>
      <x:c r="D364" s="23" t="n"/>
      <x:c r="E364" s="23" t="n"/>
      <x:c r="F364" s="23" t="n"/>
      <x:c r="G364" s="23" t="n"/>
      <x:c r="H364" s="7" t="n"/>
      <x:c r="I364" s="23" t="n"/>
      <x:c r="J364" s="23" t="n"/>
      <x:c r="K364" s="8" t="n"/>
      <x:c r="L364" s="8" t="n"/>
      <x:c r="M364" s="23" t="n"/>
      <x:c r="N364" s="23" t="n"/>
      <x:c r="O364" s="23" t="n"/>
      <x:c r="P364" s="23" t="n"/>
    </x:row>
    <x:row r="365">
      <x:c r="A365" s="23" t="n"/>
      <x:c r="B365" s="23" t="n"/>
      <x:c r="C365" s="6" t="n"/>
      <x:c r="D365" s="23" t="n"/>
      <x:c r="E365" s="23" t="n"/>
      <x:c r="F365" s="23" t="n"/>
      <x:c r="G365" s="23" t="n"/>
      <x:c r="H365" s="7" t="n"/>
      <x:c r="I365" s="23" t="n"/>
      <x:c r="J365" s="23" t="n"/>
      <x:c r="K365" s="8" t="n"/>
      <x:c r="L365" s="8" t="n"/>
      <x:c r="M365" s="23" t="n"/>
      <x:c r="N365" s="23" t="n"/>
      <x:c r="O365" s="23" t="n"/>
      <x:c r="P365" s="23" t="n"/>
    </x:row>
    <x:row r="366">
      <x:c r="A366" s="23" t="n"/>
      <x:c r="B366" s="23" t="n"/>
      <x:c r="C366" s="6" t="n"/>
      <x:c r="D366" s="23" t="n"/>
      <x:c r="E366" s="23" t="n"/>
      <x:c r="F366" s="23" t="n"/>
      <x:c r="G366" s="23" t="n"/>
      <x:c r="H366" s="7" t="n"/>
      <x:c r="I366" s="23" t="n"/>
      <x:c r="J366" s="23" t="n"/>
      <x:c r="K366" s="8" t="n"/>
      <x:c r="L366" s="8" t="n"/>
      <x:c r="M366" s="23" t="n"/>
      <x:c r="N366" s="23" t="n"/>
      <x:c r="O366" s="23" t="n"/>
      <x:c r="P366" s="23" t="n"/>
    </x:row>
    <x:row r="367">
      <x:c r="A367" s="23" t="n"/>
      <x:c r="B367" s="23" t="n"/>
      <x:c r="C367" s="6" t="n"/>
      <x:c r="D367" s="23" t="n"/>
      <x:c r="E367" s="23" t="n"/>
      <x:c r="F367" s="23" t="n"/>
      <x:c r="G367" s="23" t="n"/>
      <x:c r="H367" s="7" t="n"/>
      <x:c r="I367" s="23" t="n"/>
      <x:c r="J367" s="23" t="n"/>
      <x:c r="K367" s="8" t="n"/>
      <x:c r="L367" s="8" t="n"/>
      <x:c r="M367" s="23" t="n"/>
      <x:c r="N367" s="23" t="n"/>
      <x:c r="O367" s="23" t="n"/>
      <x:c r="P367" s="23" t="n"/>
    </x:row>
    <x:row r="368">
      <x:c r="A368" s="23" t="n"/>
      <x:c r="B368" s="23" t="n"/>
      <x:c r="C368" s="6" t="n"/>
      <x:c r="D368" s="23" t="n"/>
      <x:c r="E368" s="23" t="n"/>
      <x:c r="F368" s="23" t="n"/>
      <x:c r="G368" s="23" t="n"/>
      <x:c r="H368" s="7" t="n"/>
      <x:c r="I368" s="23" t="n"/>
      <x:c r="J368" s="23" t="n"/>
      <x:c r="K368" s="8" t="n"/>
      <x:c r="L368" s="8" t="n"/>
      <x:c r="M368" s="23" t="n"/>
      <x:c r="N368" s="23" t="n"/>
      <x:c r="O368" s="23" t="n"/>
      <x:c r="P368" s="23" t="n"/>
    </x:row>
    <x:row r="369">
      <x:c r="A369" s="23" t="n"/>
      <x:c r="B369" s="23" t="n"/>
      <x:c r="C369" s="6" t="n"/>
      <x:c r="D369" s="23" t="n"/>
      <x:c r="E369" s="23" t="n"/>
      <x:c r="F369" s="23" t="n"/>
      <x:c r="G369" s="23" t="n"/>
      <x:c r="H369" s="7" t="n"/>
      <x:c r="I369" s="23" t="n"/>
      <x:c r="J369" s="23" t="n"/>
      <x:c r="K369" s="8" t="n"/>
      <x:c r="L369" s="8" t="n"/>
      <x:c r="M369" s="23" t="n"/>
      <x:c r="N369" s="23" t="n"/>
      <x:c r="O369" s="23" t="n"/>
      <x:c r="P369" s="23" t="n"/>
    </x:row>
    <x:row r="370">
      <x:c r="A370" s="23" t="n"/>
      <x:c r="B370" s="23" t="n"/>
      <x:c r="C370" s="6" t="n"/>
      <x:c r="D370" s="23" t="n"/>
      <x:c r="E370" s="23" t="n"/>
      <x:c r="F370" s="23" t="n"/>
      <x:c r="G370" s="23" t="n"/>
      <x:c r="H370" s="7" t="n"/>
      <x:c r="I370" s="23" t="n"/>
      <x:c r="J370" s="23" t="n"/>
      <x:c r="K370" s="8" t="n"/>
      <x:c r="L370" s="8" t="n"/>
      <x:c r="M370" s="23" t="n"/>
      <x:c r="N370" s="23" t="n"/>
      <x:c r="O370" s="23" t="n"/>
      <x:c r="P370" s="23" t="n"/>
    </x:row>
    <x:row r="371">
      <x:c r="A371" s="23" t="n"/>
      <x:c r="B371" s="23" t="n"/>
      <x:c r="C371" s="6" t="n"/>
      <x:c r="D371" s="23" t="n"/>
      <x:c r="E371" s="23" t="n"/>
      <x:c r="F371" s="23" t="n"/>
      <x:c r="G371" s="23" t="n"/>
      <x:c r="H371" s="7" t="n"/>
      <x:c r="I371" s="23" t="n"/>
      <x:c r="J371" s="23" t="n"/>
      <x:c r="K371" s="8" t="n"/>
      <x:c r="L371" s="8" t="n"/>
      <x:c r="M371" s="23" t="n"/>
      <x:c r="N371" s="23" t="n"/>
      <x:c r="O371" s="23" t="n"/>
      <x:c r="P371" s="23" t="n"/>
    </x:row>
    <x:row r="372">
      <x:c r="A372" s="23" t="n"/>
      <x:c r="B372" s="23" t="n"/>
      <x:c r="C372" s="6" t="n"/>
      <x:c r="D372" s="23" t="n"/>
      <x:c r="E372" s="23" t="n"/>
      <x:c r="F372" s="23" t="n"/>
      <x:c r="G372" s="23" t="n"/>
      <x:c r="H372" s="7" t="n"/>
      <x:c r="I372" s="23" t="n"/>
      <x:c r="J372" s="23" t="n"/>
      <x:c r="K372" s="8" t="n"/>
      <x:c r="L372" s="8" t="n"/>
      <x:c r="M372" s="23" t="n"/>
      <x:c r="N372" s="23" t="n"/>
      <x:c r="O372" s="23" t="n"/>
      <x:c r="P372" s="23" t="n"/>
    </x:row>
    <x:row r="373">
      <x:c r="A373" s="23" t="n"/>
      <x:c r="B373" s="23" t="n"/>
      <x:c r="C373" s="6" t="n"/>
      <x:c r="D373" s="23" t="n"/>
      <x:c r="E373" s="23" t="n"/>
      <x:c r="F373" s="23" t="n"/>
      <x:c r="G373" s="23" t="n"/>
      <x:c r="H373" s="7" t="n"/>
      <x:c r="I373" s="23" t="n"/>
      <x:c r="J373" s="23" t="n"/>
      <x:c r="K373" s="8" t="n"/>
      <x:c r="L373" s="8" t="n"/>
      <x:c r="M373" s="23" t="n"/>
      <x:c r="N373" s="23" t="n"/>
      <x:c r="O373" s="23" t="n"/>
      <x:c r="P373" s="23" t="n"/>
    </x:row>
    <x:row r="374">
      <x:c r="A374" s="23" t="n"/>
      <x:c r="B374" s="23" t="n"/>
      <x:c r="C374" s="6" t="n"/>
      <x:c r="D374" s="23" t="n"/>
      <x:c r="E374" s="23" t="n"/>
      <x:c r="F374" s="23" t="n"/>
      <x:c r="G374" s="23" t="n"/>
      <x:c r="H374" s="7" t="n"/>
      <x:c r="I374" s="23" t="n"/>
      <x:c r="J374" s="23" t="n"/>
      <x:c r="K374" s="8" t="n"/>
      <x:c r="L374" s="8" t="n"/>
      <x:c r="M374" s="23" t="n"/>
      <x:c r="N374" s="23" t="n"/>
      <x:c r="O374" s="23" t="n"/>
      <x:c r="P374" s="23" t="n"/>
    </x:row>
    <x:row r="375">
      <x:c r="A375" s="23" t="n"/>
      <x:c r="B375" s="23" t="n"/>
      <x:c r="C375" s="6" t="n"/>
      <x:c r="D375" s="23" t="n"/>
      <x:c r="E375" s="23" t="n"/>
      <x:c r="F375" s="23" t="n"/>
      <x:c r="G375" s="23" t="n"/>
      <x:c r="H375" s="7" t="n"/>
      <x:c r="I375" s="23" t="n"/>
      <x:c r="J375" s="23" t="n"/>
      <x:c r="K375" s="8" t="n"/>
      <x:c r="L375" s="8" t="n"/>
      <x:c r="M375" s="23" t="n"/>
      <x:c r="N375" s="23" t="n"/>
      <x:c r="O375" s="23" t="n"/>
      <x:c r="P375" s="23" t="n"/>
    </x:row>
    <x:row r="376">
      <x:c r="A376" s="23" t="n"/>
      <x:c r="B376" s="23" t="n"/>
      <x:c r="C376" s="6" t="n"/>
      <x:c r="D376" s="23" t="n"/>
      <x:c r="E376" s="23" t="n"/>
      <x:c r="F376" s="23" t="n"/>
      <x:c r="G376" s="23" t="n"/>
      <x:c r="H376" s="7" t="n"/>
      <x:c r="I376" s="23" t="n"/>
      <x:c r="J376" s="23" t="n"/>
      <x:c r="K376" s="8" t="n"/>
      <x:c r="L376" s="8" t="n"/>
      <x:c r="M376" s="23" t="n"/>
      <x:c r="N376" s="23" t="n"/>
      <x:c r="O376" s="23" t="n"/>
      <x:c r="P376" s="23" t="n"/>
    </x:row>
    <x:row r="377">
      <x:c r="A377" s="23" t="n"/>
      <x:c r="B377" s="23" t="n"/>
      <x:c r="C377" s="6" t="n"/>
      <x:c r="D377" s="23" t="n"/>
      <x:c r="E377" s="23" t="n"/>
      <x:c r="F377" s="23" t="n"/>
      <x:c r="G377" s="23" t="n"/>
      <x:c r="H377" s="7" t="n"/>
      <x:c r="I377" s="23" t="n"/>
      <x:c r="J377" s="23" t="n"/>
      <x:c r="K377" s="8" t="n"/>
      <x:c r="L377" s="8" t="n"/>
      <x:c r="M377" s="23" t="n"/>
      <x:c r="N377" s="23" t="n"/>
      <x:c r="O377" s="23" t="n"/>
      <x:c r="P377" s="23" t="n"/>
    </x:row>
    <x:row r="378">
      <x:c r="A378" s="23" t="n"/>
      <x:c r="B378" s="23" t="n"/>
      <x:c r="C378" s="6" t="n"/>
      <x:c r="D378" s="23" t="n"/>
      <x:c r="E378" s="23" t="n"/>
      <x:c r="F378" s="23" t="n"/>
      <x:c r="G378" s="23" t="n"/>
      <x:c r="H378" s="7" t="n"/>
      <x:c r="I378" s="23" t="n"/>
      <x:c r="J378" s="23" t="n"/>
      <x:c r="K378" s="8" t="n"/>
      <x:c r="L378" s="8" t="n"/>
      <x:c r="M378" s="23" t="n"/>
      <x:c r="N378" s="23" t="n"/>
      <x:c r="O378" s="23" t="n"/>
      <x:c r="P378" s="23" t="n"/>
    </x:row>
    <x:row r="379">
      <x:c r="A379" s="23" t="n"/>
      <x:c r="B379" s="23" t="n"/>
      <x:c r="C379" s="6" t="n"/>
      <x:c r="D379" s="23" t="n"/>
      <x:c r="E379" s="23" t="n"/>
      <x:c r="F379" s="23" t="n"/>
      <x:c r="G379" s="23" t="n"/>
      <x:c r="H379" s="7" t="n"/>
      <x:c r="I379" s="23" t="n"/>
      <x:c r="J379" s="23" t="n"/>
      <x:c r="K379" s="8" t="n"/>
      <x:c r="L379" s="8" t="n"/>
      <x:c r="M379" s="23" t="n"/>
      <x:c r="N379" s="23" t="n"/>
      <x:c r="O379" s="23" t="n"/>
      <x:c r="P379" s="23" t="n"/>
    </x:row>
    <x:row r="380">
      <x:c r="A380" s="23" t="n"/>
      <x:c r="B380" s="23" t="n"/>
      <x:c r="C380" s="6" t="n"/>
      <x:c r="D380" s="23" t="n"/>
      <x:c r="E380" s="23" t="n"/>
      <x:c r="F380" s="23" t="n"/>
      <x:c r="G380" s="23" t="n"/>
      <x:c r="H380" s="7" t="n"/>
      <x:c r="I380" s="23" t="n"/>
      <x:c r="J380" s="23" t="n"/>
      <x:c r="K380" s="8" t="n"/>
      <x:c r="L380" s="8" t="n"/>
      <x:c r="M380" s="23" t="n"/>
      <x:c r="N380" s="23" t="n"/>
      <x:c r="O380" s="23" t="n"/>
      <x:c r="P380" s="23" t="n"/>
    </x:row>
    <x:row r="381">
      <x:c r="A381" s="23" t="n"/>
      <x:c r="B381" s="23" t="n"/>
      <x:c r="C381" s="6" t="n"/>
      <x:c r="D381" s="23" t="n"/>
      <x:c r="E381" s="23" t="n"/>
      <x:c r="F381" s="23" t="n"/>
      <x:c r="G381" s="23" t="n"/>
      <x:c r="H381" s="7" t="n"/>
      <x:c r="I381" s="23" t="n"/>
      <x:c r="J381" s="23" t="n"/>
      <x:c r="K381" s="8" t="n"/>
      <x:c r="L381" s="8" t="n"/>
      <x:c r="M381" s="23" t="n"/>
      <x:c r="N381" s="23" t="n"/>
      <x:c r="O381" s="23" t="n"/>
      <x:c r="P381" s="23" t="n"/>
    </x:row>
    <x:row r="382">
      <x:c r="A382" s="23" t="n"/>
      <x:c r="B382" s="23" t="n"/>
      <x:c r="C382" s="6" t="n"/>
      <x:c r="D382" s="23" t="n"/>
      <x:c r="E382" s="23" t="n"/>
      <x:c r="F382" s="23" t="n"/>
      <x:c r="G382" s="23" t="n"/>
      <x:c r="H382" s="7" t="n"/>
      <x:c r="I382" s="23" t="n"/>
      <x:c r="J382" s="23" t="n"/>
      <x:c r="K382" s="8" t="n"/>
      <x:c r="L382" s="8" t="n"/>
      <x:c r="M382" s="23" t="n"/>
      <x:c r="N382" s="23" t="n"/>
      <x:c r="O382" s="23" t="n"/>
      <x:c r="P382" s="23" t="n"/>
    </x:row>
    <x:row r="383">
      <x:c r="A383" s="23" t="n"/>
      <x:c r="B383" s="23" t="n"/>
      <x:c r="C383" s="6" t="n"/>
      <x:c r="D383" s="23" t="n"/>
      <x:c r="E383" s="23" t="n"/>
      <x:c r="F383" s="23" t="n"/>
      <x:c r="G383" s="23" t="n"/>
      <x:c r="H383" s="7" t="n"/>
      <x:c r="I383" s="23" t="n"/>
      <x:c r="J383" s="23" t="n"/>
      <x:c r="K383" s="8" t="n"/>
      <x:c r="L383" s="8" t="n"/>
      <x:c r="M383" s="23" t="n"/>
      <x:c r="N383" s="23" t="n"/>
      <x:c r="O383" s="23" t="n"/>
      <x:c r="P383" s="23" t="n"/>
    </x:row>
    <x:row r="384">
      <x:c r="A384" s="23" t="n"/>
      <x:c r="B384" s="23" t="n"/>
      <x:c r="C384" s="6" t="n"/>
      <x:c r="D384" s="23" t="n"/>
      <x:c r="E384" s="23" t="n"/>
      <x:c r="F384" s="23" t="n"/>
      <x:c r="G384" s="23" t="n"/>
      <x:c r="H384" s="7" t="n"/>
      <x:c r="I384" s="23" t="n"/>
      <x:c r="J384" s="23" t="n"/>
      <x:c r="K384" s="8" t="n"/>
      <x:c r="L384" s="8" t="n"/>
      <x:c r="M384" s="23" t="n"/>
      <x:c r="N384" s="23" t="n"/>
      <x:c r="O384" s="23" t="n"/>
      <x:c r="P384" s="23" t="n"/>
    </x:row>
    <x:row r="385">
      <x:c r="A385" s="23" t="n"/>
      <x:c r="B385" s="23" t="n"/>
      <x:c r="C385" s="6" t="n"/>
      <x:c r="D385" s="23" t="n"/>
      <x:c r="E385" s="23" t="n"/>
      <x:c r="F385" s="23" t="n"/>
      <x:c r="G385" s="23" t="n"/>
      <x:c r="H385" s="7" t="n"/>
      <x:c r="I385" s="23" t="n"/>
      <x:c r="J385" s="23" t="n"/>
      <x:c r="K385" s="8" t="n"/>
      <x:c r="L385" s="8" t="n"/>
      <x:c r="M385" s="23" t="n"/>
      <x:c r="N385" s="23" t="n"/>
      <x:c r="O385" s="23" t="n"/>
      <x:c r="P385" s="23" t="n"/>
    </x:row>
    <x:row r="386">
      <x:c r="A386" s="23" t="n"/>
      <x:c r="B386" s="23" t="n"/>
      <x:c r="C386" s="6" t="n"/>
      <x:c r="D386" s="23" t="n"/>
      <x:c r="E386" s="23" t="n"/>
      <x:c r="F386" s="23" t="n"/>
      <x:c r="G386" s="23" t="n"/>
      <x:c r="H386" s="7" t="n"/>
      <x:c r="I386" s="23" t="n"/>
      <x:c r="J386" s="23" t="n"/>
      <x:c r="K386" s="8" t="n"/>
      <x:c r="L386" s="8" t="n"/>
      <x:c r="M386" s="23" t="n"/>
      <x:c r="N386" s="23" t="n"/>
      <x:c r="O386" s="23" t="n"/>
      <x:c r="P386" s="23" t="n"/>
    </x:row>
    <x:row r="387">
      <x:c r="A387" s="23" t="n"/>
      <x:c r="B387" s="23" t="n"/>
      <x:c r="C387" s="6" t="n"/>
      <x:c r="D387" s="23" t="n"/>
      <x:c r="E387" s="23" t="n"/>
      <x:c r="F387" s="23" t="n"/>
      <x:c r="G387" s="23" t="n"/>
      <x:c r="H387" s="7" t="n"/>
      <x:c r="I387" s="23" t="n"/>
      <x:c r="J387" s="23" t="n"/>
      <x:c r="K387" s="8" t="n"/>
      <x:c r="L387" s="8" t="n"/>
      <x:c r="M387" s="23" t="n"/>
      <x:c r="N387" s="23" t="n"/>
      <x:c r="O387" s="23" t="n"/>
      <x:c r="P387" s="23" t="n"/>
    </x:row>
    <x:row r="388">
      <x:c r="A388" s="23" t="n"/>
      <x:c r="B388" s="23" t="n"/>
      <x:c r="C388" s="6" t="n"/>
      <x:c r="D388" s="23" t="n"/>
      <x:c r="E388" s="23" t="n"/>
      <x:c r="F388" s="23" t="n"/>
      <x:c r="G388" s="23" t="n"/>
      <x:c r="H388" s="7" t="n"/>
      <x:c r="I388" s="23" t="n"/>
      <x:c r="J388" s="23" t="n"/>
      <x:c r="K388" s="8" t="n"/>
      <x:c r="L388" s="8" t="n"/>
      <x:c r="M388" s="23" t="n"/>
      <x:c r="N388" s="23" t="n"/>
      <x:c r="O388" s="23" t="n"/>
      <x:c r="P388" s="23" t="n"/>
    </x:row>
    <x:row r="389">
      <x:c r="A389" s="23" t="n"/>
      <x:c r="B389" s="23" t="n"/>
      <x:c r="C389" s="6" t="n"/>
      <x:c r="D389" s="23" t="n"/>
      <x:c r="E389" s="23" t="n"/>
      <x:c r="F389" s="23" t="n"/>
      <x:c r="G389" s="23" t="n"/>
      <x:c r="H389" s="7" t="n"/>
      <x:c r="I389" s="23" t="n"/>
      <x:c r="J389" s="23" t="n"/>
      <x:c r="K389" s="8" t="n"/>
      <x:c r="L389" s="8" t="n"/>
      <x:c r="M389" s="23" t="n"/>
      <x:c r="N389" s="23" t="n"/>
      <x:c r="O389" s="23" t="n"/>
      <x:c r="P389" s="23" t="n"/>
    </x:row>
    <x:row r="390">
      <x:c r="A390" s="23" t="n"/>
      <x:c r="B390" s="23" t="n"/>
      <x:c r="C390" s="6" t="n"/>
      <x:c r="D390" s="23" t="n"/>
      <x:c r="E390" s="23" t="n"/>
      <x:c r="F390" s="23" t="n"/>
      <x:c r="G390" s="23" t="n"/>
      <x:c r="H390" s="7" t="n"/>
      <x:c r="I390" s="23" t="n"/>
      <x:c r="J390" s="23" t="n"/>
      <x:c r="K390" s="8" t="n"/>
      <x:c r="L390" s="8" t="n"/>
      <x:c r="M390" s="23" t="n"/>
      <x:c r="N390" s="23" t="n"/>
      <x:c r="O390" s="23" t="n"/>
      <x:c r="P390" s="23" t="n"/>
    </x:row>
    <x:row r="391">
      <x:c r="A391" s="23" t="n"/>
      <x:c r="B391" s="23" t="n"/>
      <x:c r="C391" s="6" t="n"/>
      <x:c r="D391" s="23" t="n"/>
      <x:c r="E391" s="23" t="n"/>
      <x:c r="F391" s="23" t="n"/>
      <x:c r="G391" s="23" t="n"/>
      <x:c r="H391" s="7" t="n"/>
      <x:c r="I391" s="23" t="n"/>
      <x:c r="J391" s="23" t="n"/>
      <x:c r="K391" s="8" t="n"/>
      <x:c r="L391" s="8" t="n"/>
      <x:c r="M391" s="23" t="n"/>
      <x:c r="N391" s="23" t="n"/>
      <x:c r="O391" s="23" t="n"/>
      <x:c r="P391" s="23" t="n"/>
    </x:row>
    <x:row r="392">
      <x:c r="A392" s="23" t="n"/>
      <x:c r="B392" s="23" t="n"/>
      <x:c r="C392" s="6" t="n"/>
      <x:c r="D392" s="23" t="n"/>
      <x:c r="E392" s="23" t="n"/>
      <x:c r="F392" s="23" t="n"/>
      <x:c r="G392" s="23" t="n"/>
      <x:c r="H392" s="7" t="n"/>
      <x:c r="I392" s="23" t="n"/>
      <x:c r="J392" s="23" t="n"/>
      <x:c r="K392" s="8" t="n"/>
      <x:c r="L392" s="8" t="n"/>
      <x:c r="M392" s="23" t="n"/>
      <x:c r="N392" s="23" t="n"/>
      <x:c r="O392" s="23" t="n"/>
      <x:c r="P392" s="23" t="n"/>
    </x:row>
    <x:row r="393">
      <x:c r="A393" s="23" t="n"/>
      <x:c r="B393" s="23" t="n"/>
      <x:c r="C393" s="6" t="n"/>
      <x:c r="D393" s="23" t="n"/>
      <x:c r="E393" s="23" t="n"/>
      <x:c r="F393" s="23" t="n"/>
      <x:c r="G393" s="23" t="n"/>
      <x:c r="H393" s="7" t="n"/>
      <x:c r="I393" s="23" t="n"/>
      <x:c r="J393" s="23" t="n"/>
      <x:c r="K393" s="8" t="n"/>
      <x:c r="L393" s="8" t="n"/>
      <x:c r="M393" s="23" t="n"/>
      <x:c r="N393" s="23" t="n"/>
      <x:c r="O393" s="23" t="n"/>
      <x:c r="P393" s="23" t="n"/>
    </x:row>
    <x:row r="394">
      <x:c r="A394" s="23" t="n"/>
      <x:c r="B394" s="23" t="n"/>
      <x:c r="C394" s="6" t="n"/>
      <x:c r="D394" s="23" t="n"/>
      <x:c r="E394" s="23" t="n"/>
      <x:c r="F394" s="23" t="n"/>
      <x:c r="G394" s="23" t="n"/>
      <x:c r="H394" s="7" t="n"/>
      <x:c r="I394" s="23" t="n"/>
      <x:c r="J394" s="23" t="n"/>
      <x:c r="K394" s="8" t="n"/>
      <x:c r="L394" s="8" t="n"/>
      <x:c r="M394" s="23" t="n"/>
      <x:c r="N394" s="23" t="n"/>
      <x:c r="O394" s="23" t="n"/>
      <x:c r="P394" s="23" t="n"/>
    </x:row>
    <x:row r="395">
      <x:c r="A395" s="23" t="n"/>
      <x:c r="B395" s="23" t="n"/>
      <x:c r="C395" s="6" t="n"/>
      <x:c r="D395" s="23" t="n"/>
      <x:c r="E395" s="23" t="n"/>
      <x:c r="F395" s="23" t="n"/>
      <x:c r="G395" s="23" t="n"/>
      <x:c r="H395" s="7" t="n"/>
      <x:c r="I395" s="23" t="n"/>
      <x:c r="J395" s="23" t="n"/>
      <x:c r="K395" s="8" t="n"/>
      <x:c r="L395" s="8" t="n"/>
      <x:c r="M395" s="23" t="n"/>
      <x:c r="N395" s="23" t="n"/>
      <x:c r="O395" s="23" t="n"/>
      <x:c r="P395" s="23" t="n"/>
    </x:row>
    <x:row r="396">
      <x:c r="A396" s="23" t="n"/>
      <x:c r="B396" s="23" t="n"/>
      <x:c r="C396" s="6" t="n"/>
      <x:c r="D396" s="23" t="n"/>
      <x:c r="E396" s="23" t="n"/>
      <x:c r="F396" s="23" t="n"/>
      <x:c r="G396" s="23" t="n"/>
      <x:c r="H396" s="7" t="n"/>
      <x:c r="I396" s="23" t="n"/>
      <x:c r="J396" s="23" t="n"/>
      <x:c r="K396" s="8" t="n"/>
      <x:c r="L396" s="8" t="n"/>
      <x:c r="M396" s="23" t="n"/>
      <x:c r="N396" s="23" t="n"/>
      <x:c r="O396" s="23" t="n"/>
      <x:c r="P396" s="23" t="n"/>
    </x:row>
    <x:row r="397">
      <x:c r="A397" s="23" t="n"/>
      <x:c r="B397" s="23" t="n"/>
      <x:c r="C397" s="6" t="n"/>
      <x:c r="D397" s="23" t="n"/>
      <x:c r="E397" s="23" t="n"/>
      <x:c r="F397" s="23" t="n"/>
      <x:c r="G397" s="23" t="n"/>
      <x:c r="H397" s="7" t="n"/>
      <x:c r="I397" s="23" t="n"/>
      <x:c r="J397" s="23" t="n"/>
      <x:c r="K397" s="8" t="n"/>
      <x:c r="L397" s="8" t="n"/>
      <x:c r="M397" s="23" t="n"/>
      <x:c r="N397" s="23" t="n"/>
      <x:c r="O397" s="23" t="n"/>
      <x:c r="P397" s="23" t="n"/>
    </x:row>
    <x:row r="398">
      <x:c r="A398" s="23" t="n"/>
      <x:c r="B398" s="23" t="n"/>
      <x:c r="C398" s="6" t="n"/>
      <x:c r="D398" s="23" t="n"/>
      <x:c r="E398" s="23" t="n"/>
      <x:c r="F398" s="23" t="n"/>
      <x:c r="G398" s="23" t="n"/>
      <x:c r="H398" s="7" t="n"/>
      <x:c r="I398" s="23" t="n"/>
      <x:c r="J398" s="23" t="n"/>
      <x:c r="K398" s="8" t="n"/>
      <x:c r="L398" s="8" t="n"/>
      <x:c r="M398" s="23" t="n"/>
      <x:c r="N398" s="23" t="n"/>
      <x:c r="O398" s="23" t="n"/>
      <x:c r="P398" s="23" t="n"/>
    </x:row>
    <x:row r="399">
      <x:c r="A399" s="23" t="n"/>
      <x:c r="B399" s="23" t="n"/>
      <x:c r="C399" s="6" t="n"/>
      <x:c r="D399" s="23" t="n"/>
      <x:c r="E399" s="23" t="n"/>
      <x:c r="F399" s="23" t="n"/>
      <x:c r="G399" s="23" t="n"/>
      <x:c r="H399" s="7" t="n"/>
      <x:c r="I399" s="23" t="n"/>
      <x:c r="J399" s="23" t="n"/>
      <x:c r="K399" s="8" t="n"/>
      <x:c r="L399" s="8" t="n"/>
      <x:c r="M399" s="23" t="n"/>
      <x:c r="N399" s="23" t="n"/>
      <x:c r="O399" s="23" t="n"/>
      <x:c r="P399" s="23" t="n"/>
    </x:row>
    <x:row r="400">
      <x:c r="A400" s="23" t="n"/>
      <x:c r="B400" s="23" t="n"/>
      <x:c r="C400" s="6" t="n"/>
      <x:c r="D400" s="23" t="n"/>
      <x:c r="E400" s="23" t="n"/>
      <x:c r="F400" s="23" t="n"/>
      <x:c r="G400" s="23" t="n"/>
      <x:c r="H400" s="7" t="n"/>
      <x:c r="I400" s="23" t="n"/>
      <x:c r="J400" s="23" t="n"/>
      <x:c r="K400" s="8" t="n"/>
      <x:c r="L400" s="8" t="n"/>
      <x:c r="M400" s="23" t="n"/>
      <x:c r="N400" s="23" t="n"/>
      <x:c r="O400" s="23" t="n"/>
      <x:c r="P400" s="23" t="n"/>
    </x:row>
    <x:row r="401">
      <x:c r="A401" s="23" t="n"/>
      <x:c r="B401" s="23" t="n"/>
      <x:c r="C401" s="6" t="n"/>
      <x:c r="D401" s="23" t="n"/>
      <x:c r="E401" s="23" t="n"/>
      <x:c r="F401" s="23" t="n"/>
      <x:c r="G401" s="23" t="n"/>
      <x:c r="H401" s="7" t="n"/>
      <x:c r="I401" s="23" t="n"/>
      <x:c r="J401" s="23" t="n"/>
      <x:c r="K401" s="8" t="n"/>
      <x:c r="L401" s="8" t="n"/>
      <x:c r="M401" s="23" t="n"/>
      <x:c r="N401" s="23" t="n"/>
      <x:c r="O401" s="23" t="n"/>
      <x:c r="P401" s="23" t="n"/>
    </x:row>
    <x:row r="402">
      <x:c r="A402" s="23" t="n"/>
      <x:c r="B402" s="23" t="n"/>
      <x:c r="C402" s="6" t="n"/>
      <x:c r="D402" s="23" t="n"/>
      <x:c r="E402" s="23" t="n"/>
      <x:c r="F402" s="23" t="n"/>
      <x:c r="G402" s="23" t="n"/>
      <x:c r="H402" s="7" t="n"/>
      <x:c r="I402" s="23" t="n"/>
      <x:c r="J402" s="23" t="n"/>
      <x:c r="K402" s="8" t="n"/>
      <x:c r="L402" s="8" t="n"/>
      <x:c r="M402" s="23" t="n"/>
      <x:c r="N402" s="23" t="n"/>
      <x:c r="O402" s="23" t="n"/>
      <x:c r="P402" s="23" t="n"/>
    </x:row>
    <x:row r="403">
      <x:c r="A403" s="23" t="n"/>
      <x:c r="B403" s="23" t="n"/>
      <x:c r="C403" s="6" t="n"/>
      <x:c r="D403" s="23" t="n"/>
      <x:c r="E403" s="23" t="n"/>
      <x:c r="F403" s="23" t="n"/>
      <x:c r="G403" s="23" t="n"/>
      <x:c r="H403" s="7" t="n"/>
      <x:c r="I403" s="23" t="n"/>
      <x:c r="J403" s="23" t="n"/>
      <x:c r="K403" s="8" t="n"/>
      <x:c r="L403" s="8" t="n"/>
      <x:c r="M403" s="23" t="n"/>
      <x:c r="N403" s="23" t="n"/>
      <x:c r="O403" s="23" t="n"/>
      <x:c r="P403" s="23" t="n"/>
    </x:row>
    <x:row r="404">
      <x:c r="A404" s="23" t="n"/>
      <x:c r="B404" s="23" t="n"/>
      <x:c r="C404" s="6" t="n"/>
      <x:c r="D404" s="23" t="n"/>
      <x:c r="E404" s="23" t="n"/>
      <x:c r="F404" s="23" t="n"/>
      <x:c r="G404" s="23" t="n"/>
      <x:c r="H404" s="7" t="n"/>
      <x:c r="I404" s="23" t="n"/>
      <x:c r="J404" s="23" t="n"/>
      <x:c r="K404" s="8" t="n"/>
      <x:c r="L404" s="8" t="n"/>
      <x:c r="M404" s="23" t="n"/>
      <x:c r="N404" s="23" t="n"/>
      <x:c r="O404" s="23" t="n"/>
      <x:c r="P404" s="23" t="n"/>
    </x:row>
    <x:row r="405">
      <x:c r="A405" s="23" t="n"/>
      <x:c r="B405" s="23" t="n"/>
      <x:c r="C405" s="6" t="n"/>
      <x:c r="D405" s="23" t="n"/>
      <x:c r="E405" s="23" t="n"/>
      <x:c r="F405" s="23" t="n"/>
      <x:c r="G405" s="23" t="n"/>
      <x:c r="H405" s="7" t="n"/>
      <x:c r="I405" s="23" t="n"/>
      <x:c r="J405" s="23" t="n"/>
      <x:c r="K405" s="8" t="n"/>
      <x:c r="L405" s="8" t="n"/>
      <x:c r="M405" s="23" t="n"/>
      <x:c r="N405" s="23" t="n"/>
      <x:c r="O405" s="23" t="n"/>
      <x:c r="P405" s="23" t="n"/>
    </x:row>
    <x:row r="406">
      <x:c r="A406" s="23" t="n"/>
      <x:c r="B406" s="23" t="n"/>
      <x:c r="C406" s="6" t="n"/>
      <x:c r="D406" s="23" t="n"/>
      <x:c r="E406" s="23" t="n"/>
      <x:c r="F406" s="23" t="n"/>
      <x:c r="G406" s="23" t="n"/>
      <x:c r="H406" s="7" t="n"/>
      <x:c r="I406" s="23" t="n"/>
      <x:c r="J406" s="23" t="n"/>
      <x:c r="K406" s="8" t="n"/>
      <x:c r="L406" s="8" t="n"/>
      <x:c r="M406" s="23" t="n"/>
      <x:c r="N406" s="23" t="n"/>
      <x:c r="O406" s="23" t="n"/>
      <x:c r="P406" s="23" t="n"/>
    </x:row>
    <x:row r="407">
      <x:c r="A407" s="23" t="n"/>
      <x:c r="B407" s="23" t="n"/>
      <x:c r="C407" s="6" t="n"/>
      <x:c r="D407" s="23" t="n"/>
      <x:c r="E407" s="23" t="n"/>
      <x:c r="F407" s="23" t="n"/>
      <x:c r="G407" s="23" t="n"/>
      <x:c r="H407" s="7" t="n"/>
      <x:c r="I407" s="23" t="n"/>
      <x:c r="J407" s="23" t="n"/>
      <x:c r="K407" s="8" t="n"/>
      <x:c r="L407" s="8" t="n"/>
      <x:c r="M407" s="23" t="n"/>
      <x:c r="N407" s="23" t="n"/>
      <x:c r="O407" s="23" t="n"/>
      <x:c r="P407" s="23" t="n"/>
    </x:row>
    <x:row r="408">
      <x:c r="A408" s="23" t="n"/>
      <x:c r="B408" s="23" t="n"/>
      <x:c r="C408" s="6" t="n"/>
      <x:c r="D408" s="23" t="n"/>
      <x:c r="E408" s="23" t="n"/>
      <x:c r="F408" s="23" t="n"/>
      <x:c r="G408" s="23" t="n"/>
      <x:c r="H408" s="7" t="n"/>
      <x:c r="I408" s="23" t="n"/>
      <x:c r="J408" s="23" t="n"/>
      <x:c r="K408" s="8" t="n"/>
      <x:c r="L408" s="8" t="n"/>
      <x:c r="M408" s="23" t="n"/>
      <x:c r="N408" s="23" t="n"/>
      <x:c r="O408" s="23" t="n"/>
      <x:c r="P408" s="23" t="n"/>
    </x:row>
    <x:row r="409">
      <x:c r="A409" s="23" t="n"/>
      <x:c r="B409" s="23" t="n"/>
      <x:c r="C409" s="6" t="n"/>
      <x:c r="D409" s="23" t="n"/>
      <x:c r="E409" s="23" t="n"/>
      <x:c r="F409" s="23" t="n"/>
      <x:c r="G409" s="23" t="n"/>
      <x:c r="H409" s="7" t="n"/>
      <x:c r="I409" s="23" t="n"/>
      <x:c r="J409" s="23" t="n"/>
      <x:c r="K409" s="8" t="n"/>
      <x:c r="L409" s="8" t="n"/>
      <x:c r="M409" s="23" t="n"/>
      <x:c r="N409" s="23" t="n"/>
      <x:c r="O409" s="23" t="n"/>
      <x:c r="P409" s="23" t="n"/>
    </x:row>
    <x:row r="410">
      <x:c r="A410" s="23" t="n"/>
      <x:c r="B410" s="23" t="n"/>
      <x:c r="C410" s="6" t="n"/>
      <x:c r="D410" s="23" t="n"/>
      <x:c r="E410" s="23" t="n"/>
      <x:c r="F410" s="23" t="n"/>
      <x:c r="G410" s="23" t="n"/>
      <x:c r="H410" s="7" t="n"/>
      <x:c r="I410" s="23" t="n"/>
      <x:c r="J410" s="23" t="n"/>
      <x:c r="K410" s="8" t="n"/>
      <x:c r="L410" s="8" t="n"/>
      <x:c r="M410" s="23" t="n"/>
      <x:c r="N410" s="23" t="n"/>
      <x:c r="O410" s="23" t="n"/>
      <x:c r="P410" s="23" t="n"/>
    </x:row>
    <x:row r="411">
      <x:c r="A411" s="23" t="n"/>
      <x:c r="B411" s="23" t="n"/>
      <x:c r="C411" s="6" t="n"/>
      <x:c r="D411" s="23" t="n"/>
      <x:c r="E411" s="23" t="n"/>
      <x:c r="F411" s="23" t="n"/>
      <x:c r="G411" s="23" t="n"/>
      <x:c r="H411" s="7" t="n"/>
      <x:c r="I411" s="23" t="n"/>
      <x:c r="J411" s="23" t="n"/>
      <x:c r="K411" s="8" t="n"/>
      <x:c r="L411" s="8" t="n"/>
      <x:c r="M411" s="23" t="n"/>
      <x:c r="N411" s="23" t="n"/>
      <x:c r="O411" s="23" t="n"/>
      <x:c r="P411" s="23" t="n"/>
    </x:row>
    <x:row r="412">
      <x:c r="A412" s="23" t="n"/>
      <x:c r="B412" s="23" t="n"/>
      <x:c r="C412" s="6" t="n"/>
      <x:c r="D412" s="23" t="n"/>
      <x:c r="E412" s="23" t="n"/>
      <x:c r="F412" s="23" t="n"/>
      <x:c r="G412" s="23" t="n"/>
      <x:c r="H412" s="7" t="n"/>
      <x:c r="I412" s="23" t="n"/>
      <x:c r="J412" s="23" t="n"/>
      <x:c r="K412" s="8" t="n"/>
      <x:c r="L412" s="8" t="n"/>
      <x:c r="M412" s="23" t="n"/>
      <x:c r="N412" s="23" t="n"/>
      <x:c r="O412" s="23" t="n"/>
      <x:c r="P412" s="23" t="n"/>
    </x:row>
    <x:row r="413">
      <x:c r="A413" s="23" t="n"/>
      <x:c r="B413" s="23" t="n"/>
      <x:c r="C413" s="6" t="n"/>
      <x:c r="D413" s="23" t="n"/>
      <x:c r="E413" s="23" t="n"/>
      <x:c r="F413" s="23" t="n"/>
      <x:c r="G413" s="23" t="n"/>
      <x:c r="H413" s="7" t="n"/>
      <x:c r="I413" s="23" t="n"/>
      <x:c r="J413" s="23" t="n"/>
      <x:c r="K413" s="8" t="n"/>
      <x:c r="L413" s="8" t="n"/>
      <x:c r="M413" s="23" t="n"/>
      <x:c r="N413" s="23" t="n"/>
      <x:c r="O413" s="23" t="n"/>
      <x:c r="P413" s="23" t="n"/>
    </x:row>
    <x:row r="414">
      <x:c r="A414" s="23" t="n"/>
      <x:c r="B414" s="23" t="n"/>
      <x:c r="C414" s="6" t="n"/>
      <x:c r="D414" s="23" t="n"/>
      <x:c r="E414" s="23" t="n"/>
      <x:c r="F414" s="23" t="n"/>
      <x:c r="G414" s="23" t="n"/>
      <x:c r="H414" s="7" t="n"/>
      <x:c r="I414" s="23" t="n"/>
      <x:c r="J414" s="23" t="n"/>
      <x:c r="K414" s="8" t="n"/>
      <x:c r="L414" s="8" t="n"/>
      <x:c r="M414" s="23" t="n"/>
      <x:c r="N414" s="23" t="n"/>
      <x:c r="O414" s="23" t="n"/>
      <x:c r="P414" s="23" t="n"/>
    </x:row>
    <x:row r="415">
      <x:c r="A415" s="23" t="n"/>
      <x:c r="B415" s="23" t="n"/>
      <x:c r="C415" s="6" t="n"/>
      <x:c r="D415" s="23" t="n"/>
      <x:c r="E415" s="23" t="n"/>
      <x:c r="F415" s="23" t="n"/>
      <x:c r="G415" s="23" t="n"/>
      <x:c r="H415" s="7" t="n"/>
      <x:c r="I415" s="23" t="n"/>
      <x:c r="J415" s="23" t="n"/>
      <x:c r="K415" s="8" t="n"/>
      <x:c r="L415" s="8" t="n"/>
      <x:c r="M415" s="23" t="n"/>
      <x:c r="N415" s="23" t="n"/>
      <x:c r="O415" s="23" t="n"/>
      <x:c r="P415" s="23" t="n"/>
    </x:row>
    <x:row r="416">
      <x:c r="A416" s="23" t="n"/>
      <x:c r="B416" s="23" t="n"/>
      <x:c r="C416" s="6" t="n"/>
      <x:c r="D416" s="23" t="n"/>
      <x:c r="E416" s="23" t="n"/>
      <x:c r="F416" s="23" t="n"/>
      <x:c r="G416" s="23" t="n"/>
      <x:c r="H416" s="7" t="n"/>
      <x:c r="I416" s="23" t="n"/>
      <x:c r="J416" s="23" t="n"/>
      <x:c r="K416" s="8" t="n"/>
      <x:c r="L416" s="8" t="n"/>
      <x:c r="M416" s="23" t="n"/>
      <x:c r="N416" s="23" t="n"/>
      <x:c r="O416" s="23" t="n"/>
      <x:c r="P416" s="23" t="n"/>
    </x:row>
    <x:row r="417">
      <x:c r="A417" s="23" t="n"/>
      <x:c r="B417" s="23" t="n"/>
      <x:c r="C417" s="6" t="n"/>
      <x:c r="D417" s="23" t="n"/>
      <x:c r="E417" s="23" t="n"/>
      <x:c r="F417" s="23" t="n"/>
      <x:c r="G417" s="23" t="n"/>
      <x:c r="H417" s="7" t="n"/>
      <x:c r="I417" s="23" t="n"/>
      <x:c r="J417" s="23" t="n"/>
      <x:c r="K417" s="8" t="n"/>
      <x:c r="L417" s="8" t="n"/>
      <x:c r="M417" s="23" t="n"/>
      <x:c r="N417" s="23" t="n"/>
      <x:c r="O417" s="23" t="n"/>
      <x:c r="P417" s="23" t="n"/>
    </x:row>
    <x:row r="418">
      <x:c r="A418" s="23" t="n"/>
      <x:c r="B418" s="23" t="n"/>
      <x:c r="C418" s="6" t="n"/>
      <x:c r="D418" s="23" t="n"/>
      <x:c r="E418" s="23" t="n"/>
      <x:c r="F418" s="23" t="n"/>
      <x:c r="G418" s="23" t="n"/>
      <x:c r="H418" s="7" t="n"/>
      <x:c r="I418" s="23" t="n"/>
      <x:c r="J418" s="23" t="n"/>
      <x:c r="K418" s="8" t="n"/>
      <x:c r="L418" s="8" t="n"/>
      <x:c r="M418" s="23" t="n"/>
      <x:c r="N418" s="23" t="n"/>
      <x:c r="O418" s="23" t="n"/>
      <x:c r="P418" s="23" t="n"/>
    </x:row>
    <x:row r="419">
      <x:c r="A419" s="23" t="n"/>
      <x:c r="B419" s="23" t="n"/>
      <x:c r="C419" s="6" t="n"/>
      <x:c r="D419" s="23" t="n"/>
      <x:c r="E419" s="23" t="n"/>
      <x:c r="F419" s="23" t="n"/>
      <x:c r="G419" s="23" t="n"/>
      <x:c r="H419" s="7" t="n"/>
      <x:c r="I419" s="23" t="n"/>
      <x:c r="J419" s="23" t="n"/>
      <x:c r="K419" s="8" t="n"/>
      <x:c r="L419" s="8" t="n"/>
      <x:c r="M419" s="23" t="n"/>
      <x:c r="N419" s="23" t="n"/>
      <x:c r="O419" s="23" t="n"/>
      <x:c r="P419" s="23" t="n"/>
    </x:row>
    <x:row r="420">
      <x:c r="A420" s="23" t="n"/>
      <x:c r="B420" s="23" t="n"/>
      <x:c r="C420" s="6" t="n"/>
      <x:c r="D420" s="23" t="n"/>
      <x:c r="E420" s="23" t="n"/>
      <x:c r="F420" s="23" t="n"/>
      <x:c r="G420" s="23" t="n"/>
      <x:c r="H420" s="7" t="n"/>
      <x:c r="I420" s="23" t="n"/>
      <x:c r="J420" s="23" t="n"/>
      <x:c r="K420" s="8" t="n"/>
      <x:c r="L420" s="8" t="n"/>
      <x:c r="M420" s="23" t="n"/>
      <x:c r="N420" s="23" t="n"/>
      <x:c r="O420" s="23" t="n"/>
      <x:c r="P420" s="23" t="n"/>
    </x:row>
    <x:row r="421">
      <x:c r="A421" s="23" t="n"/>
      <x:c r="B421" s="23" t="n"/>
      <x:c r="C421" s="6" t="n"/>
      <x:c r="D421" s="23" t="n"/>
      <x:c r="E421" s="23" t="n"/>
      <x:c r="F421" s="23" t="n"/>
      <x:c r="G421" s="23" t="n"/>
      <x:c r="H421" s="7" t="n"/>
      <x:c r="I421" s="23" t="n"/>
      <x:c r="J421" s="23" t="n"/>
      <x:c r="K421" s="8" t="n"/>
      <x:c r="L421" s="8" t="n"/>
      <x:c r="M421" s="23" t="n"/>
      <x:c r="N421" s="23" t="n"/>
      <x:c r="O421" s="23" t="n"/>
      <x:c r="P421" s="23" t="n"/>
    </x:row>
    <x:row r="422">
      <x:c r="A422" s="23" t="n"/>
      <x:c r="B422" s="23" t="n"/>
      <x:c r="C422" s="6" t="n"/>
      <x:c r="D422" s="23" t="n"/>
      <x:c r="E422" s="23" t="n"/>
      <x:c r="F422" s="23" t="n"/>
      <x:c r="G422" s="23" t="n"/>
      <x:c r="H422" s="7" t="n"/>
      <x:c r="I422" s="23" t="n"/>
      <x:c r="J422" s="23" t="n"/>
      <x:c r="K422" s="8" t="n"/>
      <x:c r="L422" s="8" t="n"/>
      <x:c r="M422" s="23" t="n"/>
      <x:c r="N422" s="23" t="n"/>
      <x:c r="O422" s="23" t="n"/>
      <x:c r="P422" s="23" t="n"/>
    </x:row>
    <x:row r="423">
      <x:c r="A423" s="23" t="n"/>
      <x:c r="B423" s="23" t="n"/>
      <x:c r="C423" s="6" t="n"/>
      <x:c r="D423" s="23" t="n"/>
      <x:c r="E423" s="23" t="n"/>
      <x:c r="F423" s="23" t="n"/>
      <x:c r="G423" s="23" t="n"/>
      <x:c r="H423" s="7" t="n"/>
      <x:c r="I423" s="23" t="n"/>
      <x:c r="J423" s="23" t="n"/>
      <x:c r="K423" s="8" t="n"/>
      <x:c r="L423" s="8" t="n"/>
      <x:c r="M423" s="23" t="n"/>
      <x:c r="N423" s="23" t="n"/>
      <x:c r="O423" s="23" t="n"/>
      <x:c r="P423" s="23" t="n"/>
    </x:row>
    <x:row r="424">
      <x:c r="A424" s="23" t="n"/>
      <x:c r="B424" s="23" t="n"/>
      <x:c r="C424" s="6" t="n"/>
      <x:c r="D424" s="23" t="n"/>
      <x:c r="E424" s="23" t="n"/>
      <x:c r="F424" s="23" t="n"/>
      <x:c r="G424" s="23" t="n"/>
      <x:c r="H424" s="7" t="n"/>
      <x:c r="I424" s="23" t="n"/>
      <x:c r="J424" s="23" t="n"/>
      <x:c r="K424" s="8" t="n"/>
      <x:c r="L424" s="8" t="n"/>
      <x:c r="M424" s="23" t="n"/>
      <x:c r="N424" s="23" t="n"/>
      <x:c r="O424" s="23" t="n"/>
      <x:c r="P424" s="23" t="n"/>
    </x:row>
    <x:row r="425">
      <x:c r="A425" s="23" t="n"/>
      <x:c r="B425" s="23" t="n"/>
      <x:c r="C425" s="6" t="n"/>
      <x:c r="D425" s="23" t="n"/>
      <x:c r="E425" s="23" t="n"/>
      <x:c r="F425" s="23" t="n"/>
      <x:c r="G425" s="23" t="n"/>
      <x:c r="H425" s="7" t="n"/>
      <x:c r="I425" s="23" t="n"/>
      <x:c r="J425" s="23" t="n"/>
      <x:c r="K425" s="8" t="n"/>
      <x:c r="L425" s="8" t="n"/>
      <x:c r="M425" s="23" t="n"/>
      <x:c r="N425" s="23" t="n"/>
      <x:c r="O425" s="23" t="n"/>
      <x:c r="P425" s="23" t="n"/>
    </x:row>
    <x:row r="426">
      <x:c r="A426" s="23" t="n"/>
      <x:c r="B426" s="23" t="n"/>
      <x:c r="C426" s="6" t="n"/>
      <x:c r="D426" s="23" t="n"/>
      <x:c r="E426" s="23" t="n"/>
      <x:c r="F426" s="23" t="n"/>
      <x:c r="G426" s="23" t="n"/>
      <x:c r="H426" s="7" t="n"/>
      <x:c r="I426" s="23" t="n"/>
      <x:c r="J426" s="23" t="n"/>
      <x:c r="K426" s="8" t="n"/>
      <x:c r="L426" s="8" t="n"/>
      <x:c r="M426" s="23" t="n"/>
      <x:c r="N426" s="23" t="n"/>
      <x:c r="O426" s="23" t="n"/>
      <x:c r="P426" s="23" t="n"/>
    </x:row>
    <x:row r="427">
      <x:c r="A427" s="23" t="n"/>
      <x:c r="B427" s="23" t="n"/>
      <x:c r="C427" s="6" t="n"/>
      <x:c r="D427" s="23" t="n"/>
      <x:c r="E427" s="23" t="n"/>
      <x:c r="F427" s="23" t="n"/>
      <x:c r="G427" s="23" t="n"/>
      <x:c r="H427" s="7" t="n"/>
      <x:c r="I427" s="23" t="n"/>
      <x:c r="J427" s="23" t="n"/>
      <x:c r="K427" s="8" t="n"/>
      <x:c r="L427" s="8" t="n"/>
      <x:c r="M427" s="23" t="n"/>
      <x:c r="N427" s="23" t="n"/>
      <x:c r="O427" s="23" t="n"/>
      <x:c r="P427" s="23" t="n"/>
    </x:row>
    <x:row r="428">
      <x:c r="A428" s="23" t="n"/>
      <x:c r="B428" s="23" t="n"/>
      <x:c r="C428" s="6" t="n"/>
      <x:c r="D428" s="23" t="n"/>
      <x:c r="E428" s="23" t="n"/>
      <x:c r="F428" s="23" t="n"/>
      <x:c r="G428" s="23" t="n"/>
      <x:c r="H428" s="7" t="n"/>
      <x:c r="I428" s="23" t="n"/>
      <x:c r="J428" s="23" t="n"/>
      <x:c r="K428" s="8" t="n"/>
      <x:c r="L428" s="8" t="n"/>
      <x:c r="M428" s="23" t="n"/>
      <x:c r="N428" s="23" t="n"/>
      <x:c r="O428" s="23" t="n"/>
      <x:c r="P428" s="23" t="n"/>
    </x:row>
    <x:row r="429">
      <x:c r="A429" s="23" t="n"/>
      <x:c r="B429" s="23" t="n"/>
      <x:c r="C429" s="6" t="n"/>
      <x:c r="D429" s="23" t="n"/>
      <x:c r="E429" s="23" t="n"/>
      <x:c r="F429" s="23" t="n"/>
      <x:c r="G429" s="23" t="n"/>
      <x:c r="H429" s="7" t="n"/>
      <x:c r="I429" s="23" t="n"/>
      <x:c r="J429" s="23" t="n"/>
      <x:c r="K429" s="8" t="n"/>
      <x:c r="L429" s="8" t="n"/>
      <x:c r="M429" s="23" t="n"/>
      <x:c r="N429" s="23" t="n"/>
      <x:c r="O429" s="23" t="n"/>
      <x:c r="P429" s="23" t="n"/>
    </x:row>
    <x:row r="430">
      <x:c r="A430" s="23" t="n"/>
      <x:c r="B430" s="23" t="n"/>
      <x:c r="C430" s="6" t="n"/>
      <x:c r="D430" s="23" t="n"/>
      <x:c r="E430" s="23" t="n"/>
      <x:c r="F430" s="23" t="n"/>
      <x:c r="G430" s="23" t="n"/>
      <x:c r="H430" s="7" t="n"/>
      <x:c r="I430" s="23" t="n"/>
      <x:c r="J430" s="23" t="n"/>
      <x:c r="K430" s="8" t="n"/>
      <x:c r="L430" s="8" t="n"/>
      <x:c r="M430" s="23" t="n"/>
      <x:c r="N430" s="23" t="n"/>
      <x:c r="O430" s="23" t="n"/>
      <x:c r="P430" s="23" t="n"/>
    </x:row>
    <x:row r="431">
      <x:c r="A431" s="23" t="n"/>
      <x:c r="B431" s="23" t="n"/>
      <x:c r="C431" s="6" t="n"/>
      <x:c r="D431" s="23" t="n"/>
      <x:c r="E431" s="23" t="n"/>
      <x:c r="F431" s="23" t="n"/>
      <x:c r="G431" s="23" t="n"/>
      <x:c r="H431" s="7" t="n"/>
      <x:c r="I431" s="23" t="n"/>
      <x:c r="J431" s="23" t="n"/>
      <x:c r="K431" s="8" t="n"/>
      <x:c r="L431" s="8" t="n"/>
      <x:c r="M431" s="23" t="n"/>
      <x:c r="N431" s="23" t="n"/>
      <x:c r="O431" s="23" t="n"/>
      <x:c r="P431" s="23" t="n"/>
    </x:row>
    <x:row r="432">
      <x:c r="A432" s="23" t="n"/>
      <x:c r="B432" s="23" t="n"/>
      <x:c r="C432" s="6" t="n"/>
      <x:c r="D432" s="23" t="n"/>
      <x:c r="E432" s="23" t="n"/>
      <x:c r="F432" s="23" t="n"/>
      <x:c r="G432" s="23" t="n"/>
      <x:c r="H432" s="7" t="n"/>
      <x:c r="I432" s="23" t="n"/>
      <x:c r="J432" s="23" t="n"/>
      <x:c r="K432" s="8" t="n"/>
      <x:c r="L432" s="8" t="n"/>
      <x:c r="M432" s="23" t="n"/>
      <x:c r="N432" s="23" t="n"/>
      <x:c r="O432" s="23" t="n"/>
      <x:c r="P432" s="23" t="n"/>
    </x:row>
    <x:row r="433">
      <x:c r="A433" s="23" t="n"/>
      <x:c r="B433" s="23" t="n"/>
      <x:c r="C433" s="6" t="n"/>
      <x:c r="D433" s="23" t="n"/>
      <x:c r="E433" s="23" t="n"/>
      <x:c r="F433" s="23" t="n"/>
      <x:c r="G433" s="23" t="n"/>
      <x:c r="H433" s="7" t="n"/>
      <x:c r="I433" s="23" t="n"/>
      <x:c r="J433" s="23" t="n"/>
      <x:c r="K433" s="8" t="n"/>
      <x:c r="L433" s="8" t="n"/>
      <x:c r="M433" s="23" t="n"/>
      <x:c r="N433" s="23" t="n"/>
      <x:c r="O433" s="23" t="n"/>
      <x:c r="P433" s="23" t="n"/>
    </x:row>
    <x:row r="434">
      <x:c r="A434" s="23" t="n"/>
      <x:c r="B434" s="23" t="n"/>
      <x:c r="C434" s="6" t="n"/>
      <x:c r="D434" s="23" t="n"/>
      <x:c r="E434" s="23" t="n"/>
      <x:c r="F434" s="23" t="n"/>
      <x:c r="G434" s="23" t="n"/>
      <x:c r="H434" s="7" t="n"/>
      <x:c r="I434" s="23" t="n"/>
      <x:c r="J434" s="23" t="n"/>
      <x:c r="K434" s="8" t="n"/>
      <x:c r="L434" s="8" t="n"/>
      <x:c r="M434" s="23" t="n"/>
      <x:c r="N434" s="23" t="n"/>
      <x:c r="O434" s="23" t="n"/>
      <x:c r="P434" s="23" t="n"/>
    </x:row>
    <x:row r="435">
      <x:c r="A435" s="23" t="n"/>
      <x:c r="B435" s="23" t="n"/>
      <x:c r="C435" s="6" t="n"/>
      <x:c r="D435" s="23" t="n"/>
      <x:c r="E435" s="23" t="n"/>
      <x:c r="F435" s="23" t="n"/>
      <x:c r="G435" s="23" t="n"/>
      <x:c r="H435" s="7" t="n"/>
      <x:c r="I435" s="23" t="n"/>
      <x:c r="J435" s="23" t="n"/>
      <x:c r="K435" s="8" t="n"/>
      <x:c r="L435" s="8" t="n"/>
      <x:c r="M435" s="23" t="n"/>
      <x:c r="N435" s="23" t="n"/>
      <x:c r="O435" s="23" t="n"/>
      <x:c r="P435" s="23" t="n"/>
    </x:row>
    <x:row r="436">
      <x:c r="A436" s="23" t="n"/>
      <x:c r="B436" s="23" t="n"/>
      <x:c r="C436" s="6" t="n"/>
      <x:c r="D436" s="23" t="n"/>
      <x:c r="E436" s="23" t="n"/>
      <x:c r="F436" s="23" t="n"/>
      <x:c r="G436" s="23" t="n"/>
      <x:c r="H436" s="7" t="n"/>
      <x:c r="I436" s="23" t="n"/>
      <x:c r="J436" s="23" t="n"/>
      <x:c r="K436" s="8" t="n"/>
      <x:c r="L436" s="8" t="n"/>
      <x:c r="M436" s="23" t="n"/>
      <x:c r="N436" s="23" t="n"/>
      <x:c r="O436" s="23" t="n"/>
      <x:c r="P436" s="23" t="n"/>
    </x:row>
    <x:row r="437">
      <x:c r="A437" s="23" t="n"/>
      <x:c r="B437" s="23" t="n"/>
      <x:c r="C437" s="6" t="n"/>
      <x:c r="D437" s="23" t="n"/>
      <x:c r="E437" s="23" t="n"/>
      <x:c r="F437" s="23" t="n"/>
      <x:c r="G437" s="23" t="n"/>
      <x:c r="H437" s="7" t="n"/>
      <x:c r="I437" s="23" t="n"/>
      <x:c r="J437" s="23" t="n"/>
      <x:c r="K437" s="8" t="n"/>
      <x:c r="L437" s="8" t="n"/>
      <x:c r="M437" s="23" t="n"/>
      <x:c r="N437" s="23" t="n"/>
      <x:c r="O437" s="23" t="n"/>
      <x:c r="P437" s="23" t="n"/>
    </x:row>
    <x:row r="438">
      <x:c r="A438" s="23" t="n"/>
      <x:c r="B438" s="23" t="n"/>
      <x:c r="C438" s="6" t="n"/>
      <x:c r="D438" s="23" t="n"/>
      <x:c r="E438" s="23" t="n"/>
      <x:c r="F438" s="23" t="n"/>
      <x:c r="G438" s="23" t="n"/>
      <x:c r="H438" s="7" t="n"/>
      <x:c r="I438" s="23" t="n"/>
      <x:c r="J438" s="23" t="n"/>
      <x:c r="K438" s="8" t="n"/>
      <x:c r="L438" s="8" t="n"/>
      <x:c r="M438" s="23" t="n"/>
      <x:c r="N438" s="23" t="n"/>
      <x:c r="O438" s="23" t="n"/>
      <x:c r="P438" s="23" t="n"/>
    </x:row>
    <x:row r="439">
      <x:c r="A439" s="23" t="n"/>
      <x:c r="B439" s="23" t="n"/>
      <x:c r="C439" s="6" t="n"/>
      <x:c r="D439" s="23" t="n"/>
      <x:c r="E439" s="23" t="n"/>
      <x:c r="F439" s="23" t="n"/>
      <x:c r="G439" s="23" t="n"/>
      <x:c r="H439" s="7" t="n"/>
      <x:c r="I439" s="23" t="n"/>
      <x:c r="J439" s="23" t="n"/>
      <x:c r="K439" s="8" t="n"/>
      <x:c r="L439" s="8" t="n"/>
      <x:c r="M439" s="23" t="n"/>
      <x:c r="N439" s="23" t="n"/>
      <x:c r="O439" s="23" t="n"/>
      <x:c r="P439" s="23" t="n"/>
    </x:row>
    <x:row r="440">
      <x:c r="A440" s="23" t="n"/>
      <x:c r="B440" s="23" t="n"/>
      <x:c r="C440" s="6" t="n"/>
      <x:c r="D440" s="23" t="n"/>
      <x:c r="E440" s="23" t="n"/>
      <x:c r="F440" s="23" t="n"/>
      <x:c r="G440" s="23" t="n"/>
      <x:c r="H440" s="7" t="n"/>
      <x:c r="I440" s="23" t="n"/>
      <x:c r="J440" s="23" t="n"/>
      <x:c r="K440" s="8" t="n"/>
      <x:c r="L440" s="8" t="n"/>
      <x:c r="M440" s="23" t="n"/>
      <x:c r="N440" s="23" t="n"/>
      <x:c r="O440" s="23" t="n"/>
      <x:c r="P440" s="23" t="n"/>
    </x:row>
    <x:row r="441">
      <x:c r="A441" s="23" t="n"/>
      <x:c r="B441" s="23" t="n"/>
      <x:c r="C441" s="6" t="n"/>
      <x:c r="D441" s="23" t="n"/>
      <x:c r="E441" s="23" t="n"/>
      <x:c r="F441" s="23" t="n"/>
      <x:c r="G441" s="23" t="n"/>
      <x:c r="H441" s="7" t="n"/>
      <x:c r="I441" s="23" t="n"/>
      <x:c r="J441" s="23" t="n"/>
      <x:c r="K441" s="8" t="n"/>
      <x:c r="L441" s="8" t="n"/>
      <x:c r="M441" s="23" t="n"/>
      <x:c r="N441" s="23" t="n"/>
      <x:c r="O441" s="23" t="n"/>
      <x:c r="P441" s="23" t="n"/>
    </x:row>
    <x:row r="442">
      <x:c r="A442" s="23" t="n"/>
      <x:c r="B442" s="23" t="n"/>
      <x:c r="C442" s="6" t="n"/>
      <x:c r="D442" s="23" t="n"/>
      <x:c r="E442" s="23" t="n"/>
      <x:c r="F442" s="23" t="n"/>
      <x:c r="G442" s="23" t="n"/>
      <x:c r="H442" s="7" t="n"/>
      <x:c r="I442" s="23" t="n"/>
      <x:c r="J442" s="23" t="n"/>
      <x:c r="K442" s="8" t="n"/>
      <x:c r="L442" s="8" t="n"/>
      <x:c r="M442" s="23" t="n"/>
      <x:c r="N442" s="23" t="n"/>
      <x:c r="O442" s="23" t="n"/>
      <x:c r="P442" s="23" t="n"/>
    </x:row>
    <x:row r="443">
      <x:c r="A443" s="23" t="n"/>
      <x:c r="B443" s="23" t="n"/>
      <x:c r="C443" s="6" t="n"/>
      <x:c r="D443" s="23" t="n"/>
      <x:c r="E443" s="23" t="n"/>
      <x:c r="F443" s="23" t="n"/>
      <x:c r="G443" s="23" t="n"/>
      <x:c r="H443" s="7" t="n"/>
      <x:c r="I443" s="23" t="n"/>
      <x:c r="J443" s="23" t="n"/>
      <x:c r="K443" s="8" t="n"/>
      <x:c r="L443" s="8" t="n"/>
      <x:c r="M443" s="23" t="n"/>
      <x:c r="N443" s="23" t="n"/>
      <x:c r="O443" s="23" t="n"/>
      <x:c r="P443" s="23" t="n"/>
    </x:row>
    <x:row r="444">
      <x:c r="A444" s="23" t="n"/>
      <x:c r="B444" s="23" t="n"/>
      <x:c r="C444" s="6" t="n"/>
      <x:c r="D444" s="23" t="n"/>
      <x:c r="E444" s="23" t="n"/>
      <x:c r="F444" s="23" t="n"/>
      <x:c r="G444" s="23" t="n"/>
      <x:c r="H444" s="7" t="n"/>
      <x:c r="I444" s="23" t="n"/>
      <x:c r="J444" s="23" t="n"/>
      <x:c r="K444" s="8" t="n"/>
      <x:c r="L444" s="8" t="n"/>
      <x:c r="M444" s="23" t="n"/>
      <x:c r="N444" s="23" t="n"/>
      <x:c r="O444" s="23" t="n"/>
      <x:c r="P444" s="23" t="n"/>
    </x:row>
    <x:row r="445">
      <x:c r="A445" s="23" t="n"/>
      <x:c r="B445" s="23" t="n"/>
      <x:c r="C445" s="6" t="n"/>
      <x:c r="D445" s="23" t="n"/>
      <x:c r="E445" s="23" t="n"/>
      <x:c r="F445" s="23" t="n"/>
      <x:c r="G445" s="23" t="n"/>
      <x:c r="H445" s="7" t="n"/>
      <x:c r="I445" s="23" t="n"/>
      <x:c r="J445" s="23" t="n"/>
      <x:c r="K445" s="8" t="n"/>
      <x:c r="L445" s="8" t="n"/>
      <x:c r="M445" s="23" t="n"/>
      <x:c r="N445" s="23" t="n"/>
      <x:c r="O445" s="23" t="n"/>
      <x:c r="P445" s="23" t="n"/>
    </x:row>
    <x:row r="446">
      <x:c r="A446" s="23" t="n"/>
      <x:c r="B446" s="23" t="n"/>
      <x:c r="C446" s="6" t="n"/>
      <x:c r="D446" s="23" t="n"/>
      <x:c r="E446" s="23" t="n"/>
      <x:c r="F446" s="23" t="n"/>
      <x:c r="G446" s="23" t="n"/>
      <x:c r="H446" s="7" t="n"/>
      <x:c r="I446" s="23" t="n"/>
      <x:c r="J446" s="23" t="n"/>
      <x:c r="K446" s="8" t="n"/>
      <x:c r="L446" s="8" t="n"/>
      <x:c r="M446" s="23" t="n"/>
      <x:c r="N446" s="23" t="n"/>
      <x:c r="O446" s="23" t="n"/>
      <x:c r="P446" s="23" t="n"/>
    </x:row>
    <x:row r="447">
      <x:c r="A447" s="23" t="n"/>
      <x:c r="B447" s="23" t="n"/>
      <x:c r="C447" s="6" t="n"/>
      <x:c r="D447" s="23" t="n"/>
      <x:c r="E447" s="23" t="n"/>
      <x:c r="F447" s="23" t="n"/>
      <x:c r="G447" s="23" t="n"/>
      <x:c r="H447" s="7" t="n"/>
      <x:c r="I447" s="23" t="n"/>
      <x:c r="J447" s="23" t="n"/>
      <x:c r="K447" s="8" t="n"/>
      <x:c r="L447" s="8" t="n"/>
      <x:c r="M447" s="23" t="n"/>
      <x:c r="N447" s="23" t="n"/>
      <x:c r="O447" s="23" t="n"/>
      <x:c r="P447" s="23" t="n"/>
    </x:row>
    <x:row r="448">
      <x:c r="A448" s="23" t="n"/>
      <x:c r="B448" s="23" t="n"/>
      <x:c r="C448" s="6" t="n"/>
      <x:c r="D448" s="23" t="n"/>
      <x:c r="E448" s="23" t="n"/>
      <x:c r="F448" s="23" t="n"/>
      <x:c r="G448" s="23" t="n"/>
      <x:c r="H448" s="7" t="n"/>
      <x:c r="I448" s="23" t="n"/>
      <x:c r="J448" s="23" t="n"/>
      <x:c r="K448" s="8" t="n"/>
      <x:c r="L448" s="8" t="n"/>
      <x:c r="M448" s="23" t="n"/>
      <x:c r="N448" s="23" t="n"/>
      <x:c r="O448" s="23" t="n"/>
      <x:c r="P448" s="23" t="n"/>
    </x:row>
    <x:row r="449">
      <x:c r="A449" s="23" t="n"/>
      <x:c r="B449" s="23" t="n"/>
      <x:c r="C449" s="6" t="n"/>
      <x:c r="D449" s="23" t="n"/>
      <x:c r="E449" s="23" t="n"/>
      <x:c r="F449" s="23" t="n"/>
      <x:c r="G449" s="23" t="n"/>
      <x:c r="H449" s="7" t="n"/>
      <x:c r="I449" s="23" t="n"/>
      <x:c r="J449" s="23" t="n"/>
      <x:c r="K449" s="8" t="n"/>
      <x:c r="L449" s="8" t="n"/>
      <x:c r="M449" s="23" t="n"/>
      <x:c r="N449" s="23" t="n"/>
      <x:c r="O449" s="23" t="n"/>
      <x:c r="P449" s="23" t="n"/>
    </x:row>
    <x:row r="450">
      <x:c r="A450" s="23" t="n"/>
      <x:c r="B450" s="23" t="n"/>
      <x:c r="C450" s="6" t="n"/>
      <x:c r="D450" s="23" t="n"/>
      <x:c r="E450" s="23" t="n"/>
      <x:c r="F450" s="23" t="n"/>
      <x:c r="G450" s="23" t="n"/>
      <x:c r="H450" s="7" t="n"/>
      <x:c r="I450" s="23" t="n"/>
      <x:c r="J450" s="23" t="n"/>
      <x:c r="K450" s="8" t="n"/>
      <x:c r="L450" s="8" t="n"/>
      <x:c r="M450" s="23" t="n"/>
      <x:c r="N450" s="23" t="n"/>
      <x:c r="O450" s="23" t="n"/>
      <x:c r="P450" s="23" t="n"/>
    </x:row>
    <x:row r="451">
      <x:c r="A451" s="23" t="n"/>
      <x:c r="B451" s="23" t="n"/>
      <x:c r="C451" s="6" t="n"/>
      <x:c r="D451" s="23" t="n"/>
      <x:c r="E451" s="23" t="n"/>
      <x:c r="F451" s="23" t="n"/>
      <x:c r="G451" s="23" t="n"/>
      <x:c r="H451" s="7" t="n"/>
      <x:c r="I451" s="23" t="n"/>
      <x:c r="J451" s="23" t="n"/>
      <x:c r="K451" s="8" t="n"/>
      <x:c r="L451" s="8" t="n"/>
      <x:c r="M451" s="23" t="n"/>
      <x:c r="N451" s="23" t="n"/>
      <x:c r="O451" s="23" t="n"/>
      <x:c r="P451" s="23" t="n"/>
    </x:row>
    <x:row r="452">
      <x:c r="A452" s="23" t="n"/>
      <x:c r="B452" s="23" t="n"/>
      <x:c r="C452" s="6" t="n"/>
      <x:c r="D452" s="23" t="n"/>
      <x:c r="E452" s="23" t="n"/>
      <x:c r="F452" s="23" t="n"/>
      <x:c r="G452" s="23" t="n"/>
      <x:c r="H452" s="7" t="n"/>
      <x:c r="I452" s="23" t="n"/>
      <x:c r="J452" s="23" t="n"/>
      <x:c r="K452" s="8" t="n"/>
      <x:c r="L452" s="8" t="n"/>
      <x:c r="M452" s="23" t="n"/>
      <x:c r="N452" s="23" t="n"/>
      <x:c r="O452" s="23" t="n"/>
      <x:c r="P452" s="23" t="n"/>
    </x:row>
    <x:row r="453">
      <x:c r="A453" s="23" t="n"/>
      <x:c r="B453" s="23" t="n"/>
      <x:c r="C453" s="6" t="n"/>
      <x:c r="D453" s="23" t="n"/>
      <x:c r="E453" s="23" t="n"/>
      <x:c r="F453" s="23" t="n"/>
      <x:c r="G453" s="23" t="n"/>
      <x:c r="H453" s="7" t="n"/>
      <x:c r="I453" s="23" t="n"/>
      <x:c r="J453" s="23" t="n"/>
      <x:c r="K453" s="8" t="n"/>
      <x:c r="L453" s="8" t="n"/>
      <x:c r="M453" s="23" t="n"/>
      <x:c r="N453" s="23" t="n"/>
      <x:c r="O453" s="23" t="n"/>
      <x:c r="P453" s="23" t="n"/>
    </x:row>
    <x:row r="454">
      <x:c r="A454" s="23" t="n"/>
      <x:c r="B454" s="23" t="n"/>
      <x:c r="C454" s="6" t="n"/>
      <x:c r="D454" s="23" t="n"/>
      <x:c r="E454" s="23" t="n"/>
      <x:c r="F454" s="23" t="n"/>
      <x:c r="G454" s="23" t="n"/>
      <x:c r="H454" s="7" t="n"/>
      <x:c r="I454" s="23" t="n"/>
      <x:c r="J454" s="23" t="n"/>
      <x:c r="K454" s="8" t="n"/>
      <x:c r="L454" s="8" t="n"/>
      <x:c r="M454" s="23" t="n"/>
      <x:c r="N454" s="23" t="n"/>
      <x:c r="O454" s="23" t="n"/>
      <x:c r="P454" s="23" t="n"/>
    </x:row>
    <x:row r="455">
      <x:c r="A455" s="23" t="n"/>
      <x:c r="B455" s="23" t="n"/>
      <x:c r="C455" s="6" t="n"/>
      <x:c r="D455" s="23" t="n"/>
      <x:c r="E455" s="23" t="n"/>
      <x:c r="F455" s="23" t="n"/>
      <x:c r="G455" s="23" t="n"/>
      <x:c r="H455" s="7" t="n"/>
      <x:c r="I455" s="23" t="n"/>
      <x:c r="J455" s="23" t="n"/>
      <x:c r="K455" s="8" t="n"/>
      <x:c r="L455" s="8" t="n"/>
      <x:c r="M455" s="23" t="n"/>
      <x:c r="N455" s="23" t="n"/>
      <x:c r="O455" s="23" t="n"/>
      <x:c r="P455" s="23" t="n"/>
    </x:row>
    <x:row r="456">
      <x:c r="A456" s="23" t="n"/>
      <x:c r="B456" s="23" t="n"/>
      <x:c r="C456" s="6" t="n"/>
      <x:c r="D456" s="23" t="n"/>
      <x:c r="E456" s="23" t="n"/>
      <x:c r="F456" s="23" t="n"/>
      <x:c r="G456" s="23" t="n"/>
      <x:c r="H456" s="7" t="n"/>
      <x:c r="I456" s="23" t="n"/>
      <x:c r="J456" s="23" t="n"/>
      <x:c r="K456" s="8" t="n"/>
      <x:c r="L456" s="8" t="n"/>
      <x:c r="M456" s="23" t="n"/>
      <x:c r="N456" s="23" t="n"/>
      <x:c r="O456" s="23" t="n"/>
      <x:c r="P456" s="23" t="n"/>
    </x:row>
    <x:row r="457">
      <x:c r="A457" s="23" t="n"/>
      <x:c r="B457" s="23" t="n"/>
      <x:c r="C457" s="6" t="n"/>
      <x:c r="D457" s="23" t="n"/>
      <x:c r="E457" s="23" t="n"/>
      <x:c r="F457" s="23" t="n"/>
      <x:c r="G457" s="23" t="n"/>
      <x:c r="H457" s="7" t="n"/>
      <x:c r="I457" s="23" t="n"/>
      <x:c r="J457" s="23" t="n"/>
      <x:c r="K457" s="8" t="n"/>
      <x:c r="L457" s="8" t="n"/>
      <x:c r="M457" s="23" t="n"/>
      <x:c r="N457" s="23" t="n"/>
      <x:c r="O457" s="23" t="n"/>
      <x:c r="P457" s="23" t="n"/>
    </x:row>
    <x:row r="458">
      <x:c r="A458" s="23" t="n"/>
      <x:c r="B458" s="23" t="n"/>
      <x:c r="C458" s="6" t="n"/>
      <x:c r="D458" s="23" t="n"/>
      <x:c r="E458" s="23" t="n"/>
      <x:c r="F458" s="23" t="n"/>
      <x:c r="G458" s="23" t="n"/>
      <x:c r="H458" s="7" t="n"/>
      <x:c r="I458" s="23" t="n"/>
      <x:c r="J458" s="23" t="n"/>
      <x:c r="K458" s="8" t="n"/>
      <x:c r="L458" s="8" t="n"/>
      <x:c r="M458" s="23" t="n"/>
      <x:c r="N458" s="23" t="n"/>
      <x:c r="O458" s="23" t="n"/>
      <x:c r="P458" s="23" t="n"/>
    </x:row>
    <x:row r="459">
      <x:c r="A459" s="23" t="n"/>
      <x:c r="B459" s="23" t="n"/>
      <x:c r="C459" s="6" t="n"/>
      <x:c r="D459" s="23" t="n"/>
      <x:c r="E459" s="23" t="n"/>
      <x:c r="F459" s="23" t="n"/>
      <x:c r="G459" s="23" t="n"/>
      <x:c r="H459" s="7" t="n"/>
      <x:c r="I459" s="23" t="n"/>
      <x:c r="J459" s="23" t="n"/>
      <x:c r="K459" s="8" t="n"/>
      <x:c r="L459" s="8" t="n"/>
      <x:c r="M459" s="23" t="n"/>
      <x:c r="N459" s="23" t="n"/>
      <x:c r="O459" s="23" t="n"/>
      <x:c r="P459" s="23" t="n"/>
    </x:row>
    <x:row r="460">
      <x:c r="A460" s="23" t="n"/>
      <x:c r="B460" s="23" t="n"/>
      <x:c r="C460" s="6" t="n"/>
      <x:c r="D460" s="23" t="n"/>
      <x:c r="E460" s="23" t="n"/>
      <x:c r="F460" s="23" t="n"/>
      <x:c r="G460" s="23" t="n"/>
      <x:c r="H460" s="7" t="n"/>
      <x:c r="I460" s="23" t="n"/>
      <x:c r="J460" s="23" t="n"/>
      <x:c r="K460" s="8" t="n"/>
      <x:c r="L460" s="8" t="n"/>
      <x:c r="M460" s="23" t="n"/>
      <x:c r="N460" s="23" t="n"/>
      <x:c r="O460" s="23" t="n"/>
      <x:c r="P460" s="23" t="n"/>
    </x:row>
    <x:row r="461">
      <x:c r="A461" s="23" t="n"/>
      <x:c r="B461" s="23" t="n"/>
      <x:c r="C461" s="6" t="n"/>
      <x:c r="D461" s="23" t="n"/>
      <x:c r="E461" s="23" t="n"/>
      <x:c r="F461" s="23" t="n"/>
      <x:c r="G461" s="23" t="n"/>
      <x:c r="H461" s="7" t="n"/>
      <x:c r="I461" s="23" t="n"/>
      <x:c r="J461" s="23" t="n"/>
      <x:c r="K461" s="8" t="n"/>
      <x:c r="L461" s="8" t="n"/>
      <x:c r="M461" s="23" t="n"/>
      <x:c r="N461" s="23" t="n"/>
      <x:c r="O461" s="23" t="n"/>
      <x:c r="P461" s="23" t="n"/>
    </x:row>
    <x:row r="462">
      <x:c r="A462" s="23" t="n"/>
      <x:c r="B462" s="23" t="n"/>
      <x:c r="C462" s="6" t="n"/>
      <x:c r="D462" s="23" t="n"/>
      <x:c r="E462" s="23" t="n"/>
      <x:c r="F462" s="23" t="n"/>
      <x:c r="G462" s="23" t="n"/>
      <x:c r="H462" s="7" t="n"/>
      <x:c r="I462" s="23" t="n"/>
      <x:c r="J462" s="23" t="n"/>
      <x:c r="K462" s="8" t="n"/>
      <x:c r="L462" s="8" t="n"/>
      <x:c r="M462" s="23" t="n"/>
      <x:c r="N462" s="23" t="n"/>
      <x:c r="O462" s="23" t="n"/>
      <x:c r="P462" s="23" t="n"/>
    </x:row>
    <x:row r="463">
      <x:c r="A463" s="23" t="n"/>
      <x:c r="B463" s="23" t="n"/>
      <x:c r="C463" s="6" t="n"/>
      <x:c r="D463" s="23" t="n"/>
      <x:c r="E463" s="23" t="n"/>
      <x:c r="F463" s="23" t="n"/>
      <x:c r="G463" s="23" t="n"/>
      <x:c r="H463" s="7" t="n"/>
      <x:c r="I463" s="23" t="n"/>
      <x:c r="J463" s="23" t="n"/>
      <x:c r="K463" s="8" t="n"/>
      <x:c r="L463" s="8" t="n"/>
      <x:c r="M463" s="23" t="n"/>
      <x:c r="N463" s="23" t="n"/>
      <x:c r="O463" s="23" t="n"/>
      <x:c r="P463" s="23" t="n"/>
    </x:row>
    <x:row r="464">
      <x:c r="A464" s="23" t="n"/>
      <x:c r="B464" s="23" t="n"/>
      <x:c r="C464" s="6" t="n"/>
      <x:c r="D464" s="23" t="n"/>
      <x:c r="E464" s="23" t="n"/>
      <x:c r="F464" s="23" t="n"/>
      <x:c r="G464" s="23" t="n"/>
      <x:c r="H464" s="7" t="n"/>
      <x:c r="I464" s="23" t="n"/>
      <x:c r="J464" s="23" t="n"/>
      <x:c r="K464" s="8" t="n"/>
      <x:c r="L464" s="8" t="n"/>
      <x:c r="M464" s="23" t="n"/>
      <x:c r="N464" s="23" t="n"/>
      <x:c r="O464" s="23" t="n"/>
      <x:c r="P464" s="23" t="n"/>
    </x:row>
    <x:row r="465">
      <x:c r="A465" s="23" t="n"/>
      <x:c r="B465" s="23" t="n"/>
      <x:c r="C465" s="6" t="n"/>
      <x:c r="D465" s="23" t="n"/>
      <x:c r="E465" s="23" t="n"/>
      <x:c r="F465" s="23" t="n"/>
      <x:c r="G465" s="23" t="n"/>
      <x:c r="H465" s="7" t="n"/>
      <x:c r="I465" s="23" t="n"/>
      <x:c r="J465" s="23" t="n"/>
      <x:c r="K465" s="8" t="n"/>
      <x:c r="L465" s="8" t="n"/>
      <x:c r="M465" s="23" t="n"/>
      <x:c r="N465" s="23" t="n"/>
      <x:c r="O465" s="23" t="n"/>
      <x:c r="P465" s="23" t="n"/>
    </x:row>
    <x:row r="466">
      <x:c r="A466" s="23" t="n"/>
      <x:c r="B466" s="23" t="n"/>
      <x:c r="C466" s="6" t="n"/>
      <x:c r="D466" s="23" t="n"/>
      <x:c r="E466" s="23" t="n"/>
      <x:c r="F466" s="23" t="n"/>
      <x:c r="G466" s="23" t="n"/>
      <x:c r="H466" s="7" t="n"/>
      <x:c r="I466" s="23" t="n"/>
      <x:c r="J466" s="23" t="n"/>
      <x:c r="K466" s="8" t="n"/>
      <x:c r="L466" s="8" t="n"/>
      <x:c r="M466" s="23" t="n"/>
      <x:c r="N466" s="23" t="n"/>
      <x:c r="O466" s="23" t="n"/>
      <x:c r="P466" s="23" t="n"/>
    </x:row>
    <x:row r="467">
      <x:c r="A467" s="23" t="n"/>
      <x:c r="B467" s="23" t="n"/>
      <x:c r="C467" s="6" t="n"/>
      <x:c r="D467" s="23" t="n"/>
      <x:c r="E467" s="23" t="n"/>
      <x:c r="F467" s="23" t="n"/>
      <x:c r="G467" s="23" t="n"/>
      <x:c r="H467" s="7" t="n"/>
      <x:c r="I467" s="23" t="n"/>
      <x:c r="J467" s="23" t="n"/>
      <x:c r="K467" s="8" t="n"/>
      <x:c r="L467" s="8" t="n"/>
      <x:c r="M467" s="23" t="n"/>
      <x:c r="N467" s="23" t="n"/>
      <x:c r="O467" s="23" t="n"/>
      <x:c r="P467" s="23" t="n"/>
    </x:row>
    <x:row r="468">
      <x:c r="A468" s="23" t="n"/>
      <x:c r="B468" s="23" t="n"/>
      <x:c r="C468" s="6" t="n"/>
      <x:c r="D468" s="23" t="n"/>
      <x:c r="E468" s="23" t="n"/>
      <x:c r="F468" s="23" t="n"/>
      <x:c r="G468" s="23" t="n"/>
      <x:c r="H468" s="7" t="n"/>
      <x:c r="I468" s="23" t="n"/>
      <x:c r="J468" s="23" t="n"/>
      <x:c r="K468" s="8" t="n"/>
      <x:c r="L468" s="8" t="n"/>
      <x:c r="M468" s="23" t="n"/>
      <x:c r="N468" s="23" t="n"/>
      <x:c r="O468" s="23" t="n"/>
      <x:c r="P468" s="23" t="n"/>
    </x:row>
    <x:row r="469">
      <x:c r="A469" s="23" t="n"/>
      <x:c r="B469" s="23" t="n"/>
      <x:c r="C469" s="6" t="n"/>
      <x:c r="D469" s="23" t="n"/>
      <x:c r="E469" s="23" t="n"/>
      <x:c r="F469" s="23" t="n"/>
      <x:c r="G469" s="23" t="n"/>
      <x:c r="H469" s="7" t="n"/>
      <x:c r="I469" s="23" t="n"/>
      <x:c r="J469" s="23" t="n"/>
      <x:c r="K469" s="8" t="n"/>
      <x:c r="L469" s="8" t="n"/>
      <x:c r="M469" s="23" t="n"/>
      <x:c r="N469" s="23" t="n"/>
      <x:c r="O469" s="23" t="n"/>
      <x:c r="P469" s="23" t="n"/>
    </x:row>
    <x:row r="470">
      <x:c r="A470" s="23" t="n"/>
      <x:c r="B470" s="23" t="n"/>
      <x:c r="C470" s="6" t="n"/>
      <x:c r="D470" s="23" t="n"/>
      <x:c r="E470" s="23" t="n"/>
      <x:c r="F470" s="23" t="n"/>
      <x:c r="G470" s="23" t="n"/>
      <x:c r="H470" s="7" t="n"/>
      <x:c r="I470" s="23" t="n"/>
      <x:c r="J470" s="23" t="n"/>
      <x:c r="K470" s="8" t="n"/>
      <x:c r="L470" s="8" t="n"/>
      <x:c r="M470" s="23" t="n"/>
      <x:c r="N470" s="23" t="n"/>
      <x:c r="O470" s="23" t="n"/>
      <x:c r="P470" s="23" t="n"/>
    </x:row>
    <x:row r="471">
      <x:c r="A471" s="23" t="n"/>
      <x:c r="B471" s="23" t="n"/>
      <x:c r="C471" s="6" t="n"/>
      <x:c r="D471" s="23" t="n"/>
      <x:c r="E471" s="23" t="n"/>
      <x:c r="F471" s="23" t="n"/>
      <x:c r="G471" s="23" t="n"/>
      <x:c r="H471" s="7" t="n"/>
      <x:c r="I471" s="23" t="n"/>
      <x:c r="J471" s="23" t="n"/>
      <x:c r="K471" s="8" t="n"/>
      <x:c r="L471" s="8" t="n"/>
      <x:c r="M471" s="23" t="n"/>
      <x:c r="N471" s="23" t="n"/>
      <x:c r="O471" s="23" t="n"/>
      <x:c r="P471" s="23" t="n"/>
    </x:row>
    <x:row r="472">
      <x:c r="A472" s="23" t="n"/>
      <x:c r="B472" s="23" t="n"/>
      <x:c r="C472" s="6" t="n"/>
      <x:c r="D472" s="23" t="n"/>
      <x:c r="E472" s="23" t="n"/>
      <x:c r="F472" s="23" t="n"/>
      <x:c r="G472" s="23" t="n"/>
      <x:c r="H472" s="7" t="n"/>
      <x:c r="I472" s="23" t="n"/>
      <x:c r="J472" s="23" t="n"/>
      <x:c r="K472" s="8" t="n"/>
      <x:c r="L472" s="8" t="n"/>
      <x:c r="M472" s="23" t="n"/>
      <x:c r="N472" s="23" t="n"/>
      <x:c r="O472" s="23" t="n"/>
      <x:c r="P472" s="23" t="n"/>
    </x:row>
    <x:row r="473">
      <x:c r="A473" s="23" t="n"/>
      <x:c r="B473" s="23" t="n"/>
      <x:c r="C473" s="6" t="n"/>
      <x:c r="D473" s="23" t="n"/>
      <x:c r="E473" s="23" t="n"/>
      <x:c r="F473" s="23" t="n"/>
      <x:c r="G473" s="23" t="n"/>
      <x:c r="H473" s="7" t="n"/>
      <x:c r="I473" s="23" t="n"/>
      <x:c r="J473" s="23" t="n"/>
      <x:c r="K473" s="8" t="n"/>
      <x:c r="L473" s="8" t="n"/>
      <x:c r="M473" s="23" t="n"/>
      <x:c r="N473" s="23" t="n"/>
      <x:c r="O473" s="23" t="n"/>
      <x:c r="P473" s="23" t="n"/>
    </x:row>
    <x:row r="474">
      <x:c r="A474" s="23" t="n"/>
      <x:c r="B474" s="23" t="n"/>
      <x:c r="C474" s="6" t="n"/>
      <x:c r="D474" s="23" t="n"/>
      <x:c r="E474" s="23" t="n"/>
      <x:c r="F474" s="23" t="n"/>
      <x:c r="G474" s="23" t="n"/>
      <x:c r="H474" s="7" t="n"/>
      <x:c r="I474" s="23" t="n"/>
      <x:c r="J474" s="23" t="n"/>
      <x:c r="K474" s="8" t="n"/>
      <x:c r="L474" s="8" t="n"/>
      <x:c r="M474" s="23" t="n"/>
      <x:c r="N474" s="23" t="n"/>
      <x:c r="O474" s="23" t="n"/>
      <x:c r="P474" s="23" t="n"/>
    </x:row>
    <x:row r="475">
      <x:c r="A475" s="23" t="n"/>
      <x:c r="B475" s="23" t="n"/>
      <x:c r="C475" s="6" t="n"/>
      <x:c r="D475" s="23" t="n"/>
      <x:c r="E475" s="23" t="n"/>
      <x:c r="F475" s="23" t="n"/>
      <x:c r="G475" s="23" t="n"/>
      <x:c r="H475" s="7" t="n"/>
      <x:c r="I475" s="23" t="n"/>
      <x:c r="J475" s="23" t="n"/>
      <x:c r="K475" s="8" t="n"/>
      <x:c r="L475" s="8" t="n"/>
      <x:c r="M475" s="23" t="n"/>
      <x:c r="N475" s="23" t="n"/>
      <x:c r="O475" s="23" t="n"/>
      <x:c r="P475" s="23" t="n"/>
    </x:row>
    <x:row r="476">
      <x:c r="A476" s="23" t="n"/>
      <x:c r="B476" s="23" t="n"/>
      <x:c r="C476" s="6" t="n"/>
      <x:c r="D476" s="23" t="n"/>
      <x:c r="E476" s="23" t="n"/>
      <x:c r="F476" s="23" t="n"/>
      <x:c r="G476" s="23" t="n"/>
      <x:c r="H476" s="7" t="n"/>
      <x:c r="I476" s="23" t="n"/>
      <x:c r="J476" s="23" t="n"/>
      <x:c r="K476" s="8" t="n"/>
      <x:c r="L476" s="8" t="n"/>
      <x:c r="M476" s="23" t="n"/>
      <x:c r="N476" s="23" t="n"/>
      <x:c r="O476" s="23" t="n"/>
      <x:c r="P476" s="23" t="n"/>
    </x:row>
    <x:row r="477">
      <x:c r="A477" s="23" t="n"/>
      <x:c r="B477" s="23" t="n"/>
      <x:c r="C477" s="6" t="n"/>
      <x:c r="D477" s="23" t="n"/>
      <x:c r="E477" s="23" t="n"/>
      <x:c r="F477" s="23" t="n"/>
      <x:c r="G477" s="23" t="n"/>
      <x:c r="H477" s="7" t="n"/>
      <x:c r="I477" s="23" t="n"/>
      <x:c r="J477" s="23" t="n"/>
      <x:c r="K477" s="8" t="n"/>
      <x:c r="L477" s="8" t="n"/>
      <x:c r="M477" s="23" t="n"/>
      <x:c r="N477" s="23" t="n"/>
      <x:c r="O477" s="23" t="n"/>
      <x:c r="P477" s="23" t="n"/>
    </x:row>
    <x:row r="478">
      <x:c r="A478" s="23" t="n"/>
      <x:c r="B478" s="23" t="n"/>
      <x:c r="C478" s="6" t="n"/>
      <x:c r="D478" s="23" t="n"/>
      <x:c r="E478" s="23" t="n"/>
      <x:c r="F478" s="23" t="n"/>
      <x:c r="G478" s="23" t="n"/>
      <x:c r="H478" s="7" t="n"/>
      <x:c r="I478" s="23" t="n"/>
      <x:c r="J478" s="23" t="n"/>
      <x:c r="K478" s="8" t="n"/>
      <x:c r="L478" s="8" t="n"/>
      <x:c r="M478" s="23" t="n"/>
      <x:c r="N478" s="23" t="n"/>
      <x:c r="O478" s="23" t="n"/>
      <x:c r="P478" s="23" t="n"/>
    </x:row>
    <x:row r="479">
      <x:c r="A479" s="23" t="n"/>
      <x:c r="B479" s="23" t="n"/>
      <x:c r="C479" s="6" t="n"/>
      <x:c r="D479" s="23" t="n"/>
      <x:c r="E479" s="23" t="n"/>
      <x:c r="F479" s="23" t="n"/>
      <x:c r="G479" s="23" t="n"/>
      <x:c r="H479" s="7" t="n"/>
      <x:c r="I479" s="23" t="n"/>
      <x:c r="J479" s="23" t="n"/>
      <x:c r="K479" s="8" t="n"/>
      <x:c r="L479" s="8" t="n"/>
      <x:c r="M479" s="23" t="n"/>
      <x:c r="N479" s="23" t="n"/>
      <x:c r="O479" s="23" t="n"/>
      <x:c r="P479" s="23" t="n"/>
    </x:row>
    <x:row r="480">
      <x:c r="A480" s="23" t="n"/>
      <x:c r="B480" s="23" t="n"/>
      <x:c r="C480" s="6" t="n"/>
      <x:c r="D480" s="23" t="n"/>
      <x:c r="E480" s="23" t="n"/>
      <x:c r="F480" s="23" t="n"/>
      <x:c r="G480" s="23" t="n"/>
      <x:c r="H480" s="7" t="n"/>
      <x:c r="I480" s="23" t="n"/>
      <x:c r="J480" s="23" t="n"/>
      <x:c r="K480" s="8" t="n"/>
      <x:c r="L480" s="8" t="n"/>
      <x:c r="M480" s="23" t="n"/>
      <x:c r="N480" s="23" t="n"/>
      <x:c r="O480" s="23" t="n"/>
      <x:c r="P480" s="23" t="n"/>
    </x:row>
    <x:row r="481">
      <x:c r="A481" s="23" t="n"/>
      <x:c r="B481" s="23" t="n"/>
      <x:c r="C481" s="6" t="n"/>
      <x:c r="D481" s="23" t="n"/>
      <x:c r="E481" s="23" t="n"/>
      <x:c r="F481" s="23" t="n"/>
      <x:c r="G481" s="23" t="n"/>
      <x:c r="H481" s="7" t="n"/>
      <x:c r="I481" s="23" t="n"/>
      <x:c r="J481" s="23" t="n"/>
      <x:c r="K481" s="8" t="n"/>
      <x:c r="L481" s="8" t="n"/>
      <x:c r="M481" s="23" t="n"/>
      <x:c r="N481" s="23" t="n"/>
      <x:c r="O481" s="23" t="n"/>
      <x:c r="P481" s="23" t="n"/>
    </x:row>
    <x:row r="482">
      <x:c r="A482" s="23" t="n"/>
      <x:c r="B482" s="23" t="n"/>
      <x:c r="C482" s="6" t="n"/>
      <x:c r="D482" s="23" t="n"/>
      <x:c r="E482" s="23" t="n"/>
      <x:c r="F482" s="23" t="n"/>
      <x:c r="G482" s="23" t="n"/>
      <x:c r="H482" s="7" t="n"/>
      <x:c r="I482" s="23" t="n"/>
      <x:c r="J482" s="23" t="n"/>
      <x:c r="K482" s="8" t="n"/>
      <x:c r="L482" s="8" t="n"/>
      <x:c r="M482" s="23" t="n"/>
      <x:c r="N482" s="23" t="n"/>
      <x:c r="O482" s="23" t="n"/>
      <x:c r="P482" s="23" t="n"/>
    </x:row>
    <x:row r="483">
      <x:c r="A483" s="23" t="n"/>
      <x:c r="B483" s="23" t="n"/>
      <x:c r="C483" s="6" t="n"/>
      <x:c r="D483" s="23" t="n"/>
      <x:c r="E483" s="23" t="n"/>
      <x:c r="F483" s="23" t="n"/>
      <x:c r="G483" s="23" t="n"/>
      <x:c r="H483" s="7" t="n"/>
      <x:c r="I483" s="23" t="n"/>
      <x:c r="J483" s="23" t="n"/>
      <x:c r="K483" s="8" t="n"/>
      <x:c r="L483" s="8" t="n"/>
      <x:c r="M483" s="23" t="n"/>
      <x:c r="N483" s="23" t="n"/>
      <x:c r="O483" s="23" t="n"/>
      <x:c r="P483" s="23" t="n"/>
    </x:row>
    <x:row r="484">
      <x:c r="A484" s="23" t="n"/>
      <x:c r="B484" s="23" t="n"/>
      <x:c r="C484" s="6" t="n"/>
      <x:c r="D484" s="23" t="n"/>
      <x:c r="E484" s="23" t="n"/>
      <x:c r="F484" s="23" t="n"/>
      <x:c r="G484" s="23" t="n"/>
      <x:c r="H484" s="7" t="n"/>
      <x:c r="I484" s="23" t="n"/>
      <x:c r="J484" s="23" t="n"/>
      <x:c r="K484" s="8" t="n"/>
      <x:c r="L484" s="8" t="n"/>
      <x:c r="M484" s="23" t="n"/>
      <x:c r="N484" s="23" t="n"/>
      <x:c r="O484" s="23" t="n"/>
      <x:c r="P484" s="23" t="n"/>
    </x:row>
    <x:row r="485">
      <x:c r="A485" s="23" t="n"/>
      <x:c r="B485" s="23" t="n"/>
      <x:c r="C485" s="6" t="n"/>
      <x:c r="D485" s="23" t="n"/>
      <x:c r="E485" s="23" t="n"/>
      <x:c r="F485" s="23" t="n"/>
      <x:c r="G485" s="23" t="n"/>
      <x:c r="H485" s="7" t="n"/>
      <x:c r="I485" s="23" t="n"/>
      <x:c r="J485" s="23" t="n"/>
      <x:c r="K485" s="8" t="n"/>
      <x:c r="L485" s="8" t="n"/>
      <x:c r="M485" s="23" t="n"/>
      <x:c r="N485" s="23" t="n"/>
      <x:c r="O485" s="23" t="n"/>
      <x:c r="P485" s="23" t="n"/>
    </x:row>
    <x:row r="486">
      <x:c r="A486" s="23" t="n"/>
      <x:c r="B486" s="23" t="n"/>
      <x:c r="C486" s="6" t="n"/>
      <x:c r="D486" s="23" t="n"/>
      <x:c r="E486" s="23" t="n"/>
      <x:c r="F486" s="23" t="n"/>
      <x:c r="G486" s="23" t="n"/>
      <x:c r="H486" s="7" t="n"/>
      <x:c r="I486" s="23" t="n"/>
      <x:c r="J486" s="23" t="n"/>
      <x:c r="K486" s="8" t="n"/>
      <x:c r="L486" s="8" t="n"/>
      <x:c r="M486" s="23" t="n"/>
      <x:c r="N486" s="23" t="n"/>
      <x:c r="O486" s="23" t="n"/>
      <x:c r="P486" s="23" t="n"/>
    </x:row>
    <x:row r="487">
      <x:c r="A487" s="23" t="n"/>
      <x:c r="B487" s="23" t="n"/>
      <x:c r="C487" s="6" t="n"/>
      <x:c r="D487" s="23" t="n"/>
      <x:c r="E487" s="23" t="n"/>
      <x:c r="F487" s="23" t="n"/>
      <x:c r="G487" s="23" t="n"/>
      <x:c r="H487" s="7" t="n"/>
      <x:c r="I487" s="23" t="n"/>
      <x:c r="J487" s="23" t="n"/>
      <x:c r="K487" s="8" t="n"/>
      <x:c r="L487" s="8" t="n"/>
      <x:c r="M487" s="23" t="n"/>
      <x:c r="N487" s="23" t="n"/>
      <x:c r="O487" s="23" t="n"/>
      <x:c r="P487" s="23" t="n"/>
    </x:row>
    <x:row r="488">
      <x:c r="A488" s="23" t="n"/>
      <x:c r="B488" s="23" t="n"/>
      <x:c r="C488" s="6" t="n"/>
      <x:c r="D488" s="23" t="n"/>
      <x:c r="E488" s="23" t="n"/>
      <x:c r="F488" s="23" t="n"/>
      <x:c r="G488" s="23" t="n"/>
      <x:c r="H488" s="7" t="n"/>
      <x:c r="I488" s="23" t="n"/>
      <x:c r="J488" s="23" t="n"/>
      <x:c r="K488" s="8" t="n"/>
      <x:c r="L488" s="8" t="n"/>
      <x:c r="M488" s="23" t="n"/>
      <x:c r="N488" s="23" t="n"/>
      <x:c r="O488" s="23" t="n"/>
      <x:c r="P488" s="23" t="n"/>
    </x:row>
    <x:row r="489">
      <x:c r="A489" s="23" t="n"/>
      <x:c r="B489" s="23" t="n"/>
      <x:c r="C489" s="6" t="n"/>
      <x:c r="D489" s="23" t="n"/>
      <x:c r="E489" s="23" t="n"/>
      <x:c r="F489" s="23" t="n"/>
      <x:c r="G489" s="23" t="n"/>
      <x:c r="H489" s="7" t="n"/>
      <x:c r="I489" s="23" t="n"/>
      <x:c r="J489" s="23" t="n"/>
      <x:c r="K489" s="8" t="n"/>
      <x:c r="L489" s="8" t="n"/>
      <x:c r="M489" s="23" t="n"/>
      <x:c r="N489" s="23" t="n"/>
      <x:c r="O489" s="23" t="n"/>
      <x:c r="P489" s="23" t="n"/>
    </x:row>
    <x:row r="490">
      <x:c r="A490" s="23" t="n"/>
      <x:c r="B490" s="23" t="n"/>
      <x:c r="C490" s="6" t="n"/>
      <x:c r="D490" s="23" t="n"/>
      <x:c r="E490" s="23" t="n"/>
      <x:c r="F490" s="23" t="n"/>
      <x:c r="G490" s="23" t="n"/>
      <x:c r="H490" s="7" t="n"/>
      <x:c r="I490" s="23" t="n"/>
      <x:c r="J490" s="23" t="n"/>
      <x:c r="K490" s="8" t="n"/>
      <x:c r="L490" s="8" t="n"/>
      <x:c r="M490" s="23" t="n"/>
      <x:c r="N490" s="23" t="n"/>
      <x:c r="O490" s="23" t="n"/>
      <x:c r="P490" s="23" t="n"/>
    </x:row>
    <x:row r="491">
      <x:c r="A491" s="23" t="n"/>
      <x:c r="B491" s="23" t="n"/>
      <x:c r="C491" s="6" t="n"/>
      <x:c r="D491" s="23" t="n"/>
      <x:c r="E491" s="23" t="n"/>
      <x:c r="F491" s="23" t="n"/>
      <x:c r="G491" s="23" t="n"/>
      <x:c r="H491" s="7" t="n"/>
      <x:c r="I491" s="23" t="n"/>
      <x:c r="J491" s="23" t="n"/>
      <x:c r="K491" s="8" t="n"/>
      <x:c r="L491" s="8" t="n"/>
      <x:c r="M491" s="23" t="n"/>
      <x:c r="N491" s="23" t="n"/>
      <x:c r="O491" s="23" t="n"/>
      <x:c r="P491" s="23" t="n"/>
    </x:row>
    <x:row r="492">
      <x:c r="A492" s="23" t="n"/>
      <x:c r="B492" s="23" t="n"/>
      <x:c r="C492" s="6" t="n"/>
      <x:c r="D492" s="23" t="n"/>
      <x:c r="E492" s="23" t="n"/>
      <x:c r="F492" s="23" t="n"/>
      <x:c r="G492" s="23" t="n"/>
      <x:c r="H492" s="7" t="n"/>
      <x:c r="I492" s="23" t="n"/>
      <x:c r="J492" s="23" t="n"/>
      <x:c r="K492" s="8" t="n"/>
      <x:c r="L492" s="8" t="n"/>
      <x:c r="M492" s="23" t="n"/>
      <x:c r="N492" s="23" t="n"/>
      <x:c r="O492" s="23" t="n"/>
      <x:c r="P492" s="23" t="n"/>
    </x:row>
    <x:row r="493">
      <x:c r="A493" s="23" t="n"/>
      <x:c r="B493" s="23" t="n"/>
      <x:c r="C493" s="6" t="n"/>
      <x:c r="D493" s="23" t="n"/>
      <x:c r="E493" s="23" t="n"/>
      <x:c r="F493" s="23" t="n"/>
      <x:c r="G493" s="23" t="n"/>
      <x:c r="H493" s="7" t="n"/>
      <x:c r="I493" s="23" t="n"/>
      <x:c r="J493" s="23" t="n"/>
      <x:c r="K493" s="8" t="n"/>
      <x:c r="L493" s="8" t="n"/>
      <x:c r="M493" s="23" t="n"/>
      <x:c r="N493" s="23" t="n"/>
      <x:c r="O493" s="23" t="n"/>
      <x:c r="P493" s="23" t="n"/>
    </x:row>
    <x:row r="494">
      <x:c r="A494" s="23" t="n"/>
      <x:c r="B494" s="23" t="n"/>
      <x:c r="C494" s="6" t="n"/>
      <x:c r="D494" s="23" t="n"/>
      <x:c r="E494" s="23" t="n"/>
      <x:c r="F494" s="23" t="n"/>
      <x:c r="G494" s="23" t="n"/>
      <x:c r="H494" s="7" t="n"/>
      <x:c r="I494" s="23" t="n"/>
      <x:c r="J494" s="23" t="n"/>
      <x:c r="K494" s="8" t="n"/>
      <x:c r="L494" s="8" t="n"/>
      <x:c r="M494" s="23" t="n"/>
      <x:c r="N494" s="23" t="n"/>
      <x:c r="O494" s="23" t="n"/>
      <x:c r="P494" s="23" t="n"/>
    </x:row>
    <x:row r="495">
      <x:c r="A495" s="23" t="n"/>
      <x:c r="B495" s="23" t="n"/>
      <x:c r="C495" s="6" t="n"/>
      <x:c r="D495" s="23" t="n"/>
      <x:c r="E495" s="23" t="n"/>
      <x:c r="F495" s="23" t="n"/>
      <x:c r="G495" s="23" t="n"/>
      <x:c r="H495" s="7" t="n"/>
      <x:c r="I495" s="23" t="n"/>
      <x:c r="J495" s="23" t="n"/>
      <x:c r="K495" s="8" t="n"/>
      <x:c r="L495" s="8" t="n"/>
      <x:c r="M495" s="23" t="n"/>
      <x:c r="N495" s="23" t="n"/>
      <x:c r="O495" s="23" t="n"/>
      <x:c r="P495" s="23" t="n"/>
    </x:row>
    <x:row r="496">
      <x:c r="A496" s="23" t="n"/>
      <x:c r="B496" s="23" t="n"/>
      <x:c r="C496" s="23" t="n"/>
      <x:c r="D496" s="23" t="n"/>
      <x:c r="E496" s="23" t="n"/>
      <x:c r="F496" s="23" t="n"/>
      <x:c r="G496" s="23" t="n"/>
      <x:c r="H496" s="23" t="n"/>
      <x:c r="I496" s="23" t="n"/>
      <x:c r="J496" s="23" t="n"/>
      <x:c r="K496" s="23" t="n"/>
      <x:c r="L496" s="23" t="n"/>
      <x:c r="M496" s="23" t="n"/>
      <x:c r="N496" s="23" t="n"/>
      <x:c r="O496" s="23" t="n"/>
      <x:c r="P496" s="23" t="n"/>
    </x:row>
    <x:row r="497">
      <x:c r="A497" s="23" t="n"/>
      <x:c r="B497" s="23" t="n"/>
      <x:c r="C497" s="23" t="n"/>
      <x:c r="D497" s="23" t="n"/>
      <x:c r="E497" s="23" t="n"/>
      <x:c r="F497" s="23" t="n"/>
      <x:c r="G497" s="23" t="n"/>
      <x:c r="H497" s="23" t="n"/>
      <x:c r="I497" s="23" t="n"/>
      <x:c r="J497" s="23" t="n"/>
      <x:c r="K497" s="23" t="n"/>
      <x:c r="L497" s="23" t="n"/>
      <x:c r="M497" s="23" t="n"/>
      <x:c r="N497" s="23" t="n"/>
      <x:c r="O497" s="23" t="n"/>
      <x:c r="P497" s="23" t="n"/>
    </x:row>
    <x:row r="498">
      <x:c r="A498" s="23" t="n"/>
      <x:c r="B498" s="23" t="n"/>
      <x:c r="C498" s="23" t="n"/>
      <x:c r="D498" s="23" t="n"/>
      <x:c r="E498" s="23" t="n"/>
      <x:c r="F498" s="23" t="n"/>
      <x:c r="G498" s="23" t="n"/>
      <x:c r="H498" s="23" t="n"/>
      <x:c r="I498" s="23" t="n"/>
      <x:c r="J498" s="23" t="n"/>
      <x:c r="K498" s="23" t="n"/>
      <x:c r="L498" s="23" t="n"/>
      <x:c r="M498" s="23" t="n"/>
      <x:c r="N498" s="23" t="n"/>
      <x:c r="O498" s="23" t="n"/>
      <x:c r="P498" s="23" t="n"/>
    </x:row>
    <x:row r="499">
      <x:c r="A499" s="23" t="n"/>
      <x:c r="B499" s="23" t="n"/>
      <x:c r="C499" s="23" t="n"/>
      <x:c r="D499" s="23" t="n"/>
      <x:c r="E499" s="23" t="n"/>
      <x:c r="F499" s="23" t="n"/>
      <x:c r="G499" s="23" t="n"/>
      <x:c r="H499" s="23" t="n"/>
      <x:c r="I499" s="23" t="n"/>
      <x:c r="J499" s="23" t="n"/>
      <x:c r="K499" s="23" t="n"/>
      <x:c r="L499" s="23" t="n"/>
      <x:c r="M499" s="23" t="n"/>
      <x:c r="N499" s="23" t="n"/>
      <x:c r="O499" s="23" t="n"/>
      <x:c r="P499" s="23" t="n"/>
    </x:row>
    <x:row r="500">
      <x:c r="A500" s="23" t="n"/>
      <x:c r="B500" s="23" t="n"/>
      <x:c r="C500" s="23" t="n"/>
      <x:c r="D500" s="23" t="n"/>
      <x:c r="E500" s="23" t="n"/>
      <x:c r="F500" s="23" t="n"/>
      <x:c r="G500" s="23" t="n"/>
      <x:c r="H500" s="23" t="n"/>
      <x:c r="I500" s="23" t="n"/>
      <x:c r="J500" s="23" t="n"/>
      <x:c r="K500" s="23" t="n"/>
      <x:c r="L500" s="23" t="n"/>
      <x:c r="M500" s="23" t="n"/>
      <x:c r="N500" s="23" t="n"/>
      <x:c r="O500" s="23" t="n"/>
      <x:c r="P500" s="23" t="n"/>
    </x:row>
  </x:sheetData>
  <x:conditionalFormatting sqref="B2:B495">
    <x:cfRule type="expression" dxfId="2" priority="1">
      <x:formula>B2="Cancelado"</x:formula>
    </x:cfRule>
    <x:cfRule type="expression" dxfId="1" priority="2">
      <x:formula>B2="Realizado"</x:formula>
    </x:cfRule>
  </x:conditionalFormatting>
  <x:dataValidations count="2">
    <x:dataValidation type="list" allowBlank="0" showDropDown="0" showInputMessage="0" showErrorMessage="0" sqref="B2:B495">
      <x:formula1>"Planejado,Confirmado,Em execução,Realizado,Cancelado"</x:formula1>
    </x:dataValidation>
    <x:dataValidation type="list" allowBlank="0" showDropDown="0" showInputMessage="0" showErrorMessage="0" sqref="F2:F495">
      <x:formula1>"Fan Fest,Workshop,Clínica esportiva,Seminário,Ativação patrocinador,Legado,Outro"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98dd87f9a8e4672"/>
  </x:tableParts>
</x:worksheet>
</file>

<file path=xl/worksheets/sheet3.xml><?xml version="1.0" encoding="utf-8"?>
<x:worksheet xmlns:x="http://schemas.openxmlformats.org/spreadsheetml/2006/main">
  <x:sheetFormatPr baseColWidth="8" defaultRowHeight="14.25"/>
  <x:cols>
    <x:col min="1" max="8" width="18" style="1" customWidth="1"/>
  </x:cols>
  <x:sheetData>
    <x:row r="1" s="1" customFormat="1" ht="24" customHeight="1">
      <x:c r="A1" s="4" t="inlineStr">
        <x:is>
          <x:t xml:space="preserve">Próximos Eventos</x:t>
        </x:is>
      </x:c>
      <x:c r="B1" s="4" t="inlineStr">
        <x:is>
          <x:t xml:space="preserve">Data</x:t>
        </x:is>
      </x:c>
      <x:c r="C1" s="4" t="inlineStr">
        <x:is>
          <x:t xml:space="preserve">Cidade</x:t>
        </x:is>
      </x:c>
      <x:c r="D1" s="4" t="inlineStr">
        <x:is>
          <x:t xml:space="preserve">UF</x:t>
        </x:is>
      </x:c>
      <x:c r="E1" s="4" t="inlineStr">
        <x:is>
          <x:t xml:space="preserve">Categoria</x:t>
        </x:is>
      </x:c>
      <x:c r="F1" s="4" t="inlineStr">
        <x:is>
          <x:t xml:space="preserve">Patrocinador</x:t>
        </x:is>
      </x:c>
      <x:c r="G1" s="4" t="inlineStr">
        <x:is>
          <x:t xml:space="preserve">Público</x:t>
        </x:is>
      </x:c>
      <x:c r="H1" s="4" t="inlineStr">
        <x:is>
          <x:t xml:space="preserve">Status</x:t>
        </x:is>
      </x:c>
    </x:row>
    <x:row r="2">
      <x:c r="A2" s="23" t="str" cm="1">
        <x:f t="array" ref="A2:A27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x:f>
        <x:v>EVT-0064</x:v>
      </x:c>
      <x:c r="B2" s="6"/>
      <x:c r="C2" s="23"/>
      <x:c r="D2" s="23"/>
      <x:c r="E2" s="23"/>
      <x:c r="F2" s="23"/>
      <x:c r="G2" s="23"/>
      <x:c r="H2" s="23"/>
    </x:row>
    <x:row r="3">
      <x:c r="A3" s="23" t="str">
        <x:v>EVT-0082</x:v>
      </x:c>
      <x:c r="B3" s="6"/>
      <x:c r="C3" s="23"/>
      <x:c r="D3" s="23"/>
      <x:c r="E3" s="23"/>
      <x:c r="F3" s="23"/>
      <x:c r="G3" s="23"/>
      <x:c r="H3" s="23"/>
    </x:row>
    <x:row r="4">
      <x:c r="A4" s="23" t="str">
        <x:v>EVT-0083</x:v>
      </x:c>
      <x:c r="B4" s="6"/>
      <x:c r="C4" s="23"/>
      <x:c r="D4" s="23"/>
      <x:c r="E4" s="23"/>
      <x:c r="F4" s="23"/>
      <x:c r="G4" s="23"/>
      <x:c r="H4" s="23"/>
    </x:row>
    <x:row r="5">
      <x:c r="A5" s="23" t="str">
        <x:v>EVT-0022</x:v>
      </x:c>
      <x:c r="B5" s="6"/>
      <x:c r="C5" s="23"/>
      <x:c r="D5" s="23"/>
      <x:c r="E5" s="23"/>
      <x:c r="F5" s="23"/>
      <x:c r="G5" s="23"/>
      <x:c r="H5" s="23"/>
    </x:row>
    <x:row r="6">
      <x:c r="A6" s="23" t="str">
        <x:v>EVT-0062</x:v>
      </x:c>
      <x:c r="B6" s="6"/>
      <x:c r="C6" s="23"/>
      <x:c r="D6" s="23"/>
      <x:c r="E6" s="23"/>
      <x:c r="F6" s="23"/>
      <x:c r="G6" s="23"/>
      <x:c r="H6" s="23"/>
    </x:row>
    <x:row r="7">
      <x:c r="A7" s="23" t="str">
        <x:v>EVT-0084</x:v>
      </x:c>
      <x:c r="B7" s="6"/>
      <x:c r="C7" s="23"/>
      <x:c r="D7" s="23"/>
      <x:c r="E7" s="23"/>
      <x:c r="F7" s="23"/>
      <x:c r="G7" s="23"/>
      <x:c r="H7" s="23"/>
    </x:row>
    <x:row r="8">
      <x:c r="A8" s="23" t="str">
        <x:v>EVT-0074</x:v>
      </x:c>
      <x:c r="B8" s="6"/>
      <x:c r="C8" s="23"/>
      <x:c r="D8" s="23"/>
      <x:c r="E8" s="23"/>
      <x:c r="F8" s="23"/>
      <x:c r="G8" s="23"/>
      <x:c r="H8" s="23"/>
    </x:row>
    <x:row r="9">
      <x:c r="A9" s="23" t="str">
        <x:v>EVT-0006</x:v>
      </x:c>
      <x:c r="B9" s="6" t="n"/>
      <x:c r="C9" s="23" t="n"/>
      <x:c r="D9" s="23" t="n"/>
      <x:c r="E9" s="23" t="n"/>
      <x:c r="F9" s="23" t="n"/>
      <x:c r="G9" s="23" t="n"/>
      <x:c r="H9" s="23" t="n"/>
    </x:row>
    <x:row r="10">
      <x:c r="A10" s="23" t="str">
        <x:v>EVT-0085</x:v>
      </x:c>
      <x:c r="B10" s="6" t="n"/>
      <x:c r="C10" s="23" t="n"/>
      <x:c r="D10" s="23" t="n"/>
      <x:c r="E10" s="23" t="n"/>
      <x:c r="F10" s="23" t="n"/>
      <x:c r="G10" s="23" t="n"/>
      <x:c r="H10" s="23" t="n"/>
    </x:row>
    <x:row r="11">
      <x:c r="A11" s="23" t="str">
        <x:v>EVT-0086</x:v>
      </x:c>
      <x:c r="B11" s="6" t="n"/>
      <x:c r="C11" s="23" t="n"/>
      <x:c r="D11" s="23" t="n"/>
      <x:c r="E11" s="23" t="n"/>
      <x:c r="F11" s="23" t="n"/>
      <x:c r="G11" s="23" t="n"/>
      <x:c r="H11" s="23" t="n"/>
    </x:row>
    <x:row r="12">
      <x:c r="A12" s="23" t="str">
        <x:v>EVT-0087</x:v>
      </x:c>
      <x:c r="B12" s="6" t="n"/>
      <x:c r="C12" s="23" t="n"/>
      <x:c r="D12" s="23" t="n"/>
      <x:c r="E12" s="23" t="n"/>
      <x:c r="F12" s="23" t="n"/>
      <x:c r="G12" s="23" t="n"/>
      <x:c r="H12" s="23" t="n"/>
    </x:row>
    <x:row r="13">
      <x:c r="A13" s="23" t="str">
        <x:v>EVT-0055</x:v>
      </x:c>
      <x:c r="B13" s="6" t="n"/>
      <x:c r="C13" s="23" t="n"/>
      <x:c r="D13" s="23" t="n"/>
      <x:c r="E13" s="23" t="n"/>
      <x:c r="F13" s="23" t="n"/>
      <x:c r="G13" s="23" t="n"/>
      <x:c r="H13" s="23" t="n"/>
    </x:row>
    <x:row r="14">
      <x:c r="A14" s="23" t="str">
        <x:v>EVT-0007</x:v>
      </x:c>
      <x:c r="B14" s="6" t="n"/>
      <x:c r="C14" s="23" t="n"/>
      <x:c r="D14" s="23" t="n"/>
      <x:c r="E14" s="23" t="n"/>
      <x:c r="F14" s="23" t="n"/>
      <x:c r="G14" s="23" t="n"/>
      <x:c r="H14" s="23" t="n"/>
    </x:row>
    <x:row r="15">
      <x:c r="A15" s="23" t="str">
        <x:v>EVT-0088</x:v>
      </x:c>
      <x:c r="B15" s="6" t="n"/>
      <x:c r="C15" s="23" t="n"/>
      <x:c r="D15" s="23" t="n"/>
      <x:c r="E15" s="23" t="n"/>
      <x:c r="F15" s="23" t="n"/>
      <x:c r="G15" s="23" t="n"/>
      <x:c r="H15" s="23" t="n"/>
    </x:row>
    <x:row r="16">
      <x:c r="A16" s="23" t="str">
        <x:v>EVT-0011</x:v>
      </x:c>
      <x:c r="B16" s="6" t="n"/>
      <x:c r="C16" s="23" t="n"/>
      <x:c r="D16" s="23" t="n"/>
      <x:c r="E16" s="23" t="n"/>
      <x:c r="F16" s="23" t="n"/>
      <x:c r="G16" s="23" t="n"/>
      <x:c r="H16" s="23" t="n"/>
    </x:row>
    <x:row r="17">
      <x:c r="A17" s="23" t="str">
        <x:v>EVT-0089</x:v>
      </x:c>
      <x:c r="B17" s="6" t="n"/>
    </x:row>
    <x:row r="18">
      <x:c r="A18" s="23" t="str">
        <x:v>EVT-0010</x:v>
      </x:c>
      <x:c r="B18" s="6" t="n"/>
    </x:row>
    <x:row r="19">
      <x:c r="A19" s="23" t="str">
        <x:v>EVT-0008</x:v>
      </x:c>
      <x:c r="B19" s="6" t="n"/>
    </x:row>
    <x:row r="20">
      <x:c r="A20" s="23" t="str">
        <x:v>EVT-0090</x:v>
      </x:c>
      <x:c r="B20" s="6" t="n"/>
    </x:row>
    <x:row r="21">
      <x:c r="A21" s="23" t="str">
        <x:v>EVT-0009</x:v>
      </x:c>
      <x:c r="B21" s="6" t="n"/>
    </x:row>
    <x:row r="22">
      <x:c r="A22" s="23" t="str">
        <x:v>EVT-0012</x:v>
      </x:c>
      <x:c r="B22" s="6" t="n"/>
    </x:row>
    <x:row r="23">
      <x:c r="A23" s="23" t="str">
        <x:v>EVT-0077</x:v>
      </x:c>
      <x:c r="B23" s="6" t="n"/>
    </x:row>
    <x:row r="24">
      <x:c r="A24" s="23" t="str">
        <x:v>EVT-0017</x:v>
      </x:c>
      <x:c r="B24" s="6" t="n"/>
    </x:row>
    <x:row r="25">
      <x:c r="A25" s="23" t="str">
        <x:v>EVT-0018</x:v>
      </x:c>
      <x:c r="B25" s="6" t="n"/>
    </x:row>
    <x:row r="26">
      <x:c r="A26" s="23" t="str">
        <x:v>EVT-0019</x:v>
      </x:c>
      <x:c r="B26" s="6" t="n"/>
    </x:row>
    <x:row r="27">
      <x:c r="A27" s="23" t="str">
        <x:v>EVT-0020</x:v>
      </x:c>
      <x:c r="B27" s="6" t="n"/>
    </x:row>
    <x:row r="28">
      <x:c r="A28" s="23" t="n"/>
      <x:c r="B28" s="6" t="n"/>
    </x:row>
    <x:row r="29">
      <x:c r="A29" s="23" t="n"/>
      <x:c r="B29" s="6" t="n"/>
    </x:row>
    <x:row r="30">
      <x:c r="A30" s="23" t="n"/>
      <x:c r="B30" s="6" t="n"/>
    </x:row>
    <x:row r="31">
      <x:c r="A31" s="23" t="n"/>
      <x:c r="B31" s="6" t="n"/>
    </x:row>
    <x:row r="32">
      <x:c r="A32" s="23" t="n"/>
      <x:c r="B32" s="6" t="n"/>
    </x:row>
    <x:row r="33">
      <x:c r="B33" s="6" t="n"/>
    </x:row>
    <x:row r="34">
      <x:c r="B34" s="6" t="n"/>
    </x:row>
    <x:row r="35">
      <x:c r="B35" s="6" t="n"/>
    </x:row>
    <x:row r="36">
      <x:c r="B36" s="6" t="n"/>
    </x:row>
    <x:row r="37">
      <x:c r="B37" s="6" t="n"/>
    </x:row>
    <x:row r="38">
      <x:c r="B38" s="6" t="n"/>
    </x:row>
    <x:row r="39">
      <x:c r="B39" s="6" t="n"/>
    </x:row>
    <x:row r="40">
      <x:c r="B40" s="6" t="n"/>
    </x:row>
    <x:row r="41">
      <x:c r="B41" s="6" t="n"/>
    </x:row>
    <x:row r="42">
      <x:c r="B42" s="6" t="n"/>
    </x:row>
    <x:row r="43">
      <x:c r="B43" s="6" t="n"/>
    </x:row>
    <x:row r="44">
      <x:c r="B44" s="6" t="n"/>
    </x:row>
    <x:row r="45">
      <x:c r="B45" s="6" t="n"/>
    </x:row>
    <x:row r="46">
      <x:c r="B46" s="6" t="n"/>
    </x:row>
    <x:row r="47">
      <x:c r="B47" s="6" t="n"/>
    </x:row>
    <x:row r="48">
      <x:c r="B48" s="6" t="n"/>
    </x:row>
    <x:row r="49">
      <x:c r="B49" s="6" t="n"/>
    </x:row>
    <x:row r="50">
      <x:c r="B50" s="6" t="n"/>
    </x:row>
    <x:row r="51">
      <x:c r="B51" s="6" t="n"/>
    </x:row>
    <x:row r="52">
      <x:c r="B52" s="6" t="n"/>
    </x:row>
    <x:row r="53">
      <x:c r="B53" s="6" t="n"/>
    </x:row>
    <x:row r="54">
      <x:c r="B54" s="6" t="n"/>
    </x:row>
    <x:row r="55">
      <x:c r="B55" s="6" t="n"/>
    </x:row>
    <x:row r="56">
      <x:c r="B56" s="6" t="n"/>
    </x:row>
    <x:row r="57">
      <x:c r="B57" s="6" t="n"/>
    </x:row>
    <x:row r="58">
      <x:c r="B58" s="6" t="n"/>
    </x:row>
    <x:row r="59">
      <x:c r="B59" s="6" t="n"/>
    </x:row>
    <x:row r="60">
      <x:c r="B60" s="6" t="n"/>
    </x:row>
    <x:row r="61">
      <x:c r="B61" s="6" t="n"/>
    </x:row>
    <x:row r="62">
      <x:c r="B62" s="6" t="n"/>
    </x:row>
    <x:row r="63">
      <x:c r="B63" s="6" t="n"/>
    </x:row>
    <x:row r="64">
      <x:c r="B64" s="6" t="n"/>
    </x:row>
    <x:row r="65">
      <x:c r="B65" s="6" t="n"/>
    </x:row>
    <x:row r="66">
      <x:c r="B66" s="6" t="n"/>
    </x:row>
    <x:row r="67">
      <x:c r="B67" s="6" t="n"/>
    </x:row>
    <x:row r="68">
      <x:c r="B68" s="6" t="n"/>
    </x:row>
    <x:row r="69">
      <x:c r="B69" s="6" t="n"/>
    </x:row>
    <x:row r="70">
      <x:c r="B70" s="6" t="n"/>
    </x:row>
    <x:row r="71">
      <x:c r="B71" s="6" t="n"/>
    </x:row>
    <x:row r="72">
      <x:c r="B72" s="6" t="n"/>
    </x:row>
    <x:row r="73">
      <x:c r="B73" s="6" t="n"/>
    </x:row>
    <x:row r="74">
      <x:c r="B74" s="6" t="n"/>
    </x:row>
    <x:row r="75">
      <x:c r="B75" s="6" t="n"/>
    </x:row>
    <x:row r="76">
      <x:c r="B76" s="6" t="n"/>
    </x:row>
    <x:row r="77">
      <x:c r="B77" s="6" t="n"/>
    </x:row>
    <x:row r="78">
      <x:c r="B78" s="6" t="n"/>
    </x:row>
    <x:row r="79">
      <x:c r="B79" s="6" t="n"/>
    </x:row>
    <x:row r="80">
      <x:c r="B80" s="6" t="n"/>
    </x:row>
    <x:row r="81">
      <x:c r="B81" s="6" t="n"/>
    </x:row>
    <x:row r="82">
      <x:c r="B82" s="6" t="n"/>
    </x:row>
    <x:row r="83">
      <x:c r="B83" s="6" t="n"/>
    </x:row>
    <x:row r="84">
      <x:c r="B84" s="6" t="n"/>
    </x:row>
    <x:row r="85">
      <x:c r="B85" s="6" t="n"/>
    </x:row>
    <x:row r="86">
      <x:c r="B86" s="6" t="n"/>
    </x:row>
    <x:row r="87">
      <x:c r="B87" s="6" t="n"/>
    </x:row>
    <x:row r="88">
      <x:c r="B88" s="6" t="n"/>
    </x:row>
    <x:row r="89">
      <x:c r="B89" s="6" t="n"/>
    </x:row>
    <x:row r="90">
      <x:c r="B90" s="6" t="n"/>
    </x:row>
    <x:row r="91">
      <x:c r="B91" s="6" t="n"/>
    </x:row>
    <x:row r="92">
      <x:c r="B92" s="6" t="n"/>
    </x:row>
    <x:row r="93">
      <x:c r="B93" s="6" t="n"/>
    </x:row>
    <x:row r="94">
      <x:c r="B94" s="6" t="n"/>
    </x:row>
    <x:row r="95">
      <x:c r="B95" s="6" t="n"/>
    </x:row>
    <x:row r="96">
      <x:c r="B96" s="6" t="n"/>
    </x:row>
    <x:row r="97">
      <x:c r="B97" s="6" t="n"/>
    </x:row>
    <x:row r="98">
      <x:c r="B98" s="6" t="n"/>
    </x:row>
    <x:row r="99">
      <x:c r="B99" s="6" t="n"/>
    </x:row>
    <x:row r="100">
      <x:c r="B100" s="6" t="n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4.25"/>
  <x:cols>
    <x:col min="1" max="11" width="16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Nº Eventos</x:t>
        </x:is>
      </x:c>
      <x:c r="D1" s="4" t="inlineStr">
        <x:is>
          <x:t xml:space="preserve">Público</x:t>
        </x:is>
      </x:c>
      <x:c r="E1" s="4" t="inlineStr">
        <x:is>
          <x:t xml:space="preserve">Patrocinadores</x:t>
        </x:is>
      </x:c>
      <x:c r="F1" s="4" t="inlineStr">
        <x:is>
          <x:t xml:space="preserve">Diversidade</x:t>
        </x:is>
      </x:c>
      <x:c r="G1" s="4" t="inlineStr">
        <x:is>
          <x:t xml:space="preserve">Eventos Oficiais</x:t>
        </x:is>
      </x:c>
      <x:c r="H1" s="4" t="inlineStr">
        <x:is>
          <x:t xml:space="preserve">Mídia</x:t>
        </x:is>
      </x:c>
      <x:c r="I1" s="4" t="inlineStr">
        <x:is>
          <x:t xml:space="preserve">Legado</x:t>
        </x:is>
      </x:c>
      <x:c r="J1" s="4" t="inlineStr">
        <x:is>
          <x:t xml:space="preserve">IAC</x:t>
        </x:is>
      </x:c>
      <x:c r="K1" s="4" t="inlineStr">
        <x:is>
          <x:t xml:space="preserve">Classificação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13" t="n">
        <x:f>COUNTIF('02_Eventos'!E:E,A2)</x:f>
        <x:v>14</x:v>
      </x:c>
      <x:c r="D2" s="13" t="n">
        <x:f>SUMIF('02_Eventos'!E:E,A2,'02_Eventos'!H:H)</x:f>
        <x:v>500</x:v>
      </x:c>
      <x:c r="E2" s="13" t="n">
        <x:f>COUNTA(_xlfn.UNIQUE(_xlfn._xlws.FILTER('02_Eventos'!I:I,'02_Eventos'!E:E=A2,"")))</x:f>
        <x:v>1</x:v>
      </x:c>
      <x:c r="F2" s="13" t="n">
        <x:f>COUNTA(_xlfn.UNIQUE(_xlfn._xlws.FILTER('02_Eventos'!F:F,'02_Eventos'!E:E=A2,"")))</x:f>
        <x:v>1</x:v>
      </x:c>
      <x:c r="G2" s="13" t="n">
        <x:v>60</x:v>
      </x:c>
      <x:c r="H2" s="13" t="n">
        <x:v>55</x:v>
      </x:c>
      <x:c r="I2" s="13" t="n">
        <x:v>65</x:v>
      </x:c>
      <x:c r="J2" s="13" t="n">
        <x:f>MIN(100,(C2*5)+(MIN(D2/1000,20))+(E2*4)+(F2*3)+(G2*0.1)+(H2*0.1)+(I2*0.1))</x:f>
        <x:v>95.5</x:v>
      </x:c>
      <x:c r="K2" s="23" t="str">
        <x:f>IF(J2&gt;=85,"Excelente",IF(J2&gt;=70,"Alta",IF(J2&gt;=50,"Moderada",IF(J2&gt;=30,"Baixa","Muito baixa"))))</x:f>
        <x:v>Excelente</x:v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13" t="n">
        <x:f>COUNTIF('02_Eventos'!E:E,A3)</x:f>
        <x:v>13</x:v>
      </x:c>
      <x:c r="D3" s="13" t="n">
        <x:f>SUMIF('02_Eventos'!E:E,A3,'02_Eventos'!H:H)</x:f>
        <x:v>70000</x:v>
      </x:c>
      <x:c r="E3" s="13" t="n">
        <x:f>COUNTA(_xlfn.UNIQUE(_xlfn._xlws.FILTER('02_Eventos'!I:I,'02_Eventos'!E:E=A3,"")))</x:f>
        <x:v>1</x:v>
      </x:c>
      <x:c r="F3" s="13" t="n">
        <x:f>COUNTA(_xlfn.UNIQUE(_xlfn._xlws.FILTER('02_Eventos'!F:F,'02_Eventos'!E:E=A3,"")))</x:f>
        <x:v>1</x:v>
      </x:c>
      <x:c r="G3" s="13" t="n">
        <x:v>60</x:v>
      </x:c>
      <x:c r="H3" s="13" t="n">
        <x:v>55</x:v>
      </x:c>
      <x:c r="I3" s="13" t="n">
        <x:v>65</x:v>
      </x:c>
      <x:c r="J3" s="13" t="n">
        <x:f>MIN(100,(C3*5)+(MIN(D3/1000,20))+(E3*4)+(F3*3)+(G3*0.1)+(H3*0.1)+(I3*0.1))</x:f>
        <x:v>100</x:v>
      </x:c>
      <x:c r="K3" s="23" t="str">
        <x:f>IF(J3&gt;=85,"Excelente",IF(J3&gt;=70,"Alta",IF(J3&gt;=50,"Moderada",IF(J3&gt;=30,"Baixa","Muito baixa"))))</x:f>
        <x:v>Excelente</x:v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13" t="n">
        <x:f>COUNTIF('02_Eventos'!E:E,A4)</x:f>
        <x:v>2</x:v>
      </x:c>
      <x:c r="D4" s="13" t="n">
        <x:f>SUMIF('02_Eventos'!E:E,A4,'02_Eventos'!H:H)</x:f>
        <x:v>0</x:v>
      </x:c>
      <x:c r="E4" s="13" t="n">
        <x:f>COUNTA(_xlfn.UNIQUE(_xlfn._xlws.FILTER('02_Eventos'!I:I,'02_Eventos'!E:E=A4,"")))</x:f>
        <x:v>1</x:v>
      </x:c>
      <x:c r="F4" s="13" t="n">
        <x:f>COUNTA(_xlfn.UNIQUE(_xlfn._xlws.FILTER('02_Eventos'!F:F,'02_Eventos'!E:E=A4,"")))</x:f>
        <x:v>1</x:v>
      </x:c>
      <x:c r="G4" s="13" t="n">
        <x:v>60</x:v>
      </x:c>
      <x:c r="H4" s="13" t="n">
        <x:v>55</x:v>
      </x:c>
      <x:c r="I4" s="13" t="n">
        <x:v>65</x:v>
      </x:c>
      <x:c r="J4" s="13" t="n">
        <x:f>MIN(100,(C4*5)+(MIN(D4/1000,20))+(E4*4)+(F4*3)+(G4*0.1)+(H4*0.1)+(I4*0.1))</x:f>
        <x:v>35</x:v>
      </x:c>
      <x:c r="K4" s="23" t="str">
        <x:f>IF(J4&gt;=85,"Excelente",IF(J4&gt;=70,"Alta",IF(J4&gt;=50,"Moderada",IF(J4&gt;=30,"Baixa","Muito baixa"))))</x:f>
        <x:v>Baixa</x:v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13" t="n">
        <x:f>COUNTIF('02_Eventos'!E:E,A5)</x:f>
        <x:v>6</x:v>
      </x:c>
      <x:c r="D5" s="13" t="n">
        <x:f>SUMIF('02_Eventos'!E:E,A5,'02_Eventos'!H:H)</x:f>
        <x:v>0</x:v>
      </x:c>
      <x:c r="E5" s="13" t="n">
        <x:f>COUNTA(_xlfn.UNIQUE(_xlfn._xlws.FILTER('02_Eventos'!I:I,'02_Eventos'!E:E=A5,"")))</x:f>
        <x:v>1</x:v>
      </x:c>
      <x:c r="F5" s="13" t="n">
        <x:f>COUNTA(_xlfn.UNIQUE(_xlfn._xlws.FILTER('02_Eventos'!F:F,'02_Eventos'!E:E=A5,"")))</x:f>
        <x:v>1</x:v>
      </x:c>
      <x:c r="G5" s="13" t="n">
        <x:v>60</x:v>
      </x:c>
      <x:c r="H5" s="13" t="n">
        <x:v>55</x:v>
      </x:c>
      <x:c r="I5" s="13" t="n">
        <x:v>65</x:v>
      </x:c>
      <x:c r="J5" s="13" t="n">
        <x:f>MIN(100,(C5*5)+(MIN(D5/1000,20))+(E5*4)+(F5*3)+(G5*0.1)+(H5*0.1)+(I5*0.1))</x:f>
        <x:v>55</x:v>
      </x:c>
      <x:c r="K5" s="23" t="str">
        <x:f>IF(J5&gt;=85,"Excelente",IF(J5&gt;=70,"Alta",IF(J5&gt;=50,"Moderada",IF(J5&gt;=30,"Baixa","Muito baixa"))))</x:f>
        <x:v>Moderada</x:v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13" t="n">
        <x:f>COUNTIF('02_Eventos'!E:E,A6)</x:f>
        <x:v>4</x:v>
      </x:c>
      <x:c r="D6" s="13" t="n">
        <x:f>SUMIF('02_Eventos'!E:E,A6,'02_Eventos'!H:H)</x:f>
        <x:v>0</x:v>
      </x:c>
      <x:c r="E6" s="13" t="n">
        <x:f>COUNTA(_xlfn.UNIQUE(_xlfn._xlws.FILTER('02_Eventos'!I:I,'02_Eventos'!E:E=A6,"")))</x:f>
        <x:v>1</x:v>
      </x:c>
      <x:c r="F6" s="13" t="n">
        <x:f>COUNTA(_xlfn.UNIQUE(_xlfn._xlws.FILTER('02_Eventos'!F:F,'02_Eventos'!E:E=A6,"")))</x:f>
        <x:v>1</x:v>
      </x:c>
      <x:c r="G6" s="13" t="n">
        <x:v>60</x:v>
      </x:c>
      <x:c r="H6" s="13" t="n">
        <x:v>55</x:v>
      </x:c>
      <x:c r="I6" s="13" t="n">
        <x:v>65</x:v>
      </x:c>
      <x:c r="J6" s="13" t="n">
        <x:f>MIN(100,(C6*5)+(MIN(D6/1000,20))+(E6*4)+(F6*3)+(G6*0.1)+(H6*0.1)+(I6*0.1))</x:f>
        <x:v>45</x:v>
      </x:c>
      <x:c r="K6" s="23" t="str">
        <x:f>IF(J6&gt;=85,"Excelente",IF(J6&gt;=70,"Alta",IF(J6&gt;=50,"Moderada",IF(J6&gt;=30,"Baixa","Muito baixa"))))</x:f>
        <x:v>Baixa</x:v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13" t="n">
        <x:f>COUNTIF('02_Eventos'!E:E,A7)</x:f>
        <x:v>8</x:v>
      </x:c>
      <x:c r="D7" s="13" t="n">
        <x:f>SUMIF('02_Eventos'!E:E,A7,'02_Eventos'!H:H)</x:f>
        <x:v>56044</x:v>
      </x:c>
      <x:c r="E7" s="13" t="n">
        <x:f>COUNTA(_xlfn.UNIQUE(_xlfn._xlws.FILTER('02_Eventos'!I:I,'02_Eventos'!E:E=A7,"")))</x:f>
        <x:v>1</x:v>
      </x:c>
      <x:c r="F7" s="13" t="n">
        <x:f>COUNTA(_xlfn.UNIQUE(_xlfn._xlws.FILTER('02_Eventos'!F:F,'02_Eventos'!E:E=A7,"")))</x:f>
        <x:v>1</x:v>
      </x:c>
      <x:c r="G7" s="13" t="n">
        <x:v>60</x:v>
      </x:c>
      <x:c r="H7" s="13" t="n">
        <x:v>55</x:v>
      </x:c>
      <x:c r="I7" s="13" t="n">
        <x:v>65</x:v>
      </x:c>
      <x:c r="J7" s="13" t="n">
        <x:f>MIN(100,(C7*5)+(MIN(D7/1000,20))+(E7*4)+(F7*3)+(G7*0.1)+(H7*0.1)+(I7*0.1))</x:f>
        <x:v>85</x:v>
      </x:c>
      <x:c r="K7" s="23" t="str">
        <x:f>IF(J7&gt;=85,"Excelente",IF(J7&gt;=70,"Alta",IF(J7&gt;=50,"Moderada",IF(J7&gt;=30,"Baixa","Muito baixa"))))</x:f>
        <x:v>Excelente</x:v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13" t="n">
        <x:f>COUNTIF('02_Eventos'!E:E,A8)</x:f>
        <x:v>5</x:v>
      </x:c>
      <x:c r="D8" s="13" t="n">
        <x:f>SUMIF('02_Eventos'!E:E,A8,'02_Eventos'!H:H)</x:f>
        <x:v>700</x:v>
      </x:c>
      <x:c r="E8" s="13" t="n">
        <x:f>COUNTA(_xlfn.UNIQUE(_xlfn._xlws.FILTER('02_Eventos'!I:I,'02_Eventos'!E:E=A8,"")))</x:f>
        <x:v>1</x:v>
      </x:c>
      <x:c r="F8" s="13" t="n">
        <x:f>COUNTA(_xlfn.UNIQUE(_xlfn._xlws.FILTER('02_Eventos'!F:F,'02_Eventos'!E:E=A8,"")))</x:f>
        <x:v>1</x:v>
      </x:c>
      <x:c r="G8" s="13" t="n">
        <x:v>60</x:v>
      </x:c>
      <x:c r="H8" s="13" t="n">
        <x:v>55</x:v>
      </x:c>
      <x:c r="I8" s="13" t="n">
        <x:v>65</x:v>
      </x:c>
      <x:c r="J8" s="13" t="n">
        <x:f>MIN(100,(C8*5)+(MIN(D8/1000,20))+(E8*4)+(F8*3)+(G8*0.1)+(H8*0.1)+(I8*0.1))</x:f>
        <x:v>50.7</x:v>
      </x:c>
      <x:c r="K8" s="23" t="str">
        <x:f>IF(J8&gt;=85,"Excelente",IF(J8&gt;=70,"Alta",IF(J8&gt;=50,"Moderada",IF(J8&gt;=30,"Baixa","Muito baixa"))))</x:f>
        <x:v>Moderada</x:v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13" t="n">
        <x:f>COUNTIF('02_Eventos'!E:E,A9)</x:f>
        <x:v>9</x:v>
      </x:c>
      <x:c r="D9" s="13" t="n">
        <x:f>SUMIF('02_Eventos'!E:E,A9,'02_Eventos'!H:H)</x:f>
        <x:v>0</x:v>
      </x:c>
      <x:c r="E9" s="13" t="n">
        <x:f>COUNTA(_xlfn.UNIQUE(_xlfn._xlws.FILTER('02_Eventos'!I:I,'02_Eventos'!E:E=A9,"")))</x:f>
        <x:v>1</x:v>
      </x:c>
      <x:c r="F9" s="13" t="n">
        <x:f>COUNTA(_xlfn.UNIQUE(_xlfn._xlws.FILTER('02_Eventos'!F:F,'02_Eventos'!E:E=A9,"")))</x:f>
        <x:v>1</x:v>
      </x:c>
      <x:c r="G9" s="13" t="n">
        <x:v>60</x:v>
      </x:c>
      <x:c r="H9" s="13" t="n">
        <x:v>55</x:v>
      </x:c>
      <x:c r="I9" s="13" t="n">
        <x:v>65</x:v>
      </x:c>
      <x:c r="J9" s="13" t="n">
        <x:f>MIN(100,(C9*5)+(MIN(D9/1000,20))+(E9*4)+(F9*3)+(G9*0.1)+(H9*0.1)+(I9*0.1))</x:f>
        <x:v>70</x:v>
      </x:c>
      <x:c r="K9" s="23" t="str">
        <x:f>IF(J9&gt;=85,"Excelente",IF(J9&gt;=70,"Alta",IF(J9&gt;=50,"Moderada",IF(J9&gt;=30,"Baixa","Muito baixa"))))</x:f>
        <x:v>Alta</x:v>
      </x:c>
    </x:row>
    <x:row r="10">
      <x:c r="A10" s="23" t="n"/>
      <x:c r="B10" s="23" t="n"/>
      <x:c r="C10" s="13" t="n"/>
      <x:c r="D10" s="13" t="n"/>
      <x:c r="E10" s="13" t="n"/>
      <x:c r="F10" s="13" t="n"/>
      <x:c r="G10" s="13" t="n"/>
      <x:c r="H10" s="13" t="n"/>
      <x:c r="I10" s="13" t="n"/>
      <x:c r="J10" s="13" t="n"/>
      <x:c r="K10" s="23" t="n"/>
    </x:row>
    <x:row r="11">
      <x:c r="A11" s="23" t="n"/>
      <x:c r="B11" s="23" t="n"/>
      <x:c r="C11" s="13" t="n"/>
      <x:c r="D11" s="13" t="n"/>
      <x:c r="E11" s="13" t="n"/>
      <x:c r="F11" s="13" t="n"/>
      <x:c r="G11" s="13" t="n"/>
      <x:c r="H11" s="13" t="n"/>
      <x:c r="I11" s="13" t="n"/>
      <x:c r="J11" s="13" t="n"/>
      <x:c r="K11" s="23" t="n"/>
    </x:row>
    <x:row r="12">
      <x:c r="A12" s="23" t="n"/>
      <x:c r="B12" s="23" t="n"/>
      <x:c r="C12" s="13" t="n"/>
      <x:c r="D12" s="13" t="n"/>
      <x:c r="E12" s="13" t="n"/>
      <x:c r="F12" s="13" t="n"/>
      <x:c r="G12" s="13" t="n"/>
      <x:c r="H12" s="13" t="n"/>
      <x:c r="I12" s="13" t="n"/>
      <x:c r="J12" s="13" t="n"/>
      <x:c r="K12" s="23" t="n"/>
    </x:row>
    <x:row r="13">
      <x:c r="A13" s="23" t="n"/>
      <x:c r="B13" s="23" t="n"/>
      <x:c r="C13" s="13" t="n"/>
      <x:c r="D13" s="13" t="n"/>
      <x:c r="E13" s="13" t="n"/>
      <x:c r="F13" s="13" t="n"/>
      <x:c r="G13" s="13" t="n"/>
      <x:c r="H13" s="13" t="n"/>
      <x:c r="I13" s="13" t="n"/>
      <x:c r="J13" s="13" t="n"/>
      <x:c r="K13" s="23" t="n"/>
    </x:row>
    <x:row r="14">
      <x:c r="A14" s="23" t="n"/>
      <x:c r="B14" s="23" t="n"/>
      <x:c r="C14" s="13" t="n"/>
      <x:c r="D14" s="13" t="n"/>
      <x:c r="E14" s="13" t="n"/>
      <x:c r="F14" s="13" t="n"/>
      <x:c r="G14" s="13" t="n"/>
      <x:c r="H14" s="13" t="n"/>
      <x:c r="I14" s="13" t="n"/>
      <x:c r="J14" s="13" t="n"/>
      <x:c r="K14" s="23" t="n"/>
    </x:row>
    <x:row r="15">
      <x:c r="A15" s="23" t="n"/>
      <x:c r="B15" s="23" t="n"/>
      <x:c r="C15" s="13" t="n"/>
      <x:c r="D15" s="13" t="n"/>
      <x:c r="E15" s="13" t="n"/>
      <x:c r="F15" s="13" t="n"/>
      <x:c r="G15" s="13" t="n"/>
      <x:c r="H15" s="13" t="n"/>
      <x:c r="I15" s="13" t="n"/>
      <x:c r="J15" s="13" t="n"/>
      <x:c r="K15" s="23" t="n"/>
    </x:row>
    <x:row r="16">
      <x:c r="A16" s="23" t="n"/>
      <x:c r="B16" s="23" t="n"/>
      <x:c r="C16" s="13" t="n"/>
      <x:c r="D16" s="13" t="n"/>
      <x:c r="E16" s="13" t="n"/>
      <x:c r="F16" s="13" t="n"/>
      <x:c r="G16" s="13" t="n"/>
      <x:c r="H16" s="13" t="n"/>
      <x:c r="I16" s="13" t="n"/>
      <x:c r="J16" s="13" t="n"/>
      <x:c r="K16" s="23" t="n"/>
    </x:row>
    <x:row r="17">
      <x:c r="C17" s="13" t="n"/>
      <x:c r="D17" s="13" t="n"/>
      <x:c r="E17" s="13" t="n"/>
      <x:c r="F17" s="13" t="n"/>
      <x:c r="G17" s="13" t="n"/>
      <x:c r="H17" s="13" t="n"/>
      <x:c r="I17" s="13" t="n"/>
      <x:c r="J17" s="13" t="n"/>
    </x:row>
    <x:row r="18">
      <x:c r="C18" s="13" t="n"/>
      <x:c r="D18" s="13" t="n"/>
      <x:c r="E18" s="13" t="n"/>
      <x:c r="F18" s="13" t="n"/>
      <x:c r="G18" s="13" t="n"/>
      <x:c r="H18" s="13" t="n"/>
      <x:c r="I18" s="13" t="n"/>
      <x:c r="J18" s="13" t="n"/>
    </x:row>
    <x:row r="19">
      <x:c r="C19" s="13" t="n"/>
      <x:c r="D19" s="13" t="n"/>
      <x:c r="E19" s="13" t="n"/>
      <x:c r="F19" s="13" t="n"/>
      <x:c r="G19" s="13" t="n"/>
      <x:c r="H19" s="13" t="n"/>
      <x:c r="I19" s="13" t="n"/>
      <x:c r="J19" s="13" t="n"/>
    </x:row>
    <x:row r="20">
      <x:c r="C20" s="13" t="n"/>
      <x:c r="D20" s="13" t="n"/>
      <x:c r="E20" s="13" t="n"/>
      <x:c r="F20" s="13" t="n"/>
      <x:c r="G20" s="13" t="n"/>
      <x:c r="H20" s="13" t="n"/>
      <x:c r="I20" s="13" t="n"/>
      <x:c r="J20" s="13" t="n"/>
    </x:row>
    <x:row r="21">
      <x:c r="C21" s="13" t="n"/>
      <x:c r="D21" s="13" t="n"/>
      <x:c r="E21" s="13" t="n"/>
      <x:c r="F21" s="13" t="n"/>
      <x:c r="G21" s="13" t="n"/>
      <x:c r="H21" s="13" t="n"/>
      <x:c r="I21" s="13" t="n"/>
      <x:c r="J21" s="13" t="n"/>
    </x:row>
    <x:row r="22">
      <x:c r="C22" s="13" t="n"/>
      <x:c r="D22" s="13" t="n"/>
      <x:c r="E22" s="13" t="n"/>
      <x:c r="F22" s="13" t="n"/>
      <x:c r="G22" s="13" t="n"/>
      <x:c r="H22" s="13" t="n"/>
      <x:c r="I22" s="13" t="n"/>
      <x:c r="J22" s="13" t="n"/>
    </x:row>
    <x:row r="23">
      <x:c r="C23" s="13" t="n"/>
      <x:c r="D23" s="13" t="n"/>
      <x:c r="E23" s="13" t="n"/>
      <x:c r="F23" s="13" t="n"/>
      <x:c r="G23" s="13" t="n"/>
      <x:c r="H23" s="13" t="n"/>
      <x:c r="I23" s="13" t="n"/>
      <x:c r="J23" s="13" t="n"/>
    </x:row>
    <x:row r="24">
      <x:c r="C24" s="13" t="n"/>
      <x:c r="D24" s="13" t="n"/>
      <x:c r="E24" s="13" t="n"/>
      <x:c r="F24" s="13" t="n"/>
      <x:c r="G24" s="13" t="n"/>
      <x:c r="H24" s="13" t="n"/>
      <x:c r="I24" s="13" t="n"/>
      <x:c r="J24" s="13" t="n"/>
    </x:row>
    <x:row r="25">
      <x:c r="C25" s="13" t="n"/>
      <x:c r="D25" s="13" t="n"/>
      <x:c r="E25" s="13" t="n"/>
      <x:c r="F25" s="13" t="n"/>
      <x:c r="G25" s="13" t="n"/>
      <x:c r="H25" s="13" t="n"/>
      <x:c r="I25" s="13" t="n"/>
      <x:c r="J25" s="13" t="n"/>
    </x:row>
    <x:row r="26">
      <x:c r="C26" s="13" t="n"/>
      <x:c r="D26" s="13" t="n"/>
      <x:c r="E26" s="13" t="n"/>
      <x:c r="F26" s="13" t="n"/>
      <x:c r="G26" s="13" t="n"/>
      <x:c r="H26" s="13" t="n"/>
      <x:c r="I26" s="13" t="n"/>
      <x:c r="J26" s="13" t="n"/>
    </x:row>
    <x:row r="27">
      <x:c r="C27" s="13" t="n"/>
      <x:c r="D27" s="13" t="n"/>
      <x:c r="E27" s="13" t="n"/>
      <x:c r="F27" s="13" t="n"/>
      <x:c r="G27" s="13" t="n"/>
      <x:c r="H27" s="13" t="n"/>
      <x:c r="I27" s="13" t="n"/>
      <x:c r="J27" s="13" t="n"/>
    </x:row>
    <x:row r="28">
      <x:c r="C28" s="13" t="n"/>
      <x:c r="D28" s="13" t="n"/>
      <x:c r="E28" s="13" t="n"/>
      <x:c r="F28" s="13" t="n"/>
      <x:c r="G28" s="13" t="n"/>
      <x:c r="H28" s="13" t="n"/>
      <x:c r="I28" s="13" t="n"/>
      <x:c r="J28" s="13" t="n"/>
    </x:row>
    <x:row r="29">
      <x:c r="C29" s="13" t="n"/>
      <x:c r="D29" s="13" t="n"/>
      <x:c r="E29" s="13" t="n"/>
      <x:c r="F29" s="13" t="n"/>
      <x:c r="G29" s="13" t="n"/>
      <x:c r="H29" s="13" t="n"/>
      <x:c r="I29" s="13" t="n"/>
      <x:c r="J29" s="13" t="n"/>
    </x:row>
    <x:row r="30">
      <x:c r="C30" s="13" t="n"/>
      <x:c r="D30" s="13" t="n"/>
      <x:c r="E30" s="13" t="n"/>
      <x:c r="F30" s="13" t="n"/>
      <x:c r="G30" s="13" t="n"/>
      <x:c r="H30" s="13" t="n"/>
      <x:c r="I30" s="13" t="n"/>
      <x:c r="J30" s="13" t="n"/>
    </x:row>
    <x:row r="31">
      <x:c r="C31" s="13" t="n"/>
      <x:c r="D31" s="13" t="n"/>
      <x:c r="E31" s="13" t="n"/>
      <x:c r="F31" s="13" t="n"/>
      <x:c r="G31" s="13" t="n"/>
      <x:c r="H31" s="13" t="n"/>
      <x:c r="I31" s="13" t="n"/>
      <x:c r="J31" s="13" t="n"/>
    </x:row>
    <x:row r="32">
      <x:c r="C32" s="13" t="n"/>
      <x:c r="D32" s="13" t="n"/>
      <x:c r="E32" s="13" t="n"/>
      <x:c r="F32" s="13" t="n"/>
      <x:c r="G32" s="13" t="n"/>
      <x:c r="H32" s="13" t="n"/>
      <x:c r="I32" s="13" t="n"/>
      <x:c r="J32" s="13" t="n"/>
    </x:row>
    <x:row r="33">
      <x:c r="C33" s="13" t="n"/>
      <x:c r="D33" s="13" t="n"/>
      <x:c r="E33" s="13" t="n"/>
      <x:c r="F33" s="13" t="n"/>
      <x:c r="G33" s="13" t="n"/>
      <x:c r="H33" s="13" t="n"/>
      <x:c r="I33" s="13" t="n"/>
      <x:c r="J33" s="13" t="n"/>
    </x:row>
    <x:row r="34">
      <x:c r="C34" s="13" t="n"/>
      <x:c r="D34" s="13" t="n"/>
      <x:c r="E34" s="13" t="n"/>
      <x:c r="F34" s="13" t="n"/>
      <x:c r="G34" s="13" t="n"/>
      <x:c r="H34" s="13" t="n"/>
      <x:c r="I34" s="13" t="n"/>
      <x:c r="J34" s="13" t="n"/>
    </x:row>
    <x:row r="35">
      <x:c r="C35" s="13" t="n"/>
      <x:c r="D35" s="13" t="n"/>
      <x:c r="E35" s="13" t="n"/>
      <x:c r="F35" s="13" t="n"/>
      <x:c r="G35" s="13" t="n"/>
      <x:c r="H35" s="13" t="n"/>
      <x:c r="I35" s="13" t="n"/>
      <x:c r="J35" s="13" t="n"/>
    </x:row>
    <x:row r="36">
      <x:c r="C36" s="13" t="n"/>
      <x:c r="D36" s="13" t="n"/>
      <x:c r="E36" s="13" t="n"/>
      <x:c r="F36" s="13" t="n"/>
      <x:c r="G36" s="13" t="n"/>
      <x:c r="H36" s="13" t="n"/>
      <x:c r="I36" s="13" t="n"/>
      <x:c r="J36" s="13" t="n"/>
    </x:row>
    <x:row r="37">
      <x:c r="C37" s="13" t="n"/>
      <x:c r="D37" s="13" t="n"/>
      <x:c r="E37" s="13" t="n"/>
      <x:c r="F37" s="13" t="n"/>
      <x:c r="G37" s="13" t="n"/>
      <x:c r="H37" s="13" t="n"/>
      <x:c r="I37" s="13" t="n"/>
      <x:c r="J37" s="13" t="n"/>
    </x:row>
    <x:row r="38">
      <x:c r="C38" s="13" t="n"/>
      <x:c r="D38" s="13" t="n"/>
      <x:c r="E38" s="13" t="n"/>
      <x:c r="F38" s="13" t="n"/>
      <x:c r="G38" s="13" t="n"/>
      <x:c r="H38" s="13" t="n"/>
      <x:c r="I38" s="13" t="n"/>
      <x:c r="J38" s="13" t="n"/>
    </x:row>
    <x:row r="39">
      <x:c r="C39" s="13" t="n"/>
      <x:c r="D39" s="13" t="n"/>
      <x:c r="E39" s="13" t="n"/>
      <x:c r="F39" s="13" t="n"/>
      <x:c r="G39" s="13" t="n"/>
      <x:c r="H39" s="13" t="n"/>
      <x:c r="I39" s="13" t="n"/>
      <x:c r="J39" s="13" t="n"/>
    </x:row>
    <x:row r="40">
      <x:c r="C40" s="13" t="n"/>
      <x:c r="D40" s="13" t="n"/>
      <x:c r="E40" s="13" t="n"/>
      <x:c r="F40" s="13" t="n"/>
      <x:c r="G40" s="13" t="n"/>
      <x:c r="H40" s="13" t="n"/>
      <x:c r="I40" s="13" t="n"/>
      <x:c r="J40" s="13" t="n"/>
    </x:row>
    <x:row r="41">
      <x:c r="C41" s="13" t="n"/>
      <x:c r="D41" s="13" t="n"/>
      <x:c r="E41" s="13" t="n"/>
      <x:c r="F41" s="13" t="n"/>
      <x:c r="G41" s="13" t="n"/>
      <x:c r="H41" s="13" t="n"/>
      <x:c r="I41" s="13" t="n"/>
      <x:c r="J41" s="13" t="n"/>
    </x:row>
    <x:row r="42">
      <x:c r="C42" s="13" t="n"/>
      <x:c r="D42" s="13" t="n"/>
      <x:c r="E42" s="13" t="n"/>
      <x:c r="F42" s="13" t="n"/>
      <x:c r="G42" s="13" t="n"/>
      <x:c r="H42" s="13" t="n"/>
      <x:c r="I42" s="13" t="n"/>
      <x:c r="J42" s="13" t="n"/>
    </x:row>
    <x:row r="43">
      <x:c r="C43" s="13" t="n"/>
      <x:c r="D43" s="13" t="n"/>
      <x:c r="E43" s="13" t="n"/>
      <x:c r="F43" s="13" t="n"/>
      <x:c r="G43" s="13" t="n"/>
      <x:c r="H43" s="13" t="n"/>
      <x:c r="I43" s="13" t="n"/>
      <x:c r="J43" s="13" t="n"/>
    </x:row>
    <x:row r="44">
      <x:c r="C44" s="13" t="n"/>
      <x:c r="D44" s="13" t="n"/>
      <x:c r="E44" s="13" t="n"/>
      <x:c r="F44" s="13" t="n"/>
      <x:c r="G44" s="13" t="n"/>
      <x:c r="H44" s="13" t="n"/>
      <x:c r="I44" s="13" t="n"/>
      <x:c r="J44" s="13" t="n"/>
    </x:row>
    <x:row r="45">
      <x:c r="C45" s="13" t="n"/>
      <x:c r="D45" s="13" t="n"/>
      <x:c r="E45" s="13" t="n"/>
      <x:c r="F45" s="13" t="n"/>
      <x:c r="G45" s="13" t="n"/>
      <x:c r="H45" s="13" t="n"/>
      <x:c r="I45" s="13" t="n"/>
      <x:c r="J45" s="13" t="n"/>
    </x:row>
    <x:row r="46">
      <x:c r="C46" s="13" t="n"/>
      <x:c r="D46" s="13" t="n"/>
      <x:c r="E46" s="13" t="n"/>
      <x:c r="F46" s="13" t="n"/>
      <x:c r="G46" s="13" t="n"/>
      <x:c r="H46" s="13" t="n"/>
      <x:c r="I46" s="13" t="n"/>
      <x:c r="J46" s="13" t="n"/>
    </x:row>
    <x:row r="47">
      <x:c r="C47" s="13" t="n"/>
      <x:c r="D47" s="13" t="n"/>
      <x:c r="E47" s="13" t="n"/>
      <x:c r="F47" s="13" t="n"/>
      <x:c r="G47" s="13" t="n"/>
      <x:c r="H47" s="13" t="n"/>
      <x:c r="I47" s="13" t="n"/>
      <x:c r="J47" s="13" t="n"/>
    </x:row>
    <x:row r="48">
      <x:c r="C48" s="13" t="n"/>
      <x:c r="D48" s="13" t="n"/>
      <x:c r="E48" s="13" t="n"/>
      <x:c r="F48" s="13" t="n"/>
      <x:c r="G48" s="13" t="n"/>
      <x:c r="H48" s="13" t="n"/>
      <x:c r="I48" s="13" t="n"/>
      <x:c r="J48" s="13" t="n"/>
    </x:row>
    <x:row r="49">
      <x:c r="C49" s="13" t="n"/>
      <x:c r="D49" s="13" t="n"/>
      <x:c r="E49" s="13" t="n"/>
      <x:c r="F49" s="13" t="n"/>
      <x:c r="G49" s="13" t="n"/>
      <x:c r="H49" s="13" t="n"/>
      <x:c r="I49" s="13" t="n"/>
      <x:c r="J49" s="13" t="n"/>
    </x:row>
    <x:row r="50">
      <x:c r="C50" s="13" t="n"/>
      <x:c r="D50" s="13" t="n"/>
      <x:c r="E50" s="13" t="n"/>
      <x:c r="F50" s="13" t="n"/>
      <x:c r="G50" s="13" t="n"/>
      <x:c r="H50" s="13" t="n"/>
      <x:c r="I50" s="13" t="n"/>
      <x:c r="J50" s="13" t="n"/>
    </x:row>
    <x:row r="51">
      <x:c r="C51" s="13" t="n"/>
      <x:c r="D51" s="13" t="n"/>
      <x:c r="E51" s="13" t="n"/>
      <x:c r="F51" s="13" t="n"/>
      <x:c r="G51" s="13" t="n"/>
      <x:c r="H51" s="13" t="n"/>
      <x:c r="I51" s="13" t="n"/>
      <x:c r="J51" s="13" t="n"/>
    </x:row>
    <x:row r="52">
      <x:c r="C52" s="13" t="n"/>
      <x:c r="D52" s="13" t="n"/>
      <x:c r="E52" s="13" t="n"/>
      <x:c r="F52" s="13" t="n"/>
      <x:c r="G52" s="13" t="n"/>
      <x:c r="H52" s="13" t="n"/>
      <x:c r="I52" s="13" t="n"/>
      <x:c r="J52" s="13" t="n"/>
    </x:row>
    <x:row r="53">
      <x:c r="C53" s="13" t="n"/>
      <x:c r="D53" s="13" t="n"/>
      <x:c r="E53" s="13" t="n"/>
      <x:c r="F53" s="13" t="n"/>
      <x:c r="G53" s="13" t="n"/>
      <x:c r="H53" s="13" t="n"/>
      <x:c r="I53" s="13" t="n"/>
      <x:c r="J53" s="13" t="n"/>
    </x:row>
    <x:row r="54">
      <x:c r="C54" s="13" t="n"/>
      <x:c r="D54" s="13" t="n"/>
      <x:c r="E54" s="13" t="n"/>
      <x:c r="F54" s="13" t="n"/>
      <x:c r="G54" s="13" t="n"/>
      <x:c r="H54" s="13" t="n"/>
      <x:c r="I54" s="13" t="n"/>
      <x:c r="J54" s="13" t="n"/>
    </x:row>
    <x:row r="55">
      <x:c r="C55" s="13" t="n"/>
      <x:c r="D55" s="13" t="n"/>
      <x:c r="E55" s="13" t="n"/>
      <x:c r="F55" s="13" t="n"/>
      <x:c r="G55" s="13" t="n"/>
      <x:c r="H55" s="13" t="n"/>
      <x:c r="I55" s="13" t="n"/>
      <x:c r="J55" s="13" t="n"/>
    </x:row>
    <x:row r="56">
      <x:c r="C56" s="13" t="n"/>
      <x:c r="D56" s="13" t="n"/>
      <x:c r="E56" s="13" t="n"/>
      <x:c r="F56" s="13" t="n"/>
      <x:c r="G56" s="13" t="n"/>
      <x:c r="H56" s="13" t="n"/>
      <x:c r="I56" s="13" t="n"/>
      <x:c r="J56" s="13" t="n"/>
    </x:row>
    <x:row r="57">
      <x:c r="C57" s="13" t="n"/>
      <x:c r="D57" s="13" t="n"/>
      <x:c r="E57" s="13" t="n"/>
      <x:c r="F57" s="13" t="n"/>
      <x:c r="G57" s="13" t="n"/>
      <x:c r="H57" s="13" t="n"/>
      <x:c r="I57" s="13" t="n"/>
      <x:c r="J57" s="13" t="n"/>
    </x:row>
    <x:row r="58">
      <x:c r="C58" s="13" t="n"/>
      <x:c r="D58" s="13" t="n"/>
      <x:c r="E58" s="13" t="n"/>
      <x:c r="F58" s="13" t="n"/>
      <x:c r="G58" s="13" t="n"/>
      <x:c r="H58" s="13" t="n"/>
      <x:c r="I58" s="13" t="n"/>
      <x:c r="J58" s="13" t="n"/>
    </x:row>
    <x:row r="59">
      <x:c r="C59" s="13" t="n"/>
      <x:c r="D59" s="13" t="n"/>
      <x:c r="E59" s="13" t="n"/>
      <x:c r="F59" s="13" t="n"/>
      <x:c r="G59" s="13" t="n"/>
      <x:c r="H59" s="13" t="n"/>
      <x:c r="I59" s="13" t="n"/>
      <x:c r="J59" s="13" t="n"/>
    </x:row>
    <x:row r="60">
      <x:c r="C60" s="13" t="n"/>
      <x:c r="D60" s="13" t="n"/>
      <x:c r="E60" s="13" t="n"/>
      <x:c r="F60" s="13" t="n"/>
      <x:c r="G60" s="13" t="n"/>
      <x:c r="H60" s="13" t="n"/>
      <x:c r="I60" s="13" t="n"/>
      <x:c r="J60" s="13" t="n"/>
    </x:row>
    <x:row r="61">
      <x:c r="C61" s="13" t="n"/>
      <x:c r="D61" s="13" t="n"/>
      <x:c r="E61" s="13" t="n"/>
      <x:c r="F61" s="13" t="n"/>
      <x:c r="G61" s="13" t="n"/>
      <x:c r="H61" s="13" t="n"/>
      <x:c r="I61" s="13" t="n"/>
      <x:c r="J61" s="13" t="n"/>
    </x:row>
    <x:row r="62">
      <x:c r="C62" s="13" t="n"/>
      <x:c r="D62" s="13" t="n"/>
      <x:c r="E62" s="13" t="n"/>
      <x:c r="F62" s="13" t="n"/>
      <x:c r="G62" s="13" t="n"/>
      <x:c r="H62" s="13" t="n"/>
      <x:c r="I62" s="13" t="n"/>
      <x:c r="J62" s="13" t="n"/>
    </x:row>
    <x:row r="63">
      <x:c r="C63" s="13" t="n"/>
      <x:c r="D63" s="13" t="n"/>
      <x:c r="E63" s="13" t="n"/>
      <x:c r="F63" s="13" t="n"/>
      <x:c r="G63" s="13" t="n"/>
      <x:c r="H63" s="13" t="n"/>
      <x:c r="I63" s="13" t="n"/>
      <x:c r="J63" s="13" t="n"/>
    </x:row>
    <x:row r="64">
      <x:c r="C64" s="13" t="n"/>
      <x:c r="D64" s="13" t="n"/>
      <x:c r="E64" s="13" t="n"/>
      <x:c r="F64" s="13" t="n"/>
      <x:c r="G64" s="13" t="n"/>
      <x:c r="H64" s="13" t="n"/>
      <x:c r="I64" s="13" t="n"/>
      <x:c r="J64" s="13" t="n"/>
    </x:row>
    <x:row r="65">
      <x:c r="C65" s="13" t="n"/>
      <x:c r="D65" s="13" t="n"/>
      <x:c r="E65" s="13" t="n"/>
      <x:c r="F65" s="13" t="n"/>
      <x:c r="G65" s="13" t="n"/>
      <x:c r="H65" s="13" t="n"/>
      <x:c r="I65" s="13" t="n"/>
      <x:c r="J65" s="13" t="n"/>
    </x:row>
    <x:row r="66">
      <x:c r="C66" s="13" t="n"/>
      <x:c r="D66" s="13" t="n"/>
      <x:c r="E66" s="13" t="n"/>
      <x:c r="F66" s="13" t="n"/>
      <x:c r="G66" s="13" t="n"/>
      <x:c r="H66" s="13" t="n"/>
      <x:c r="I66" s="13" t="n"/>
      <x:c r="J66" s="13" t="n"/>
    </x:row>
    <x:row r="67">
      <x:c r="C67" s="13" t="n"/>
      <x:c r="D67" s="13" t="n"/>
      <x:c r="E67" s="13" t="n"/>
      <x:c r="F67" s="13" t="n"/>
      <x:c r="G67" s="13" t="n"/>
      <x:c r="H67" s="13" t="n"/>
      <x:c r="I67" s="13" t="n"/>
      <x:c r="J67" s="13" t="n"/>
    </x:row>
    <x:row r="68">
      <x:c r="C68" s="13" t="n"/>
      <x:c r="D68" s="13" t="n"/>
      <x:c r="E68" s="13" t="n"/>
      <x:c r="F68" s="13" t="n"/>
      <x:c r="G68" s="13" t="n"/>
      <x:c r="H68" s="13" t="n"/>
      <x:c r="I68" s="13" t="n"/>
      <x:c r="J68" s="13" t="n"/>
    </x:row>
    <x:row r="69">
      <x:c r="C69" s="13" t="n"/>
      <x:c r="D69" s="13" t="n"/>
      <x:c r="E69" s="13" t="n"/>
      <x:c r="F69" s="13" t="n"/>
      <x:c r="G69" s="13" t="n"/>
      <x:c r="H69" s="13" t="n"/>
      <x:c r="I69" s="13" t="n"/>
      <x:c r="J69" s="13" t="n"/>
    </x:row>
    <x:row r="70">
      <x:c r="C70" s="13" t="n"/>
      <x:c r="D70" s="13" t="n"/>
      <x:c r="E70" s="13" t="n"/>
      <x:c r="F70" s="13" t="n"/>
      <x:c r="G70" s="13" t="n"/>
      <x:c r="H70" s="13" t="n"/>
      <x:c r="I70" s="13" t="n"/>
      <x:c r="J70" s="13" t="n"/>
    </x:row>
    <x:row r="71">
      <x:c r="C71" s="13" t="n"/>
      <x:c r="D71" s="13" t="n"/>
      <x:c r="E71" s="13" t="n"/>
      <x:c r="F71" s="13" t="n"/>
      <x:c r="G71" s="13" t="n"/>
      <x:c r="H71" s="13" t="n"/>
      <x:c r="I71" s="13" t="n"/>
      <x:c r="J71" s="13" t="n"/>
    </x:row>
    <x:row r="72">
      <x:c r="C72" s="13" t="n"/>
      <x:c r="D72" s="13" t="n"/>
      <x:c r="E72" s="13" t="n"/>
      <x:c r="F72" s="13" t="n"/>
      <x:c r="G72" s="13" t="n"/>
      <x:c r="H72" s="13" t="n"/>
      <x:c r="I72" s="13" t="n"/>
      <x:c r="J72" s="13" t="n"/>
    </x:row>
    <x:row r="73">
      <x:c r="C73" s="13" t="n"/>
      <x:c r="D73" s="13" t="n"/>
      <x:c r="E73" s="13" t="n"/>
      <x:c r="F73" s="13" t="n"/>
      <x:c r="G73" s="13" t="n"/>
      <x:c r="H73" s="13" t="n"/>
      <x:c r="I73" s="13" t="n"/>
      <x:c r="J73" s="13" t="n"/>
    </x:row>
    <x:row r="74">
      <x:c r="C74" s="13" t="n"/>
      <x:c r="D74" s="13" t="n"/>
      <x:c r="E74" s="13" t="n"/>
      <x:c r="F74" s="13" t="n"/>
      <x:c r="G74" s="13" t="n"/>
      <x:c r="H74" s="13" t="n"/>
      <x:c r="I74" s="13" t="n"/>
      <x:c r="J74" s="13" t="n"/>
    </x:row>
    <x:row r="75">
      <x:c r="C75" s="13" t="n"/>
      <x:c r="D75" s="13" t="n"/>
      <x:c r="E75" s="13" t="n"/>
      <x:c r="F75" s="13" t="n"/>
      <x:c r="G75" s="13" t="n"/>
      <x:c r="H75" s="13" t="n"/>
      <x:c r="I75" s="13" t="n"/>
      <x:c r="J75" s="13" t="n"/>
    </x:row>
    <x:row r="76">
      <x:c r="C76" s="13" t="n"/>
      <x:c r="D76" s="13" t="n"/>
      <x:c r="E76" s="13" t="n"/>
      <x:c r="F76" s="13" t="n"/>
      <x:c r="G76" s="13" t="n"/>
      <x:c r="H76" s="13" t="n"/>
      <x:c r="I76" s="13" t="n"/>
      <x:c r="J76" s="13" t="n"/>
    </x:row>
    <x:row r="77">
      <x:c r="C77" s="13" t="n"/>
      <x:c r="D77" s="13" t="n"/>
      <x:c r="E77" s="13" t="n"/>
      <x:c r="F77" s="13" t="n"/>
      <x:c r="G77" s="13" t="n"/>
      <x:c r="H77" s="13" t="n"/>
      <x:c r="I77" s="13" t="n"/>
      <x:c r="J77" s="13" t="n"/>
    </x:row>
    <x:row r="78">
      <x:c r="C78" s="13" t="n"/>
      <x:c r="D78" s="13" t="n"/>
      <x:c r="E78" s="13" t="n"/>
      <x:c r="F78" s="13" t="n"/>
      <x:c r="G78" s="13" t="n"/>
      <x:c r="H78" s="13" t="n"/>
      <x:c r="I78" s="13" t="n"/>
      <x:c r="J78" s="13" t="n"/>
    </x:row>
    <x:row r="79">
      <x:c r="C79" s="13" t="n"/>
      <x:c r="D79" s="13" t="n"/>
      <x:c r="E79" s="13" t="n"/>
      <x:c r="F79" s="13" t="n"/>
      <x:c r="G79" s="13" t="n"/>
      <x:c r="H79" s="13" t="n"/>
      <x:c r="I79" s="13" t="n"/>
      <x:c r="J79" s="13" t="n"/>
    </x:row>
    <x:row r="80">
      <x:c r="C80" s="13" t="n"/>
      <x:c r="D80" s="13" t="n"/>
      <x:c r="E80" s="13" t="n"/>
      <x:c r="F80" s="13" t="n"/>
      <x:c r="G80" s="13" t="n"/>
      <x:c r="H80" s="13" t="n"/>
      <x:c r="I80" s="13" t="n"/>
      <x:c r="J80" s="13" t="n"/>
    </x:row>
    <x:row r="81">
      <x:c r="C81" s="13" t="n"/>
      <x:c r="D81" s="13" t="n"/>
      <x:c r="E81" s="13" t="n"/>
      <x:c r="F81" s="13" t="n"/>
      <x:c r="G81" s="13" t="n"/>
      <x:c r="H81" s="13" t="n"/>
      <x:c r="I81" s="13" t="n"/>
      <x:c r="J81" s="13" t="n"/>
    </x:row>
    <x:row r="82">
      <x:c r="C82" s="13" t="n"/>
      <x:c r="D82" s="13" t="n"/>
      <x:c r="E82" s="13" t="n"/>
      <x:c r="F82" s="13" t="n"/>
      <x:c r="G82" s="13" t="n"/>
      <x:c r="H82" s="13" t="n"/>
      <x:c r="I82" s="13" t="n"/>
      <x:c r="J82" s="13" t="n"/>
    </x:row>
    <x:row r="83">
      <x:c r="C83" s="13" t="n"/>
      <x:c r="D83" s="13" t="n"/>
      <x:c r="E83" s="13" t="n"/>
      <x:c r="F83" s="13" t="n"/>
      <x:c r="G83" s="13" t="n"/>
      <x:c r="H83" s="13" t="n"/>
      <x:c r="I83" s="13" t="n"/>
      <x:c r="J83" s="13" t="n"/>
    </x:row>
    <x:row r="84">
      <x:c r="C84" s="13" t="n"/>
      <x:c r="D84" s="13" t="n"/>
      <x:c r="E84" s="13" t="n"/>
      <x:c r="F84" s="13" t="n"/>
      <x:c r="G84" s="13" t="n"/>
      <x:c r="H84" s="13" t="n"/>
      <x:c r="I84" s="13" t="n"/>
      <x:c r="J84" s="13" t="n"/>
    </x:row>
    <x:row r="85">
      <x:c r="C85" s="13" t="n"/>
      <x:c r="D85" s="13" t="n"/>
      <x:c r="E85" s="13" t="n"/>
      <x:c r="F85" s="13" t="n"/>
      <x:c r="G85" s="13" t="n"/>
      <x:c r="H85" s="13" t="n"/>
      <x:c r="I85" s="13" t="n"/>
      <x:c r="J85" s="13" t="n"/>
    </x:row>
    <x:row r="86">
      <x:c r="C86" s="13" t="n"/>
      <x:c r="D86" s="13" t="n"/>
      <x:c r="E86" s="13" t="n"/>
      <x:c r="F86" s="13" t="n"/>
      <x:c r="G86" s="13" t="n"/>
      <x:c r="H86" s="13" t="n"/>
      <x:c r="I86" s="13" t="n"/>
      <x:c r="J86" s="13" t="n"/>
    </x:row>
    <x:row r="87">
      <x:c r="C87" s="13" t="n"/>
      <x:c r="D87" s="13" t="n"/>
      <x:c r="E87" s="13" t="n"/>
      <x:c r="F87" s="13" t="n"/>
      <x:c r="G87" s="13" t="n"/>
      <x:c r="H87" s="13" t="n"/>
      <x:c r="I87" s="13" t="n"/>
      <x:c r="J87" s="13" t="n"/>
    </x:row>
    <x:row r="88">
      <x:c r="C88" s="13" t="n"/>
      <x:c r="D88" s="13" t="n"/>
      <x:c r="E88" s="13" t="n"/>
      <x:c r="F88" s="13" t="n"/>
      <x:c r="G88" s="13" t="n"/>
      <x:c r="H88" s="13" t="n"/>
      <x:c r="I88" s="13" t="n"/>
      <x:c r="J88" s="13" t="n"/>
    </x:row>
    <x:row r="89">
      <x:c r="C89" s="13" t="n"/>
      <x:c r="D89" s="13" t="n"/>
      <x:c r="E89" s="13" t="n"/>
      <x:c r="F89" s="13" t="n"/>
      <x:c r="G89" s="13" t="n"/>
      <x:c r="H89" s="13" t="n"/>
      <x:c r="I89" s="13" t="n"/>
      <x:c r="J89" s="13" t="n"/>
    </x:row>
    <x:row r="90">
      <x:c r="C90" s="13" t="n"/>
      <x:c r="D90" s="13" t="n"/>
      <x:c r="E90" s="13" t="n"/>
      <x:c r="F90" s="13" t="n"/>
      <x:c r="G90" s="13" t="n"/>
      <x:c r="H90" s="13" t="n"/>
      <x:c r="I90" s="13" t="n"/>
      <x:c r="J90" s="13" t="n"/>
    </x:row>
    <x:row r="91">
      <x:c r="C91" s="13" t="n"/>
      <x:c r="D91" s="13" t="n"/>
      <x:c r="E91" s="13" t="n"/>
      <x:c r="F91" s="13" t="n"/>
      <x:c r="G91" s="13" t="n"/>
      <x:c r="H91" s="13" t="n"/>
      <x:c r="I91" s="13" t="n"/>
      <x:c r="J91" s="13" t="n"/>
    </x:row>
    <x:row r="92">
      <x:c r="C92" s="13" t="n"/>
      <x:c r="D92" s="13" t="n"/>
      <x:c r="E92" s="13" t="n"/>
      <x:c r="F92" s="13" t="n"/>
      <x:c r="G92" s="13" t="n"/>
      <x:c r="H92" s="13" t="n"/>
      <x:c r="I92" s="13" t="n"/>
      <x:c r="J92" s="13" t="n"/>
    </x:row>
    <x:row r="93">
      <x:c r="C93" s="13" t="n"/>
      <x:c r="D93" s="13" t="n"/>
      <x:c r="E93" s="13" t="n"/>
      <x:c r="F93" s="13" t="n"/>
      <x:c r="G93" s="13" t="n"/>
      <x:c r="H93" s="13" t="n"/>
      <x:c r="I93" s="13" t="n"/>
      <x:c r="J93" s="13" t="n"/>
    </x:row>
    <x:row r="94">
      <x:c r="C94" s="13" t="n"/>
      <x:c r="D94" s="13" t="n"/>
      <x:c r="E94" s="13" t="n"/>
      <x:c r="F94" s="13" t="n"/>
      <x:c r="G94" s="13" t="n"/>
      <x:c r="H94" s="13" t="n"/>
      <x:c r="I94" s="13" t="n"/>
      <x:c r="J94" s="13" t="n"/>
    </x:row>
    <x:row r="95">
      <x:c r="C95" s="13" t="n"/>
      <x:c r="D95" s="13" t="n"/>
      <x:c r="E95" s="13" t="n"/>
      <x:c r="F95" s="13" t="n"/>
      <x:c r="G95" s="13" t="n"/>
      <x:c r="H95" s="13" t="n"/>
      <x:c r="I95" s="13" t="n"/>
      <x:c r="J95" s="13" t="n"/>
    </x:row>
    <x:row r="96">
      <x:c r="C96" s="13" t="n"/>
      <x:c r="D96" s="13" t="n"/>
      <x:c r="E96" s="13" t="n"/>
      <x:c r="F96" s="13" t="n"/>
      <x:c r="G96" s="13" t="n"/>
      <x:c r="H96" s="13" t="n"/>
      <x:c r="I96" s="13" t="n"/>
      <x:c r="J96" s="13" t="n"/>
    </x:row>
    <x:row r="97">
      <x:c r="C97" s="13" t="n"/>
      <x:c r="D97" s="13" t="n"/>
      <x:c r="E97" s="13" t="n"/>
      <x:c r="F97" s="13" t="n"/>
      <x:c r="G97" s="13" t="n"/>
      <x:c r="H97" s="13" t="n"/>
      <x:c r="I97" s="13" t="n"/>
      <x:c r="J97" s="13" t="n"/>
    </x:row>
    <x:row r="98">
      <x:c r="C98" s="13" t="n"/>
      <x:c r="D98" s="13" t="n"/>
      <x:c r="E98" s="13" t="n"/>
      <x:c r="F98" s="13" t="n"/>
      <x:c r="G98" s="13" t="n"/>
      <x:c r="H98" s="13" t="n"/>
      <x:c r="I98" s="13" t="n"/>
      <x:c r="J98" s="13" t="n"/>
    </x:row>
    <x:row r="99">
      <x:c r="C99" s="13" t="n"/>
      <x:c r="D99" s="13" t="n"/>
      <x:c r="E99" s="13" t="n"/>
      <x:c r="F99" s="13" t="n"/>
      <x:c r="G99" s="13" t="n"/>
      <x:c r="H99" s="13" t="n"/>
      <x:c r="I99" s="13" t="n"/>
      <x:c r="J99" s="13" t="n"/>
    </x:row>
    <x:row r="100">
      <x:c r="C100" s="13" t="n"/>
      <x:c r="D100" s="13" t="n"/>
      <x:c r="E100" s="13" t="n"/>
      <x:c r="F100" s="13" t="n"/>
      <x:c r="G100" s="13" t="n"/>
      <x:c r="H100" s="13" t="n"/>
      <x:c r="I100" s="13" t="n"/>
      <x:c r="J100" s="13" t="n"/>
    </x:row>
  </x:sheetData>
  <x:conditionalFormatting sqref="J2:J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71bfc99edc7c4fed"/>
  </x:tableParts>
</x:worksheet>
</file>

<file path=xl/worksheets/sheet5.xml><?xml version="1.0" encoding="utf-8"?>
<x:worksheet xmlns:x="http://schemas.openxmlformats.org/spreadsheetml/2006/main">
  <x:sheetFormatPr baseColWidth="8" defaultRowHeight="14.25"/>
  <x:cols>
    <x:col min="1" max="11" width="16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Infraestrutura</x:t>
        </x:is>
      </x:c>
      <x:c r="D1" s="4" t="inlineStr">
        <x:is>
          <x:t xml:space="preserve">Mobilidade</x:t>
        </x:is>
      </x:c>
      <x:c r="E1" s="4" t="inlineStr">
        <x:is>
          <x:t xml:space="preserve">Turismo</x:t>
        </x:is>
      </x:c>
      <x:c r="F1" s="4" t="inlineStr">
        <x:is>
          <x:t xml:space="preserve">Hospitalidade</x:t>
        </x:is>
      </x:c>
      <x:c r="G1" s="4" t="inlineStr">
        <x:is>
          <x:t xml:space="preserve">Voluntariado</x:t>
        </x:is>
      </x:c>
      <x:c r="H1" s="4" t="inlineStr">
        <x:is>
          <x:t xml:space="preserve">Comunicação</x:t>
        </x:is>
      </x:c>
      <x:c r="I1" s="4" t="inlineStr">
        <x:is>
          <x:t xml:space="preserve">Segurança</x:t>
        </x:is>
      </x:c>
      <x:c r="J1" s="4" t="inlineStr">
        <x:is>
          <x:t xml:space="preserve">INP</x:t>
        </x:is>
      </x:c>
      <x:c r="K1" s="4" t="inlineStr">
        <x:is>
          <x:t xml:space="preserve">Classificação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23" t="n">
        <x:v>82</x:v>
      </x:c>
      <x:c r="D2" s="23" t="n">
        <x:v>78</x:v>
      </x:c>
      <x:c r="E2" s="23" t="n">
        <x:v>86</x:v>
      </x:c>
      <x:c r="F2" s="23" t="n">
        <x:v>84</x:v>
      </x:c>
      <x:c r="G2" s="23" t="n">
        <x:v>70</x:v>
      </x:c>
      <x:c r="H2" s="23" t="n">
        <x:v>76</x:v>
      </x:c>
      <x:c r="I2" s="23" t="n">
        <x:v>83</x:v>
      </x:c>
      <x:c r="J2" s="23" t="n">
        <x:f>AVERAGE(C2:I2)</x:f>
        <x:v>79.85714285714286</x:v>
      </x:c>
      <x:c r="K2" s="23" t="str">
        <x:f>IF(J2&gt;=85,"Excelente",IF(J2&gt;=70,"Alta",IF(J2&gt;=50,"Moderada",IF(J2&gt;=30,"Baixa","Muito baixa"))))</x:f>
        <x:v>Alta</x:v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23" t="n">
        <x:v>88</x:v>
      </x:c>
      <x:c r="D3" s="23" t="n">
        <x:v>85</x:v>
      </x:c>
      <x:c r="E3" s="23" t="n">
        <x:v>90</x:v>
      </x:c>
      <x:c r="F3" s="23" t="n">
        <x:v>87</x:v>
      </x:c>
      <x:c r="G3" s="23" t="n">
        <x:v>72</x:v>
      </x:c>
      <x:c r="H3" s="23" t="n">
        <x:v>80</x:v>
      </x:c>
      <x:c r="I3" s="23" t="n">
        <x:v>86</x:v>
      </x:c>
      <x:c r="J3" s="23" t="n">
        <x:f>AVERAGE(C3:I3)</x:f>
        <x:v>84</x:v>
      </x:c>
      <x:c r="K3" s="23" t="str">
        <x:f>IF(J3&gt;=85,"Excelente",IF(J3&gt;=70,"Alta",IF(J3&gt;=50,"Moderada",IF(J3&gt;=30,"Baixa","Muito baixa"))))</x:f>
        <x:v>Alta</x:v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23" t="n">
        <x:v>76</x:v>
      </x:c>
      <x:c r="D4" s="23" t="n">
        <x:v>74</x:v>
      </x:c>
      <x:c r="E4" s="23" t="n">
        <x:v>79</x:v>
      </x:c>
      <x:c r="F4" s="23" t="n">
        <x:v>77</x:v>
      </x:c>
      <x:c r="G4" s="23" t="n">
        <x:v>68</x:v>
      </x:c>
      <x:c r="H4" s="23" t="n">
        <x:v>72</x:v>
      </x:c>
      <x:c r="I4" s="23" t="n">
        <x:v>80</x:v>
      </x:c>
      <x:c r="J4" s="23" t="n">
        <x:f>AVERAGE(C4:I4)</x:f>
        <x:v>75.14285714285714</x:v>
      </x:c>
      <x:c r="K4" s="23" t="str">
        <x:f>IF(J4&gt;=85,"Excelente",IF(J4&gt;=70,"Alta",IF(J4&gt;=50,"Moderada",IF(J4&gt;=30,"Baixa","Muito baixa"))))</x:f>
        <x:v>Alta</x:v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23" t="n">
        <x:v>72</x:v>
      </x:c>
      <x:c r="D5" s="23" t="n">
        <x:v>69</x:v>
      </x:c>
      <x:c r="E5" s="23" t="n">
        <x:v>82</x:v>
      </x:c>
      <x:c r="F5" s="23" t="n">
        <x:v>80</x:v>
      </x:c>
      <x:c r="G5" s="23" t="n">
        <x:v>65</x:v>
      </x:c>
      <x:c r="H5" s="23" t="n">
        <x:v>74</x:v>
      </x:c>
      <x:c r="I5" s="23" t="n">
        <x:v>78</x:v>
      </x:c>
      <x:c r="J5" s="23" t="n">
        <x:f>AVERAGE(C5:I5)</x:f>
        <x:v>74.28571428571429</x:v>
      </x:c>
      <x:c r="K5" s="23" t="str">
        <x:f>IF(J5&gt;=85,"Excelente",IF(J5&gt;=70,"Alta",IF(J5&gt;=50,"Moderada",IF(J5&gt;=30,"Baixa","Muito baixa"))))</x:f>
        <x:v>Alta</x:v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23" t="n">
        <x:v>70</x:v>
      </x:c>
      <x:c r="D6" s="23" t="n">
        <x:v>68</x:v>
      </x:c>
      <x:c r="E6" s="23" t="n">
        <x:v>80</x:v>
      </x:c>
      <x:c r="F6" s="23" t="n">
        <x:v>78</x:v>
      </x:c>
      <x:c r="G6" s="23" t="n">
        <x:v>66</x:v>
      </x:c>
      <x:c r="H6" s="23" t="n">
        <x:v>71</x:v>
      </x:c>
      <x:c r="I6" s="23" t="n">
        <x:v>77</x:v>
      </x:c>
      <x:c r="J6" s="23" t="n">
        <x:f>AVERAGE(C6:I6)</x:f>
        <x:v>72.85714285714286</x:v>
      </x:c>
      <x:c r="K6" s="23" t="str">
        <x:f>IF(J6&gt;=85,"Excelente",IF(J6&gt;=70,"Alta",IF(J6&gt;=50,"Moderada",IF(J6&gt;=30,"Baixa","Muito baixa"))))</x:f>
        <x:v>Alta</x:v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23" t="n">
        <x:v>71</x:v>
      </x:c>
      <x:c r="D7" s="23" t="n">
        <x:v>70</x:v>
      </x:c>
      <x:c r="E7" s="23" t="n">
        <x:v>81</x:v>
      </x:c>
      <x:c r="F7" s="23" t="n">
        <x:v>79</x:v>
      </x:c>
      <x:c r="G7" s="23" t="n">
        <x:v>64</x:v>
      </x:c>
      <x:c r="H7" s="23" t="n">
        <x:v>70</x:v>
      </x:c>
      <x:c r="I7" s="23" t="n">
        <x:v>76</x:v>
      </x:c>
      <x:c r="J7" s="23" t="n">
        <x:f>AVERAGE(C7:I7)</x:f>
        <x:v>73</x:v>
      </x:c>
      <x:c r="K7" s="23" t="str">
        <x:f>IF(J7&gt;=85,"Excelente",IF(J7&gt;=70,"Alta",IF(J7&gt;=50,"Moderada",IF(J7&gt;=30,"Baixa","Muito baixa"))))</x:f>
        <x:v>Alta</x:v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23" t="n">
        <x:v>84</x:v>
      </x:c>
      <x:c r="D8" s="23" t="n">
        <x:v>82</x:v>
      </x:c>
      <x:c r="E8" s="23" t="n">
        <x:v>78</x:v>
      </x:c>
      <x:c r="F8" s="23" t="n">
        <x:v>80</x:v>
      </x:c>
      <x:c r="G8" s="23" t="n">
        <x:v>75</x:v>
      </x:c>
      <x:c r="H8" s="23" t="n">
        <x:v>79</x:v>
      </x:c>
      <x:c r="I8" s="23" t="n">
        <x:v>88</x:v>
      </x:c>
      <x:c r="J8" s="23" t="n">
        <x:f>AVERAGE(C8:I8)</x:f>
        <x:v>80.85714285714286</x:v>
      </x:c>
      <x:c r="K8" s="23" t="str">
        <x:f>IF(J8&gt;=85,"Excelente",IF(J8&gt;=70,"Alta",IF(J8&gt;=50,"Moderada",IF(J8&gt;=30,"Baixa","Muito baixa"))))</x:f>
        <x:v>Alta</x:v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23" t="n">
        <x:v>74</x:v>
      </x:c>
      <x:c r="D9" s="23" t="n">
        <x:v>73</x:v>
      </x:c>
      <x:c r="E9" s="23" t="n">
        <x:v>76</x:v>
      </x:c>
      <x:c r="F9" s="23" t="n">
        <x:v>75</x:v>
      </x:c>
      <x:c r="G9" s="23" t="n">
        <x:v>69</x:v>
      </x:c>
      <x:c r="H9" s="23" t="n">
        <x:v>72</x:v>
      </x:c>
      <x:c r="I9" s="23" t="n">
        <x:v>79</x:v>
      </x:c>
      <x:c r="J9" s="23" t="n">
        <x:f>AVERAGE(C9:I9)</x:f>
        <x:v>74</x:v>
      </x:c>
      <x:c r="K9" s="23" t="str">
        <x:f>IF(J9&gt;=85,"Excelente",IF(J9&gt;=70,"Alta",IF(J9&gt;=50,"Moderada",IF(J9&gt;=30,"Baixa","Muito baixa"))))</x:f>
        <x:v>Alta</x:v>
      </x:c>
    </x:row>
  </x:sheetData>
  <x:conditionalFormatting sqref="C2:J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58431f6cd4264c91"/>
  </x:tableParts>
</x:worksheet>
</file>

<file path=xl/worksheets/sheet6.xml><?xml version="1.0" encoding="utf-8"?>
<x:worksheet xmlns:x="http://schemas.openxmlformats.org/spreadsheetml/2006/main">
  <x:sheetFormatPr baseColWidth="8" defaultRowHeight="14.25"/>
  <x:cols>
    <x:col min="1" max="1" width="18" style="1" customWidth="1"/>
    <x:col min="2" max="2" width="34" style="1" customWidth="1"/>
    <x:col min="3" max="8" width="18" style="1" customWidth="1"/>
    <x:col min="9" max="9" width="36" style="1" customWidth="1"/>
  </x:cols>
  <x:sheetData>
    <x:row r="1" s="1" customFormat="1" ht="24" customHeight="1">
      <x:c r="A1" s="4" t="inlineStr">
        <x:is>
          <x:t xml:space="preserve">Data</x:t>
        </x:is>
      </x:c>
      <x:c r="B1" s="4" t="inlineStr">
        <x:is>
          <x:t xml:space="preserve">Título</x:t>
        </x:is>
      </x:c>
      <x:c r="C1" s="4" t="inlineStr">
        <x:is>
          <x:t xml:space="preserve">Tema</x:t>
        </x:is>
      </x:c>
      <x:c r="D1" s="4" t="inlineStr">
        <x:is>
          <x:t xml:space="preserve">Cidade/UF</x:t>
        </x:is>
      </x:c>
      <x:c r="E1" s="4" t="inlineStr">
        <x:is>
          <x:t xml:space="preserve">Veículo</x:t>
        </x:is>
      </x:c>
      <x:c r="F1" s="4" t="inlineStr">
        <x:is>
          <x:t xml:space="preserve">Link</x:t>
        </x:is>
      </x:c>
      <x:c r="G1" s="4" t="inlineStr">
        <x:is>
          <x:t xml:space="preserve">Sentimento</x:t>
        </x:is>
      </x:c>
      <x:c r="H1" s="4" t="inlineStr">
        <x:is>
          <x:t xml:space="preserve">Impacto</x:t>
        </x:is>
      </x:c>
      <x:c r="I1" s="4" t="inlineStr">
        <x:is>
          <x:t xml:space="preserve">Resumo</x:t>
        </x:is>
      </x:c>
    </x:row>
    <x:row r="2" s="1" customFormat="1" ht="150.75" customHeight="1">
      <x:c r="A2" s="30" t="n">
        <x:v>46260</x:v>
      </x:c>
      <x:c r="B2" s="9" t="str">
        <x:v>Recife integrará programa de voluntários da Copa Feminina 2027</x:v>
      </x:c>
      <x:c r="C2" s="9" t="str">
        <x:v>Voluntariado / preparação das cidades-sede / Recife</x:v>
      </x:c>
      <x:c r="D2" s="9" t="str">
        <x:v>Recife/PE</x:v>
      </x:c>
      <x:c r="E2" s="9" t="str">
        <x:v>Folha de Pernambuco</x:v>
      </x:c>
      <x:c r="F2" s="9" t="str">
        <x:v>https://www.folhape.com.br/esportes/copa-feminina-2027-recife-integrara-programa-de-voluntarios/508924/</x:v>
      </x:c>
      <x:c r="G2" s="9" t="str">
        <x:v>Positivo</x:v>
      </x:c>
      <x:c r="H2" s="9" t="str">
        <x:v>Médio</x:v>
      </x:c>
      <x:c r="I2" s="9" t="str">
        <x:v>Recife confirmou participação no programa de voluntários da Copa do Mundo Feminina 2027. A seleção oficial para atuar no Mundial está prevista para começar em setembro, ampliando a preparação operacional e o envolvimento da cidade-sede pernambucana.</x:v>
      </x:c>
    </x:row>
    <x:row r="3" s="1" customFormat="1" ht="114" customHeight="1">
      <x:c r="A3" s="30" t="n">
        <x:v>46260</x:v>
      </x:c>
      <x:c r="B3" s="9" t="str">
        <x:v>Seleção Feminina Sub-20 inicia adaptação na Polônia após viagem</x:v>
      </x:c>
      <x:c r="C3" s="9" t="str">
        <x:v>Seleções de Base / Sub-20 Feminina / preparação</x:v>
      </x:c>
      <x:c r="D3" s="9" t="str">
        <x:v>Bielsko-Biała/POL</x:v>
      </x:c>
      <x:c r="E3" s="9" t="str">
        <x:v>CBF</x:v>
      </x:c>
      <x:c r="F3" s="9" t="str">
        <x:v>https://www.cbf.com.br/selecao-brasileira/noticias/selecao-feminina-sub-20/a/com-atividades-no-hotel-selecao-feminina-sub-20-comeca-adaptacao-na-polonia</x:v>
      </x:c>
      <x:c r="G3" s="9" t="str">
        <x:v>Positivo</x:v>
      </x:c>
      <x:c r="H3" s="9" t="str">
        <x:v>Médio</x:v>
      </x:c>
      <x:c r="I3" s="9" t="str">
        <x:v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x:v>
      </x:c>
    </x:row>
    <x:row r="4" s="1" customFormat="1" ht="99.75" customHeight="1">
      <x:c r="A4" s="30" t="n">
        <x:v>46260</x:v>
      </x:c>
      <x:c r="B4" s="9" t="str">
        <x:v>FIFA anuncia Tour da Taça por todas as cidades-sede antes da Copa 2027</x:v>
      </x:c>
      <x:c r="C4" s="9" t="str">
        <x:v>Tour da Taça / ativações / EVT-0090</x:v>
      </x:c>
      <x:c r="D4" s="9" t="str">
        <x:v>Brasil</x:v>
      </x:c>
      <x:c r="E4" s="9" t="str">
        <x:v>Correio do Povo</x:v>
      </x:c>
      <x:c r="F4" s="9" t="str">
        <x:v>https://www.correiodopovo.com.br/esportes/taca-da-copa-feminina-fara-tour-pelo-brasil-entre-abril-e-maio-de-2027-1.1742125</x:v>
      </x:c>
      <x:c r="G4" s="9" t="str">
        <x:v>Positivo</x:v>
      </x:c>
      <x:c r="H4" s="9" t="str">
        <x:v>Alto</x:v>
      </x:c>
      <x:c r="I4" s="9" t="str">
        <x:v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x:v>
      </x:c>
    </x:row>
    <x:row r="5" s="1" customFormat="1" ht="128.25" customHeight="1">
      <x:c r="A5" s="30" t="n">
        <x:v>46260</x:v>
      </x:c>
      <x:c r="B5" s="9" t="str">
        <x:v>Seleção Brasileira Sub-20 desembarca na Polônia para o Mundial</x:v>
      </x:c>
      <x:c r="C5" s="9" t="str">
        <x:v>Seleções de Base / Sub-20 Feminina</x:v>
      </x:c>
      <x:c r="D5" s="9" t="str">
        <x:v>Bielsko-Biała/POL</x:v>
      </x:c>
      <x:c r="E5" s="9" t="str">
        <x:v>CBF</x:v>
      </x:c>
      <x:c r="F5" s="9" t="str">
        <x:v>https://www.cbf.com.br/selecao-brasileira/noticias/selecao-feminina-sub-20/a/selecao-feminina-sub-20-desembarca-na-polonia-para-disputar-a-copa-do-mundo</x:v>
      </x:c>
      <x:c r="G5" s="9" t="str">
        <x:v>Positivo</x:v>
      </x:c>
      <x:c r="H5" s="9" t="str">
        <x:v>Médio</x:v>
      </x:c>
      <x:c r="I5" s="9" t="str">
        <x:v>A Seleção Brasileira Feminina Sub-20 chegou à Polônia e iniciou a preparação local para a Copa do Mundo da categoria, que começa em 5 de setembro. O Brasil enfrentará Tanzânia, Canadá e Inglaterra na fase de grupos.</x:v>
      </x:c>
    </x:row>
    <x:row r="6">
      <x:c r="A6" s="29" t="n">
        <x:v>46259</x:v>
      </x:c>
      <x:c r="B6" s="23" t="str">
        <x:v>Acarajé é autorizado dentro da Arena Fonte Nova durante a Copa Feminina 2027</x:v>
      </x:c>
      <x:c r="C6" s="23" t="str">
        <x:v>Cultura / turismo / alimentação / Salvador</x:v>
      </x:c>
      <x:c r="D6" s="23" t="str">
        <x:v>Salvador/BA</x:v>
      </x:c>
      <x:c r="E6" s="23" t="str">
        <x:v>A TARDE</x:v>
      </x:c>
      <x:c r="F6" s="23" t="str">
        <x:v>https://atarde.com.br/bahia/copa-feminina-2027-tera-acaraje-dentro-da-arena-fonte-nova-1399762</x:v>
      </x:c>
      <x:c r="G6" s="23" t="str">
        <x:v>Positivo</x:v>
      </x:c>
      <x:c r="H6" s="23" t="str">
        <x:v>Médio</x:v>
      </x:c>
      <x:c r="I6" s="23" t="str">
        <x:v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x:v>
      </x:c>
    </x:row>
    <x:row r="7">
      <x:c r="A7" s="29" t="n">
        <x:v>46259</x:v>
      </x:c>
      <x:c r="B7" s="23" t="str">
        <x:v>Boicote europeu e meta de premiação pressionam o sorteio da Copa Feminina 2027</x:v>
      </x:c>
      <x:c r="C7" s="23" t="str">
        <x:v>Sorteio / governança / premiação / EVT-0010</x:v>
      </x:c>
      <x:c r="D7" s="23" t="str">
        <x:v>Rio de Janeiro/RJ</x:v>
      </x:c>
      <x:c r="E7" s="23" t="str">
        <x:v>Máquina do Esporte</x:v>
      </x:c>
      <x:c r="F7" s="23" t="str">
        <x:v>https://maquinadoesporte.com.br/copa-mundo-feminina-2027/boicote-da-uefa-e-premios-em-dinheiro-marcam-sorteio-da-copa-do-mundo-feminina-2027-no-rio/</x:v>
      </x:c>
      <x:c r="G7" s="23" t="str">
        <x:v>Neutro</x:v>
      </x:c>
      <x:c r="H7" s="23" t="str">
        <x:v>Alto</x:v>
      </x:c>
      <x:c r="I7" s="23" t="str">
        <x:v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x:v>
      </x:c>
    </x:row>
    <x:row r="8">
      <x:c r="A8" s="29" t="n">
        <x:v>46259</x:v>
      </x:c>
      <x:c r="B8" s="23" t="str">
        <x:v>Conmebol ajusta calendário continental de 2027 para a pausa da Copa Feminina</x:v>
      </x:c>
      <x:c r="C8" s="23" t="str">
        <x:v>Calendário continental / clubes / organização</x:v>
      </x:c>
      <x:c r="D8" s="23" t="str">
        <x:v>América do Sul / Brasil</x:v>
      </x:c>
      <x:c r="E8" s="23" t="str">
        <x:v>ge</x:v>
      </x:c>
      <x:c r="F8" s="23" t="str">
        <x:v>https://ge.globo.com/rs/futebol/noticia/2026/08/25/conmebol-divulga-calendario-de-2027-com-paralisacao-para-copa-do-mundo-feminina.ghtml</x:v>
      </x:c>
      <x:c r="G8" s="23" t="str">
        <x:v>Neutro</x:v>
      </x:c>
      <x:c r="H8" s="23" t="str">
        <x:v>Alto</x:v>
      </x:c>
      <x:c r="I8" s="23" t="str">
        <x:v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x:v>
      </x:c>
    </x:row>
    <x:row r="9">
      <x:c r="A9" s="29" t="n">
        <x:v>46259</x:v>
      </x:c>
      <x:c r="B9" s="23" t="str">
        <x:v>FIFA projeta Copa Feminina 2027 como primeira edição lucrativa da história</x:v>
      </x:c>
      <x:c r="C9" s="23" t="str">
        <x:v>Negócios / audiência / patrocínios</x:v>
      </x:c>
      <x:c r="D9" s="23" t="str">
        <x:v>Brasil</x:v>
      </x:c>
      <x:c r="E9" s="23" t="str">
        <x:v>MKT Esportivo</x:v>
      </x:c>
      <x:c r="F9" s="23" t="str">
        <x:v>https://www.mktesportivo.com/2026/08/copa-do-mundo-2027-chega-ao-brasil-com-meta-de-lucro-e-maior-interesse-comercial/</x:v>
      </x:c>
      <x:c r="G9" s="23" t="str">
        <x:v>Positivo</x:v>
      </x:c>
      <x:c r="H9" s="23" t="str">
        <x:v>Alto</x:v>
      </x:c>
      <x:c r="I9" s="23" t="str">
        <x:v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x:v>
      </x:c>
    </x:row>
    <x:row r="10">
      <x:c r="A10" s="29" t="n">
        <x:v>46259</x:v>
      </x:c>
      <x:c r="B10" s="23" t="str">
        <x:v>Porto Alegre busca amistoso da Seleção antes da Copa Feminina 2027</x:v>
      </x:c>
      <x:c r="C10" s="23" t="str">
        <x:v>Seleção Brasileira / preparação / Porto Alegre</x:v>
      </x:c>
      <x:c r="D10" s="23" t="str">
        <x:v>Porto Alegre/RS</x:v>
      </x:c>
      <x:c r="E10" s="23" t="str">
        <x:v>GZH</x:v>
      </x:c>
      <x:c r="F10" s="23" t="str">
        <x:v>https://gauchazh.clicrbs.com.br/esportes/futebol-feminino/noticia/2026/08/uma-das-sedes-da-copa-do-mundo-feminina-de-2027-porto-alegre-ainda-sonha-com-primeiro-jogo-da-selecao-brasileira-cmt7r6ipv00br015gysntaz4r.html</x:v>
      </x:c>
      <x:c r="G10" s="23" t="str">
        <x:v>Neutro</x:v>
      </x:c>
      <x:c r="H10" s="23" t="str">
        <x:v>Médio</x:v>
      </x:c>
      <x:c r="I10" s="23" t="str">
        <x:v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x:v>
      </x:c>
    </x:row>
    <x:row r="11">
      <x:c r="A11" s="29" t="n">
        <x:v>46258</x:v>
      </x:c>
      <x:c r="B11" s="23" t="str">
        <x:v>CBF ajusta calendário para preservar mandos dos clubes durante a Copa 2027</x:v>
      </x:c>
      <x:c r="C11" s="23" t="str">
        <x:v>Calendário / estádios / EVT-0077</x:v>
      </x:c>
      <x:c r="D11" s="23" t="str">
        <x:v>Brasil</x:v>
      </x:c>
      <x:c r="E11" s="23" t="str">
        <x:v>UOL</x:v>
      </x:c>
      <x:c r="F11" s="23" t="str">
        <x:v>https://www.uol.com.br/esporte/futebol/ultimas-noticias/2026/08/24/cbf-garante-solucao-para-clubes-nao-perderem-mandos-na-copa-feminina.ghtm</x:v>
      </x:c>
      <x:c r="G11" s="23" t="str">
        <x:v>Positivo</x:v>
      </x:c>
      <x:c r="H11" s="23" t="str">
        <x:v>Alto</x:v>
      </x:c>
      <x:c r="I11" s="23" t="str">
        <x:v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x:v>
      </x:c>
    </x:row>
    <x:row r="12">
      <x:c r="A12" s="29" t="n">
        <x:v>46258</x:v>
      </x:c>
      <x:c r="B12" s="23" t="str">
        <x:v>CBF reúne cidades-sede para alinhar operação da Copa Feminina 2027</x:v>
      </x:c>
      <x:c r="C12" s="23" t="str">
        <x:v>II Workshop de Cidades-Sede / planejamento / EVT-0023</x:v>
      </x:c>
      <x:c r="D12" s="23" t="str">
        <x:v>Rio de Janeiro/RJ</x:v>
      </x:c>
      <x:c r="E12" s="23" t="str">
        <x:v>CBF</x:v>
      </x:c>
      <x:c r="F12" s="23" t="str">
        <x:v>https://www.cbf.com.br/a-cbf/noticias/por-dentro-cbf-noticias/a/rio-sedia-ii-workshop-de-cidades-sede-e-estadios-da-copa-do-mundo-feminina-da-fifa-2027</x:v>
      </x:c>
      <x:c r="G12" s="23" t="str">
        <x:v>Positivo</x:v>
      </x:c>
      <x:c r="H12" s="23" t="str">
        <x:v>Médio</x:v>
      </x:c>
      <x:c r="I12" s="23" t="str">
        <x:v>A CBF confirmou a realização do II Workshop de Cidades-Sede e Estádios (EVT-0023), de 24 a 26 de agosto no Rio, reunindo FIFA, CBF, governos e representantes das oito sedes para alinhar temas operacionais, infraestrutura e preparação do Mundial.</x:v>
      </x:c>
    </x:row>
    <x:row r="13">
      <x:c r="A13" s="29" t="n">
        <x:v>46258</x:v>
      </x:c>
      <x:c r="B13" s="23" t="str">
        <x:v>Elas Jogam Summit defende legado social, turístico e econômico para a Copa 2027</x:v>
      </x:c>
      <x:c r="C13" s="23" t="str">
        <x:v>Elas Jogam Summit / legado / EVT-0021</x:v>
      </x:c>
      <x:c r="D13" s="23" t="str">
        <x:v>São Paulo/SP</x:v>
      </x:c>
      <x:c r="E13" s="23" t="str">
        <x:v>TV Brasil</x:v>
      </x:c>
      <x:c r="F13" s="23" t="str">
        <x:v>https://tvbrasil.ebc.com.br/reporter-brasil-tarde/2026/08/museu-do-futebol-sedia-evento-sobre-legado-da-copa-feminina-de-futebol</x:v>
      </x:c>
      <x:c r="G13" s="23" t="str">
        <x:v>Positivo</x:v>
      </x:c>
      <x:c r="H13" s="23" t="str">
        <x:v>Médio</x:v>
      </x:c>
      <x:c r="I13" s="23" t="str">
        <x:v>A cobertura pós-evento do Elas Jogam Summit (EVT-0021) destacou a defesa de um legado social, turístico e econômico duradouro para a Copa Feminina 2027, com estruturação da base e fortalecimento do futebol feminino profissional.</x:v>
      </x:c>
    </x:row>
    <x:row r="14">
      <x:c r="A14" s="29" t="n">
        <x:v>46258</x:v>
      </x:c>
      <x:c r="B14" s="23" t="str">
        <x:v>Fortaleza projeta aumento do turismo e da demanda por serviços com a Copa 2027</x:v>
      </x:c>
      <x:c r="C14" s="23" t="str">
        <x:v>Turismo / hotelaria / economia local</x:v>
      </x:c>
      <x:c r="D14" s="23" t="str">
        <x:v>Fortaleza/CE</x:v>
      </x:c>
      <x:c r="E14" s="23" t="str">
        <x:v>TurisNews</x:v>
      </x:c>
      <x:c r="F14" s="23" t="str">
        <x:v>https://turisnews.com.br/fortaleza-projeta-alta-no-turismo-com-a-copa-feminina-2027/</x:v>
      </x:c>
      <x:c r="G14" s="23" t="str">
        <x:v>Positivo</x:v>
      </x:c>
      <x:c r="H14" s="23" t="str">
        <x:v>Médio</x:v>
      </x:c>
      <x:c r="I14" s="23" t="str">
        <x:v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x:v>
      </x:c>
    </x:row>
    <x:row r="15">
      <x:c r="A15" s="29" t="n">
        <x:v>46258</x:v>
      </x:c>
      <x:c r="B15" s="23" t="str">
        <x:v>Sebrae e Sesporte articulam programa de sustentabilidade para o Castelão na Copa 2027</x:v>
      </x:c>
      <x:c r="C15" s="23" t="str">
        <x:v>Sustentabilidade / Fortaleza</x:v>
      </x:c>
      <x:c r="D15" s="23" t="str">
        <x:v>Fortaleza/CE</x:v>
      </x:c>
      <x:c r="E15" s="23" t="str">
        <x:v>Agência Sebrae de Notícias</x:v>
      </x:c>
      <x:c r="F15" s="23" t="str">
        <x:v>https://ce.agenciasebrae.com.br/cultura-empreendedora/sebrae-ce-e-sesporte-discutem-acoes-na-area-da-sustentabilidade/</x:v>
      </x:c>
      <x:c r="G15" s="23" t="str">
        <x:v>Positivo</x:v>
      </x:c>
      <x:c r="H15" s="23" t="str">
        <x:v>Médio</x:v>
      </x:c>
      <x:c r="I15" s="23" t="str">
        <x:v>Sebrae/CE e Secretaria do Esporte do Ceará iniciaram diálogo para implementar o programa de sustentabilidade e responsabilidade social exigido pela FIFA na Arena Castelão, sede da Copa Feminina 2027, com participação da comunidade e dos pequenos negócios do entorno.</x:v>
      </x:c>
    </x:row>
    <x:row r="16">
      <x:c r="A16" s="29" t="n">
        <x:v>46258</x:v>
      </x:c>
      <x:c r="B16" s="23" t="str">
        <x:v>Sorteio da Copa Feminina 2027 será em 11 de dezembro no MAM Rio</x:v>
      </x:c>
      <x:c r="C16" s="23" t="str">
        <x:v>Sorteio / calendário / EVT-0010</x:v>
      </x:c>
      <x:c r="D16" s="23" t="str">
        <x:v>Rio de Janeiro/RJ</x:v>
      </x:c>
      <x:c r="E16" s="23" t="str">
        <x:v>UOL</x:v>
      </x:c>
      <x:c r="F16" s="23" t="str">
        <x:v>https://www.uol.com.br/esporte/futebol/ultimas-noticias/2026/08/24/sorteio-da-copa-do-mundo-feminina-2027-sera-em-11-de-dezembro-no-mam-rio.ghtm</x:v>
      </x:c>
      <x:c r="G16" s="23" t="str">
        <x:v>Positivo</x:v>
      </x:c>
      <x:c r="H16" s="23" t="str">
        <x:v>Alto</x:v>
      </x:c>
      <x:c r="I16" s="23" t="str">
        <x:v>A FIFA confirmou que o sorteio final dos grupos da Copa Feminina 2027 será realizado em 11/12/2026 no Museu de Arte Moderna do Rio. O anúncio atualiza o EVT-0010 e antecipa um evento para mais de mil convidados, que definirá os grupos e o caminho das 32 seleções.</x:v>
      </x:c>
    </x:row>
    <x:row r="17">
      <x:c r="A17" s="29" t="n">
        <x:v>46257</x:v>
      </x:c>
      <x:c r="B17" s="23" t="str">
        <x:v>Coca-Cola confirma patrocínio e prepara presença de peso na Copa Feminina 2027</x:v>
      </x:c>
      <x:c r="C17" s="23" t="str">
        <x:v>Patrocínio / negócios</x:v>
      </x:c>
      <x:c r="D17" s="23" t="str">
        <x:v>Brasil</x:v>
      </x:c>
      <x:c r="E17" s="23" t="str">
        <x:v>Exame</x:v>
      </x:c>
      <x:c r="F17" s="23" t="str">
        <x:v>https://exame.com/negocios/vamos-patrocinar-a-copa-do-mundo-feminina-2027-diz-presidente-da-coca-cola-brasil/</x:v>
      </x:c>
      <x:c r="G17" s="23" t="str">
        <x:v>Positivo</x:v>
      </x:c>
      <x:c r="H17" s="23" t="str">
        <x:v>Alto</x:v>
      </x:c>
      <x:c r="I17" s="23" t="str">
        <x:v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x:v>
      </x:c>
    </x:row>
    <x:row r="18">
      <x:c r="A18" s="29" t="n">
        <x:v>46257</x:v>
      </x:c>
      <x:c r="B18" s="23" t="str">
        <x:v>Rio envia à Alerj projeto de isenção de ICMS para a Copa Feminina 2027</x:v>
      </x:c>
      <x:c r="C18" s="23" t="str">
        <x:v>Tributação / organização / políticas públicas</x:v>
      </x:c>
      <x:c r="D18" s="23" t="str">
        <x:v>Rio de Janeiro/RJ</x:v>
      </x:c>
      <x:c r="E18" s="23" t="str">
        <x:v>Governo do Estado do Rio de Janeiro</x:v>
      </x:c>
      <x:c r="F18" s="23" t="str">
        <x:v>https://www.rj.gov.br/radioroquettepinto/node/20221</x:v>
      </x:c>
      <x:c r="G18" s="23" t="str">
        <x:v>Positivo</x:v>
      </x:c>
      <x:c r="H18" s="23" t="str">
        <x:v>Alto</x:v>
      </x:c>
      <x:c r="I18" s="23" t="str">
        <x:v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x:v>
      </x:c>
    </x:row>
    <x:row r="19">
      <x:c r="A19" s="29" t="n">
        <x:v>46256</x:v>
      </x:c>
      <x:c r="B19" s="23" t="str">
        <x:v>Copa Salvador Interbairros amplia participação feminina e premia campeãs com R$ 40 mil</x:v>
      </x:c>
      <x:c r="C19" s="23" t="str">
        <x:v>Copa Salvador Interbairros / legado / EVT-0064</x:v>
      </x:c>
      <x:c r="D19" s="23" t="str">
        <x:v>Salvador/BA</x:v>
      </x:c>
      <x:c r="E19" s="23" t="str">
        <x:v>Correio</x:v>
      </x:c>
      <x:c r="F19" s="23" t="str">
        <x:v>https://www.correio24horas.com.br/salvador/copa-salvador-interbairros-2026-tera-r-40-mil-para-campeoes-e-comeca-dia-30-veja-novidades-0826</x:v>
      </x:c>
      <x:c r="G19" s="23" t="str">
        <x:v>Positivo</x:v>
      </x:c>
      <x:c r="H19" s="23" t="str">
        <x:v>Médio</x:v>
      </x:c>
      <x:c r="I19" s="23" t="str">
        <x:v>A Copa Salvador Interbairros (EVT-0064) reunirá cerca de 1,2 mil atletas, incluindo dez equipes femininas, e distribuirá R$ 40 mil aos campeões das categorias Livre masculina e feminina. A Prefeitura apresenta a competição como legado comunitário para a Copa 2027.</x:v>
      </x:c>
    </x:row>
    <x:row r="20">
      <x:c r="A20" s="29" t="n">
        <x:v>46255</x:v>
      </x:c>
      <x:c r="B20" s="23" t="str">
        <x:v>Elas Jogam Summit reúne atletas e especialistas para discutir o legado da Copa 2027</x:v>
      </x:c>
      <x:c r="C20" s="23" t="str">
        <x:v>Elas Jogam Summit / legado</x:v>
      </x:c>
      <x:c r="D20" s="23" t="str">
        <x:v>São Paulo/SP</x:v>
      </x:c>
      <x:c r="E20" s="23" t="str">
        <x:v>Folha de S.Paulo</x:v>
      </x:c>
      <x:c r="F20" s="23" t="str">
        <x:v>https://www1.folha.uol.com.br/colunas/monicabergamo/2026/08/tamires-fala-sobre-copa-do-mundo-feminina-de-2027-no-museu-do-futebol.shtml</x:v>
      </x:c>
      <x:c r="G20" s="23" t="str">
        <x:v>Positivo</x:v>
      </x:c>
      <x:c r="H20" s="23" t="str">
        <x:v>Médio</x:v>
      </x:c>
      <x:c r="I20" s="23" t="str">
        <x:v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x:v>
      </x:c>
    </x:row>
    <x:row r="21">
      <x:c r="A21" s="29" t="n">
        <x:v>46254</x:v>
      </x:c>
      <x:c r="B21" s="23" t="str">
        <x:v>Arthur Elias diz que Seleção está 70% definida e vê vantagem na abertura no Maracanã</x:v>
      </x:c>
      <x:c r="C21" s="23" t="str">
        <x:v>Seleção Brasileira / preparação</x:v>
      </x:c>
      <x:c r="D21" s="23" t="str">
        <x:v>Brasil</x:v>
      </x:c>
      <x:c r="E21" s="23" t="str">
        <x:v>ge</x:v>
      </x:c>
      <x:c r="F21" s="23" t="str">
        <x:v>https://ge.globo.com/futebol/futebol-internacional/noticia/2026/08/20/arthur-elias-diz-que-selecao-esta-70percent-fechada-para-a-copa-e-que-marta-tem-ano-desafiador.ghtml</x:v>
      </x:c>
      <x:c r="G21" s="23" t="str">
        <x:v>Positivo</x:v>
      </x:c>
      <x:c r="H21" s="23" t="str">
        <x:v>Médio</x:v>
      </x:c>
      <x:c r="I21" s="23" t="str">
        <x:v>Após a divulgação da tabela da Copa Feminina 2027, o técnico Arthur Elias afirmou que cerca de 70% do grupo da Seleção está definido, manteve Marta nos planos e avaliou que abrir o torneio no Maracanã representa vantagem para o Brasil.</x:v>
      </x:c>
    </x:row>
    <x:row r="22">
      <x:c r="A22" s="29" t="n">
        <x:v>46254</x:v>
      </x:c>
      <x:c r="B22" s="23" t="str">
        <x:v>FIFA abre cadastro de interesse para ingressos da Copa Feminina 2027</x:v>
      </x:c>
      <x:c r="C22" s="23" t="str">
        <x:v>Ingressos / relacionamento</x:v>
      </x:c>
      <x:c r="D22" s="23" t="str">
        <x:v>Brasil</x:v>
      </x:c>
      <x:c r="E22" s="23" t="str">
        <x:v>UOL</x:v>
      </x:c>
      <x:c r="F22" s="23" t="str">
        <x:v>https://www.uol.com.br/esporte/futebol/ultimas-noticias/2026/08/20/copa-2027-venda-de-ingressos-ainda-nao-comecou-como-registrar-interesse.ghtm</x:v>
      </x:c>
      <x:c r="G22" s="23" t="str">
        <x:v>Neutro</x:v>
      </x:c>
      <x:c r="H22" s="23" t="str">
        <x:v>Médio</x:v>
      </x:c>
      <x:c r="I22" s="23" t="str">
        <x:v>A venda de ingressos ainda não começou e não há data oficial de abertura; torcedores já podem registrar interesse no portal da FIFA para receber atualizações.</x:v>
      </x:c>
    </x:row>
    <x:row r="23">
      <x:c r="A23" s="29" t="n">
        <x:v>46254</x:v>
      </x:c>
      <x:c r="B23" s="23" t="str">
        <x:v>FIFA divulga tabela-base da Copa 2027 e confirma Maracanã na abertura e final</x:v>
      </x:c>
      <x:c r="C23" s="23" t="str">
        <x:v>Calendário / sedes</x:v>
      </x:c>
      <x:c r="D23" s="23" t="str">
        <x:v>Brasil</x:v>
      </x:c>
      <x:c r="E23" s="23" t="str">
        <x:v>FIFA</x:v>
      </x:c>
      <x:c r="F23" s="23" t="str">
        <x:v>https://www.fifa.com/pt/articles/tabela-jogos-copa-feminina-divulgacao-maracana-final-abertura</x:v>
      </x:c>
      <x:c r="G23" s="23" t="str">
        <x:v>Positivo</x:v>
      </x:c>
      <x:c r="H23" s="23" t="str">
        <x:v>Alto</x:v>
      </x:c>
      <x:c r="I23" s="23" t="str">
        <x:v>Tabela-base confirma 64 jogos entre 24/06 e 25/07/2027, abertura e final no Maracanã e partidas do Brasil no Rio, em São Paulo e em Brasília.</x:v>
      </x:c>
    </x:row>
    <x:row r="24">
      <x:c r="A24" s="29" t="n">
        <x:v>46254</x:v>
      </x:c>
      <x:c r="B24" s="23" t="str">
        <x:v>Governo prevê aporte mínimo de R$ 1,5 bilhão para organizar a Copa Feminina 2027</x:v>
      </x:c>
      <x:c r="C24" s="23" t="str">
        <x:v>Investimentos públicos / segurança / infraestrutura</x:v>
      </x:c>
      <x:c r="D24" s="23" t="str">
        <x:v>Brasil</x:v>
      </x:c>
      <x:c r="E24" s="23" t="str">
        <x:v>Folha de S.Paulo</x:v>
      </x:c>
      <x:c r="F24" s="23" t="str">
        <x:v>https://www1.folha.uol.com.br/esporte/2026/08/brasil-joga-na-fase-de-grupos-da-copa-feminina-em-sao-paulo-rio-e-brasilia.shtml</x:v>
      </x:c>
      <x:c r="G24" s="23" t="str">
        <x:v>Neutro</x:v>
      </x:c>
      <x:c r="H24" s="23" t="str">
        <x:v>Alto</x:v>
      </x:c>
      <x:c r="I24" s="23" t="str">
        <x:v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x:v>
      </x:c>
    </x:row>
    <x:row r="25">
      <x:c r="A25" s="29" t="n">
        <x:v>46254</x:v>
      </x:c>
      <x:c r="B25" s="23" t="str">
        <x:v>Sorteio define caminhos da fase preliminar da repescagem mundial</x:v>
      </x:c>
      <x:c r="C25" s="23" t="str">
        <x:v>Repescagem / sorteio</x:v>
      </x:c>
      <x:c r="D25" s="23" t="str">
        <x:v>Brasil</x:v>
      </x:c>
      <x:c r="E25" s="23" t="str">
        <x:v>FIFA</x:v>
      </x:c>
      <x:c r="F25" s="23" t="str">
        <x:v>https://www.fifa.com/pt/tournaments/womens/womensworldcup/brazil-2027/articles/resultados-sorteio-fase-preliminar-torneio-classificatorio-fifa-brasil-2027</x:v>
      </x:c>
      <x:c r="G25" s="23" t="str">
        <x:v>Neutro</x:v>
      </x:c>
      <x:c r="H25" s="23" t="str">
        <x:v>Alto</x:v>
      </x:c>
      <x:c r="I25" s="23" t="str">
        <x:v>FIFA definiu a ordem dos confrontos entre Uzbequistão, África do Sul, Papua-Nova Guiné, Taipé Chinês, Gana e Equador; a fase será disputada de 24/11 a 05/12/2026.</x:v>
      </x:c>
    </x:row>
    <x:row r="26">
      <x:c r="A26" s="29" t="n">
        <x:v>46253</x:v>
      </x:c>
      <x:c r="B26" s="23" t="str">
        <x:v>Brasil confirma convocadas para a Copa do Mundo Feminina Sub-20</x:v>
      </x:c>
      <x:c r="C26" s="23" t="str">
        <x:v>Seleções de Base / Sub-20 Feminina</x:v>
      </x:c>
      <x:c r="D26" s="23" t="str">
        <x:v>Brasil / Polônia</x:v>
      </x:c>
      <x:c r="E26" s="23" t="str">
        <x:v>FIFA</x:v>
      </x:c>
      <x:c r="F26" s="23" t="str">
        <x:v>https://www.fifa.com/pt/articles/brasil-convocadas-copa-do-mundo-feminina-sub-20-2026</x:v>
      </x:c>
      <x:c r="G26" s="23" t="str">
        <x:v>Positivo</x:v>
      </x:c>
      <x:c r="H26" s="23" t="str">
        <x:v>Médio</x:v>
      </x:c>
      <x:c r="I26" s="23" t="str">
        <x:v>A lista brasileira para o Mundial Feminino Sub-20 de 2026 foi confirmada. A equipe de Camilla Orlando se apresenta antes do embarque e estreia contra a Tanzânia em 5 de setembro, seguida por Canadá e Inglaterra.</x:v>
      </x:c>
    </x:row>
    <x:row r="27">
      <x:c r="A27" s="29" t="n">
        <x:v>46253</x:v>
      </x:c>
      <x:c r="B27" s="23" t="str">
        <x:v>CNE limita férias escolares da Copa Feminina 2027 às cidades-sede e vizinhas</x:v>
      </x:c>
      <x:c r="C27" s="23" t="str">
        <x:v>Políticas públicas / educação</x:v>
      </x:c>
      <x:c r="D27" s="23" t="str">
        <x:v>Brasil</x:v>
      </x:c>
      <x:c r="E27" s="23" t="str">
        <x:v>UOL</x:v>
      </x:c>
      <x:c r="F27" s="23" t="str">
        <x:v>https://educacao.uol.com.br/noticias/2026/08/19/conselho-ferias-copa-do-mundo-futebol-feminina.ghtm</x:v>
      </x:c>
      <x:c r="G27" s="23" t="str">
        <x:v>Neutro</x:v>
      </x:c>
      <x:c r="H27" s="23" t="str">
        <x:v>Alto</x:v>
      </x:c>
      <x:c r="I27" s="23" t="str">
        <x:v>O Conselho Nacional de Educação decidiu que a obrigação de férias durante a Copa Feminina 2027 deve alcançar somente as oito cidades-sede e municípios vizinhos; o parecer ainda depende de homologação do Ministério da Educação e afeta o planejamento do ano letivo.</x:v>
      </x:c>
    </x:row>
    <x:row r="28">
      <x:c r="A28" s="29" t="n">
        <x:v>46253</x:v>
      </x:c>
      <x:c r="B28" s="23" t="str">
        <x:v>Supermercados entram no planejamento comercial para a Copa Feminina 2027</x:v>
      </x:c>
      <x:c r="C28" s="23" t="str">
        <x:v>Varejo / consumo / oportunidades comerciais</x:v>
      </x:c>
      <x:c r="D28" s="23" t="str">
        <x:v>Brasil</x:v>
      </x:c>
      <x:c r="E28" s="23" t="str">
        <x:v>Revista Super Negócios / ASSERJ</x:v>
      </x:c>
      <x:c r="F28" s="23" t="str">
        <x:v>https://asserj.com.br/en/w/copa-do-mundo-feminina-entra-no-radar-dos-supermercados</x:v>
      </x:c>
      <x:c r="G28" s="23" t="str">
        <x:v>Positivo</x:v>
      </x:c>
      <x:c r="H28" s="23" t="str">
        <x:v>Médio</x:v>
      </x:c>
      <x:c r="I28" s="23" t="str">
        <x:v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x:v>
      </x:c>
    </x:row>
    <x:row r="29">
      <x:c r="A29" s="29" t="n">
        <x:v>46252</x:v>
      </x:c>
      <x:c r="B29" s="23" t="str">
        <x:v>Painel em Brasília defende estrutura duradoura como legado da Copa 2027</x:v>
      </x:c>
      <x:c r="C29" s="23" t="str">
        <x:v>Elas em Ação / legado / EVT-0081</x:v>
      </x:c>
      <x:c r="D29" s="23" t="str">
        <x:v>Brasília/DF</x:v>
      </x:c>
      <x:c r="E29" s="23" t="str">
        <x:v>FSports</x:v>
      </x:c>
      <x:c r="F29" s="23" t="str">
        <x:v>https://pt.linkedin.com/posts/fsports-ag_o-legado-come%C3%A7a-antes-do-primeiro-apito-activity-7495445214967484417-5m11</x:v>
      </x:c>
      <x:c r="G29" s="23" t="str">
        <x:v>Positivo</x:v>
      </x:c>
      <x:c r="H29" s="23" t="str">
        <x:v>Médio</x:v>
      </x:c>
      <x:c r="I29" s="23" t="str">
        <x:v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x:v>
      </x:c>
    </x:row>
    <x:row r="30">
      <x:c r="A30" s="29" t="n">
        <x:v>46251</x:v>
      </x:c>
      <x:c r="B30" s="23" t="str">
        <x:v>Brasil convoca Seleção Feminina Sub-15 para a Liga Evolução</x:v>
      </x:c>
      <x:c r="C30" s="23" t="str">
        <x:v>Seleções de Base / Sub-15 Feminina</x:v>
      </x:c>
      <x:c r="D30" s="23" t="str">
        <x:v>Assunção/PRY</x:v>
      </x:c>
      <x:c r="E30" s="23" t="str">
        <x:v>CBF</x:v>
      </x:c>
      <x:c r="F30" s="23" t="str">
        <x:v>https://www.cbf.com.br/selecao-brasileira/noticias/convocacoes-selecao-feminina-sub-15/a/beatriz-vaz-convoca-20-atletas-para-liga-evolucao-sub-15-da-conmebol</x:v>
      </x:c>
      <x:c r="G30" s="23" t="str">
        <x:v>Positivo</x:v>
      </x:c>
      <x:c r="H30" s="23" t="str">
        <x:v>Médio</x:v>
      </x:c>
      <x:c r="I30" s="23" t="str">
        <x:v>Bia Vaz convocou 20 atletas para defender a Seleção Brasileira Feminina Sub-15 na Liga Evolução da CONMEBOL, de 8 a 20 de setembro no Paraguai, em busca do bicampeonato.</x:v>
      </x:c>
    </x:row>
    <x:row r="31">
      <x:c r="A31" s="29" t="n">
        <x:v>46251</x:v>
      </x:c>
      <x:c r="B31" s="23" t="str">
        <x:v>FIFA e FPF alinham preparativos da Copa do Mundo Feminina</x:v>
      </x:c>
      <x:c r="C31" s="23" t="str">
        <x:v>Operação / cidade-sede</x:v>
      </x:c>
      <x:c r="D31" s="23" t="str">
        <x:v>Recife/PE</x:v>
      </x:c>
      <x:c r="E31" s="23" t="str">
        <x:v>Tribuna Online</x:v>
      </x:c>
      <x:c r="F31" s="23" t="str">
        <x:v>https://tribunaonline.com.br/pernambuco/esporte/fpf-recebe-comitiva-da-fifa-para-alinhar-preparativos-da-copa-do-mundo-feminina-328649</x:v>
      </x:c>
      <x:c r="G31" s="23" t="str">
        <x:v>Positivo</x:v>
      </x:c>
      <x:c r="H31" s="23" t="str">
        <x:v>Alto</x:v>
      </x:c>
      <x:c r="I31" s="23" t="str">
        <x:v>Reunião institucional reforçou integração da sede pernambucana com as áreas responsáveis pela organização do Mundial.</x:v>
      </x:c>
    </x:row>
    <x:row r="32">
      <x:c r="A32" s="29" t="n">
        <x:v>46251</x:v>
      </x:c>
      <x:c r="B32" s="23" t="str">
        <x:v>Tamires cobra mobilização das cidades-sede para lotar a Copa Feminina 2027</x:v>
      </x:c>
      <x:c r="C32" s="23" t="str">
        <x:v>Elas Jogam Summit / público / legado / EVT-0021</x:v>
      </x:c>
      <x:c r="D32" s="23" t="str">
        <x:v>São Paulo/SP</x:v>
      </x:c>
      <x:c r="E32" s="23" t="str">
        <x:v>UOL</x:v>
      </x:c>
      <x:c r="F32" s="23" t="str">
        <x:v>https://www.uol.com.br/esporte/futebol/ultimas-noticias/2026/08/17/copa-2027-tamires-pede-engajamento-das-cidades-sede-para-lotar-estadios.ghtm</x:v>
      </x:c>
      <x:c r="G32" s="23" t="str">
        <x:v>Neutro</x:v>
      </x:c>
      <x:c r="H32" s="23" t="str">
        <x:v>Médio</x:v>
      </x:c>
      <x:c r="I32" s="23" t="str">
        <x:v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x:v>
      </x:c>
    </x:row>
    <x:row r="33">
      <x:c r="A33" s="29" t="n">
        <x:v>46248</x:v>
      </x:c>
      <x:c r="B33" s="23" t="str">
        <x:v>FIFA confirma evento de 20/08 para revelar calendário e sorteio da repescagem</x:v>
      </x:c>
      <x:c r="C33" s="23" t="str">
        <x:v>Calendário / sorteio</x:v>
      </x:c>
      <x:c r="D33" s="23" t="str">
        <x:v>Brasil</x:v>
      </x:c>
      <x:c r="E33" s="23" t="str">
        <x:v>ge</x:v>
      </x:c>
      <x:c r="F33" s="23" t="str">
        <x:v>https://ge.globo.com/futebol/copa-do-mundo-feminina/noticia/2026/08/14/copa-do-mundo-2027-calendario-sera-revelado-dia-20-de-agosto.ghtml</x:v>
      </x:c>
      <x:c r="G33" s="23" t="str">
        <x:v>Neutro</x:v>
      </x:c>
      <x:c r="H33" s="23" t="str">
        <x:v>Alto</x:v>
      </x:c>
      <x:c r="I33" s="23" t="str">
        <x:v>Em 20/08 serão anunciados distribuição de jogos por sede, locais dos jogos do Brasil e confrontos da fase preliminar da repescagem.</x:v>
      </x:c>
    </x:row>
    <x:row r="34">
      <x:c r="A34" s="29" t="n">
        <x:v>46248</x:v>
      </x:c>
      <x:c r="B34" s="23" t="str">
        <x:v>FIFA reúne marcas no SP2B para discutir ativações da Copa 2027</x:v>
      </x:c>
      <x:c r="C34" s="23" t="str">
        <x:v>Patrocínio / ativações</x:v>
      </x:c>
      <x:c r="D34" s="23" t="str">
        <x:v>São Paulo/SP</x:v>
      </x:c>
      <x:c r="E34" s="23" t="str">
        <x:v>UOL</x:v>
      </x:c>
      <x:c r="F34" s="23" t="str">
        <x:v>https://economia.uol.com.br/noticias/redacao/2026/08/14/copa-do-mundo-feminina-alcanca-750-mil-interessados-em-ingressos.ghtm</x:v>
      </x:c>
      <x:c r="G34" s="23" t="str">
        <x:v>Positivo</x:v>
      </x:c>
      <x:c r="H34" s="23" t="str">
        <x:v>Alto</x:v>
      </x:c>
      <x:c r="I34" s="23" t="str">
        <x:v>Encontro no SP2B discutiu oportunidades comerciais e estratégias de ativação com patrocinadores e executivos.</x:v>
      </x:c>
    </x:row>
    <x:row r="35">
      <x:c r="A35" s="6" t="n">
        <x:v>46247</x:v>
      </x:c>
      <x:c r="B35" s="23" t="str">
        <x:v>Base feminina soma 206 atletas convocadas e três desafios internacionais</x:v>
      </x:c>
      <x:c r="C35" s="23" t="str">
        <x:v>Seleções de Base / Sub-15, Sub-17 e Sub-20 Femininas</x:v>
      </x:c>
      <x:c r="D35" s="23" t="str">
        <x:v>Brasil</x:v>
      </x:c>
      <x:c r="E35" s="23" t="str">
        <x:v>CBF</x:v>
      </x:c>
      <x:c r="F35" s="23" t="str">
        <x:v>https://www.cbf.com.br/selecao-brasileira/noticias/selecao-base-feminina/a/campeas-continentais-e-mais-de-200-atletas-convocadas-conquistas-e-numeros-do-atual-ciclo-da-base-feminina</x:v>
      </x:c>
      <x:c r="G35" s="23" t="str">
        <x:v>Positivo</x:v>
      </x:c>
      <x:c r="H35" s="23" t="str">
        <x:v>Médio</x:v>
      </x:c>
      <x:c r="I35" s="23" t="str">
        <x:v>A CBF apresentou o balanço do ciclo das Seleções Femininas de Base: 206 atletas convocadas, 47 jogos, 32 vitórias e 68% de aproveitamento. Sub-15, Sub-17 e Sub-20 terão competições internacionais no segundo semestre de 2026.</x:v>
      </x:c>
    </x:row>
    <x:row r="36">
      <x:c r="A36" s="6" t="n">
        <x:v>46246</x:v>
      </x:c>
      <x:c r="B36" s="23" t="str">
        <x:v>Atricon apoia revisão das férias escolares obrigatórias durante a Copa 2027</x:v>
      </x:c>
      <x:c r="C36" s="23" t="str">
        <x:v>Políticas públicas / educação</x:v>
      </x:c>
      <x:c r="D36" s="23" t="str">
        <x:v>Brasil</x:v>
      </x:c>
      <x:c r="E36" s="23" t="str">
        <x:v>Folha de S.Paulo</x:v>
      </x:c>
      <x:c r="F36" s="23" t="str">
        <x:v>https://www1.folha.uol.com.br/colunas/painel/2026/08/associacao-de-tribunais-de-contas-se-opoe-a-ferias-escolares-obrigatorias-na-copa-do-mundo-feminina.shtml</x:v>
      </x:c>
      <x:c r="G36" s="23" t="str">
        <x:v>Neutro</x:v>
      </x:c>
      <x:c r="H36" s="23" t="str">
        <x:v>Médio</x:v>
      </x:c>
      <x:c r="I36" s="23" t="str">
        <x:v>A Atricon enviou ofícios à Câmara e ao Senado apoiando projeto que revoga a obrigatoriedade de férias escolares durante a Copa Feminina 2027, argumentando que a regra pode prejudicar calendários pedagógicos, transporte e alimentação escolar em regiões sem jogos.</x:v>
      </x:c>
    </x:row>
    <x:row r="37">
      <x:c r="A37" s="6" t="n">
        <x:v>46239</x:v>
      </x:c>
      <x:c r="B37" s="23" t="str">
        <x:v>CBF determina pausa nacional durante toda a Copa Feminina 2027</x:v>
      </x:c>
      <x:c r="C37" s="23" t="str">
        <x:v>Calendário / competições nacionais</x:v>
      </x:c>
      <x:c r="D37" s="23" t="str">
        <x:v>Brasil</x:v>
      </x:c>
      <x:c r="E37" s="23" t="str">
        <x:v>ge</x:v>
      </x:c>
      <x:c r="F37" s="23" t="str">
        <x:v>https://ge.globo.com/futebol/futebol-internacional/noticia/2026/08/05/cbf-comunica-aos-clubes-parada-obrigatoria-durante-periodo-da-copa-do-mundo-feminina-de-2027.ghtml</x:v>
      </x:c>
      <x:c r="G37" s="23" t="str">
        <x:v>Neutro</x:v>
      </x:c>
      <x:c r="H37" s="23" t="str">
        <x:v>Alto</x:v>
      </x:c>
      <x:c r="I37" s="23" t="str">
        <x:v>A CBF comunicou aos clubes que as competições masculinas e femininas terão pausa obrigatória entre 24/06 e 25/07/2027, durante toda a Copa do Mundo Feminina, enquanto a entidade ajusta o calendário nacional e a disponibilidade das oito arenas do torneio.</x:v>
      </x:c>
    </x:row>
    <x:row r="38">
      <x:c r="A38" s="6" t="n">
        <x:v>46239</x:v>
      </x:c>
      <x:c r="B38" s="23" t="str">
        <x:v>Elas Jogam Summit propõe ações para construir o legado da Copa Feminina 2027</x:v>
      </x:c>
      <x:c r="C38" s="23" t="str">
        <x:v>Elas Jogam Summit / legado</x:v>
      </x:c>
      <x:c r="D38" s="23" t="str">
        <x:v>São Paulo/SP</x:v>
      </x:c>
      <x:c r="E38" s="23" t="str">
        <x:v>Donas FC</x:v>
      </x:c>
      <x:c r="F38" s="23" t="str">
        <x:v>https://donasfc.com.br/2026/08/05/elas-jogam-summit-discutira-o-legado-da-copa-do-mundo-feminina-2027-em-evento-no-pacaembu/</x:v>
      </x:c>
      <x:c r="G38" s="23" t="str">
        <x:v>Positivo</x:v>
      </x:c>
      <x:c r="H38" s="23" t="str">
        <x:v>Médio</x:v>
      </x:c>
      <x:c r="I38" s="23" t="str">
        <x:v>A matéria apresentou o Elas Jogam Summit e sua proposta de transformar a Copa Feminina 2027 em legado por meio de políticas públicas, investimento, formação de base, espaços seguros para meninas, visibilidade e participação de profissionais do futebol feminino.</x:v>
      </x:c>
    </x:row>
    <x:row r="39">
      <x:c r="A39" s="6" t="n">
        <x:v>46239</x:v>
      </x:c>
      <x:c r="B39" s="23" t="str">
        <x:v>Painel debate legado da Copa 2027 no Summit Mulheres nas Profissões</x:v>
      </x:c>
      <x:c r="C39" s="23" t="str">
        <x:v>Legado / futebol feminino</x:v>
      </x:c>
      <x:c r="D39" s="23" t="str">
        <x:v>São Paulo/SP</x:v>
      </x:c>
      <x:c r="E39" s="23" t="str">
        <x:v>O Liberal</x:v>
      </x:c>
      <x:c r="F39" s="23" t="str">
        <x:v>https://www.oliberal.com/esportes/nao-da-para-falar-em-paixao-nacional-so-valorizando-o-masculino-diz-secretaria-da-copa-1.1153852</x:v>
      </x:c>
      <x:c r="G39" s="23" t="str">
        <x:v>Positivo</x:v>
      </x:c>
      <x:c r="H39" s="23" t="str">
        <x:v>Médio</x:v>
      </x:c>
      <x:c r="I39" s="23" t="str">
        <x:v>Painel reuniu representantes do esporte e Formiga para discutir legado, turismo e valorização do futebol feminino.</x:v>
      </x:c>
    </x:row>
    <x:row r="40">
      <x:c r="A40" s="6" t="n">
        <x:v>46238</x:v>
      </x:c>
      <x:c r="B40" s="23" t="str">
        <x:v>Camilla Orlando projeta Brasil Sub-20 ofensivo no Mundial</x:v>
      </x:c>
      <x:c r="C40" s="23" t="str">
        <x:v>Seleções de Base / Sub-20 Feminina</x:v>
      </x:c>
      <x:c r="D40" s="23" t="str">
        <x:v>Brasil</x:v>
      </x:c>
      <x:c r="E40" s="23" t="str">
        <x:v>FIFA</x:v>
      </x:c>
      <x:c r="F40" s="23" t="str">
        <x:v>https://www.fifa.com/pt/articles/camilla-orlando-treinadora-brasil-sub-20-entrevista-agosto-2026</x:v>
      </x:c>
      <x:c r="G40" s="23" t="str">
        <x:v>Positivo</x:v>
      </x:c>
      <x:c r="H40" s="23" t="str">
        <x:v>Médio</x:v>
      </x:c>
      <x:c r="I40" s="23" t="str">
        <x:v>A treinadora Camilla Orlando detalhou à FIFA a preparação da Seleção Brasileira Feminina Sub-20 e afirmou que a equipe pretende buscar o gol e reproduzir princípios da Seleção principal no Mundial da Polônia.</x:v>
      </x:c>
    </x:row>
    <x:row r="41">
      <x:c r="A41" s="6" t="n">
        <x:v>46238</x:v>
      </x:c>
      <x:c r="B41" s="23" t="str">
        <x:v>Especialistas defendem descentralização do legado da Copa Feminina 2027</x:v>
      </x:c>
      <x:c r="C41" s="23" t="str">
        <x:v>Fórum Sustentabilidade em Campo / legado / EVT-0063</x:v>
      </x:c>
      <x:c r="D41" s="23" t="str">
        <x:v>São Paulo/SP</x:v>
      </x:c>
      <x:c r="E41" s="23" t="str">
        <x:v>Máquina do Esporte</x:v>
      </x:c>
      <x:c r="F41" s="23" t="str">
        <x:v>https://maquinadoesporte.com.br/copa-mundo-feminina-2027/desafio-para-copa-do-mundo-feminina-2027-e-descentralizar-legado-dizem-especialistas/</x:v>
      </x:c>
      <x:c r="G41" s="23" t="str">
        <x:v>Neutro</x:v>
      </x:c>
      <x:c r="H41" s="23" t="str">
        <x:v>Médio</x:v>
      </x:c>
      <x:c r="I41" s="23" t="str">
        <x:v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x:v>
      </x:c>
    </x:row>
    <x:row r="42">
      <x:c r="A42" s="6" t="n">
        <x:v>46199</x:v>
      </x:c>
      <x:c r="B42" s="23" t="str">
        <x:v>CBF divulga calendário do segundo semestre das Seleções Femininas de Base</x:v>
      </x:c>
      <x:c r="C42" s="23" t="str">
        <x:v>Seleções de Base / calendário 2026</x:v>
      </x:c>
      <x:c r="D42" s="23" t="str">
        <x:v>Brasil e exterior</x:v>
      </x:c>
      <x:c r="E42" s="23" t="str">
        <x:v>CBF</x:v>
      </x:c>
      <x:c r="F42" s="23" t="str">
        <x:v>https://www.cbf.com.br/selecao-brasileira/noticias/noticias/selecao-base-feminina/confira-o-calendario-do-segundo-semestre-das-selecoes-femininas-de-base</x:v>
      </x:c>
      <x:c r="G42" s="23" t="str">
        <x:v>Neutro</x:v>
      </x:c>
      <x:c r="H42" s="23" t="str">
        <x:v>Alto</x:v>
      </x:c>
      <x:c r="I42" s="23" t="str">
        <x:v>O calendário oficial reúne Liga Evolução Sub-15, Copas do Mundo Sub-17 e Sub-20, períodos de treinamento, Torneio Brasil e amistosos internacionais entre junho e dezembro de 2026.</x:v>
      </x:c>
    </x:row>
    <x:row r="43">
      <x:c r="A43" s="6" t="n"/>
      <x:c r="B43" s="23" t="n"/>
      <x:c r="C43" s="23" t="n"/>
      <x:c r="D43" s="23" t="n"/>
      <x:c r="E43" s="23" t="n"/>
      <x:c r="F43" s="23" t="n"/>
      <x:c r="G43" s="23" t="n"/>
      <x:c r="H43" s="23" t="n"/>
      <x:c r="I43" s="23" t="n"/>
    </x:row>
    <x:row r="44">
      <x:c r="A44" s="6" t="n"/>
      <x:c r="B44" s="23" t="n"/>
      <x:c r="C44" s="23" t="n"/>
      <x:c r="D44" s="23" t="n"/>
      <x:c r="E44" s="23" t="n"/>
      <x:c r="F44" s="23" t="n"/>
      <x:c r="G44" s="23" t="n"/>
      <x:c r="H44" s="23" t="n"/>
      <x:c r="I44" s="23" t="n"/>
    </x:row>
    <x:row r="45">
      <x:c r="A45" s="6" t="n"/>
      <x:c r="B45" s="23" t="n"/>
      <x:c r="C45" s="23" t="n"/>
      <x:c r="D45" s="23" t="n"/>
      <x:c r="E45" s="23" t="n"/>
      <x:c r="F45" s="23" t="n"/>
      <x:c r="G45" s="23" t="n"/>
      <x:c r="H45" s="23" t="n"/>
      <x:c r="I45" s="23" t="n"/>
    </x:row>
    <x:row r="46">
      <x:c r="A46" s="6" t="n"/>
      <x:c r="B46" s="23" t="n"/>
      <x:c r="C46" s="23" t="n"/>
      <x:c r="D46" s="23" t="n"/>
      <x:c r="E46" s="23" t="n"/>
      <x:c r="F46" s="23" t="n"/>
      <x:c r="G46" s="23" t="n"/>
      <x:c r="H46" s="23" t="n"/>
      <x:c r="I46" s="23" t="n"/>
    </x:row>
    <x:row r="47">
      <x:c r="A47" s="6" t="n"/>
      <x:c r="B47" s="23" t="n"/>
      <x:c r="C47" s="23" t="n"/>
      <x:c r="D47" s="23" t="n"/>
      <x:c r="E47" s="23" t="n"/>
      <x:c r="F47" s="23" t="n"/>
      <x:c r="G47" s="23" t="n"/>
      <x:c r="H47" s="23" t="n"/>
      <x:c r="I47" s="23" t="n"/>
    </x:row>
    <x:row r="48">
      <x:c r="A48" s="6" t="n"/>
      <x:c r="B48" s="23" t="n"/>
      <x:c r="C48" s="23" t="n"/>
      <x:c r="D48" s="23" t="n"/>
      <x:c r="E48" s="23" t="n"/>
      <x:c r="F48" s="23" t="n"/>
      <x:c r="G48" s="23" t="n"/>
      <x:c r="H48" s="23" t="n"/>
      <x:c r="I48" s="23" t="n"/>
    </x:row>
    <x:row r="49">
      <x:c r="A49" s="6" t="n"/>
      <x:c r="B49" s="23" t="n"/>
      <x:c r="C49" s="23" t="n"/>
      <x:c r="D49" s="23" t="n"/>
      <x:c r="E49" s="23" t="n"/>
      <x:c r="F49" s="23" t="n"/>
      <x:c r="G49" s="23" t="n"/>
      <x:c r="H49" s="23" t="n"/>
      <x:c r="I49" s="23" t="n"/>
    </x:row>
    <x:row r="50">
      <x:c r="A50" s="6" t="n"/>
      <x:c r="B50" s="23" t="n"/>
      <x:c r="C50" s="23" t="n"/>
      <x:c r="D50" s="23" t="n"/>
      <x:c r="E50" s="23" t="n"/>
      <x:c r="F50" s="23" t="n"/>
      <x:c r="G50" s="23" t="n"/>
      <x:c r="H50" s="23" t="n"/>
      <x:c r="I50" s="23" t="n"/>
    </x:row>
    <x:row r="51">
      <x:c r="A51" s="6" t="n"/>
      <x:c r="B51" s="23" t="n"/>
      <x:c r="C51" s="23" t="n"/>
      <x:c r="D51" s="23" t="n"/>
      <x:c r="E51" s="23" t="n"/>
      <x:c r="F51" s="23" t="n"/>
      <x:c r="G51" s="23" t="n"/>
      <x:c r="H51" s="23" t="n"/>
      <x:c r="I51" s="23" t="n"/>
    </x:row>
    <x:row r="52">
      <x:c r="A52" s="6" t="n"/>
      <x:c r="B52" s="23" t="n"/>
      <x:c r="C52" s="23" t="n"/>
      <x:c r="D52" s="23" t="n"/>
      <x:c r="E52" s="23" t="n"/>
      <x:c r="F52" s="23" t="n"/>
      <x:c r="G52" s="23" t="n"/>
      <x:c r="H52" s="23" t="n"/>
      <x:c r="I52" s="23" t="n"/>
    </x:row>
    <x:row r="53">
      <x:c r="A53" s="6" t="n"/>
      <x:c r="B53" s="23" t="n"/>
      <x:c r="C53" s="23" t="n"/>
      <x:c r="D53" s="23" t="n"/>
      <x:c r="E53" s="23" t="n"/>
      <x:c r="F53" s="23" t="n"/>
      <x:c r="G53" s="23" t="n"/>
      <x:c r="H53" s="23" t="n"/>
      <x:c r="I53" s="23" t="n"/>
    </x:row>
    <x:row r="54">
      <x:c r="A54" s="6" t="n"/>
      <x:c r="B54" s="23" t="n"/>
      <x:c r="C54" s="23" t="n"/>
      <x:c r="D54" s="23" t="n"/>
      <x:c r="E54" s="23" t="n"/>
      <x:c r="F54" s="23" t="n"/>
      <x:c r="G54" s="23" t="n"/>
      <x:c r="H54" s="23" t="n"/>
      <x:c r="I54" s="23" t="n"/>
    </x:row>
    <x:row r="55">
      <x:c r="A55" s="6" t="n"/>
      <x:c r="B55" s="23" t="n"/>
      <x:c r="C55" s="23" t="n"/>
      <x:c r="D55" s="23" t="n"/>
      <x:c r="E55" s="23" t="n"/>
      <x:c r="F55" s="23" t="n"/>
      <x:c r="G55" s="23" t="n"/>
      <x:c r="H55" s="23" t="n"/>
      <x:c r="I55" s="23" t="n"/>
    </x:row>
    <x:row r="56">
      <x:c r="A56" s="6" t="n"/>
      <x:c r="B56" s="23" t="n"/>
      <x:c r="C56" s="23" t="n"/>
      <x:c r="D56" s="23" t="n"/>
      <x:c r="E56" s="23" t="n"/>
      <x:c r="F56" s="23" t="n"/>
      <x:c r="G56" s="23" t="n"/>
      <x:c r="H56" s="23" t="n"/>
      <x:c r="I56" s="23" t="n"/>
    </x:row>
    <x:row r="57">
      <x:c r="A57" s="6" t="n"/>
      <x:c r="B57" s="23" t="n"/>
      <x:c r="C57" s="23" t="n"/>
      <x:c r="D57" s="23" t="n"/>
      <x:c r="E57" s="23" t="n"/>
      <x:c r="F57" s="23" t="n"/>
      <x:c r="G57" s="23" t="n"/>
      <x:c r="H57" s="23" t="n"/>
      <x:c r="I57" s="23" t="n"/>
    </x:row>
    <x:row r="58">
      <x:c r="A58" s="6" t="n"/>
      <x:c r="B58" s="23" t="n"/>
      <x:c r="C58" s="23" t="n"/>
      <x:c r="D58" s="23" t="n"/>
      <x:c r="E58" s="23" t="n"/>
      <x:c r="F58" s="23" t="n"/>
      <x:c r="G58" s="23" t="n"/>
      <x:c r="H58" s="23" t="n"/>
      <x:c r="I58" s="23" t="n"/>
    </x:row>
    <x:row r="59">
      <x:c r="A59" s="6" t="n"/>
      <x:c r="B59" s="23" t="n"/>
      <x:c r="C59" s="23" t="n"/>
      <x:c r="D59" s="23" t="n"/>
      <x:c r="E59" s="23" t="n"/>
      <x:c r="F59" s="23" t="n"/>
      <x:c r="G59" s="23" t="n"/>
      <x:c r="H59" s="23" t="n"/>
      <x:c r="I59" s="23" t="n"/>
    </x:row>
    <x:row r="60">
      <x:c r="A60" s="6" t="n"/>
      <x:c r="B60" s="23" t="n"/>
      <x:c r="C60" s="23" t="n"/>
      <x:c r="D60" s="23" t="n"/>
      <x:c r="E60" s="23" t="n"/>
      <x:c r="F60" s="23" t="n"/>
      <x:c r="G60" s="23" t="n"/>
      <x:c r="H60" s="23" t="n"/>
      <x:c r="I60" s="23" t="n"/>
    </x:row>
    <x:row r="61">
      <x:c r="A61" s="6" t="n"/>
      <x:c r="B61" s="23" t="n"/>
      <x:c r="C61" s="23" t="n"/>
      <x:c r="D61" s="23" t="n"/>
      <x:c r="E61" s="23" t="n"/>
      <x:c r="F61" s="23" t="n"/>
      <x:c r="G61" s="23" t="n"/>
      <x:c r="H61" s="23" t="n"/>
      <x:c r="I61" s="23" t="n"/>
    </x:row>
    <x:row r="62">
      <x:c r="A62" s="6" t="n"/>
      <x:c r="B62" s="23" t="n"/>
      <x:c r="C62" s="23" t="n"/>
      <x:c r="D62" s="23" t="n"/>
      <x:c r="E62" s="23" t="n"/>
      <x:c r="F62" s="23" t="n"/>
      <x:c r="G62" s="23" t="n"/>
      <x:c r="H62" s="23" t="n"/>
      <x:c r="I62" s="23" t="n"/>
    </x:row>
    <x:row r="63">
      <x:c r="A63" s="6" t="n"/>
      <x:c r="B63" s="23" t="n"/>
      <x:c r="C63" s="23" t="n"/>
      <x:c r="D63" s="23" t="n"/>
      <x:c r="E63" s="23" t="n"/>
      <x:c r="F63" s="23" t="n"/>
      <x:c r="G63" s="23" t="n"/>
      <x:c r="H63" s="23" t="n"/>
      <x:c r="I63" s="23" t="n"/>
    </x:row>
    <x:row r="64">
      <x:c r="A64" s="6" t="n"/>
      <x:c r="B64" s="23" t="n"/>
      <x:c r="C64" s="23" t="n"/>
      <x:c r="D64" s="23" t="n"/>
      <x:c r="E64" s="23" t="n"/>
      <x:c r="F64" s="23" t="n"/>
      <x:c r="G64" s="23" t="n"/>
      <x:c r="H64" s="23" t="n"/>
      <x:c r="I64" s="23" t="n"/>
    </x:row>
    <x:row r="65">
      <x:c r="A65" s="6" t="n"/>
      <x:c r="B65" s="23" t="n"/>
      <x:c r="C65" s="23" t="n"/>
      <x:c r="D65" s="23" t="n"/>
      <x:c r="E65" s="23" t="n"/>
      <x:c r="F65" s="23" t="n"/>
      <x:c r="G65" s="23" t="n"/>
      <x:c r="H65" s="23" t="n"/>
      <x:c r="I65" s="23" t="n"/>
    </x:row>
    <x:row r="66">
      <x:c r="A66" s="6" t="n"/>
      <x:c r="B66" s="23" t="n"/>
      <x:c r="C66" s="23" t="n"/>
      <x:c r="D66" s="23" t="n"/>
      <x:c r="E66" s="23" t="n"/>
      <x:c r="F66" s="23" t="n"/>
      <x:c r="G66" s="23" t="n"/>
      <x:c r="H66" s="23" t="n"/>
      <x:c r="I66" s="23" t="n"/>
    </x:row>
    <x:row r="67">
      <x:c r="A67" s="6" t="n"/>
      <x:c r="B67" s="23" t="n"/>
      <x:c r="C67" s="23" t="n"/>
      <x:c r="D67" s="23" t="n"/>
      <x:c r="E67" s="23" t="n"/>
      <x:c r="F67" s="23" t="n"/>
      <x:c r="G67" s="23" t="n"/>
      <x:c r="H67" s="23" t="n"/>
      <x:c r="I67" s="23" t="n"/>
    </x:row>
    <x:row r="68">
      <x:c r="A68" s="6" t="n"/>
      <x:c r="B68" s="23" t="n"/>
      <x:c r="C68" s="23" t="n"/>
      <x:c r="D68" s="23" t="n"/>
      <x:c r="E68" s="23" t="n"/>
      <x:c r="F68" s="23" t="n"/>
      <x:c r="G68" s="23" t="n"/>
      <x:c r="H68" s="23" t="n"/>
      <x:c r="I68" s="23" t="n"/>
    </x:row>
    <x:row r="69">
      <x:c r="A69" s="6" t="n"/>
      <x:c r="B69" s="23" t="n"/>
      <x:c r="C69" s="23" t="n"/>
      <x:c r="D69" s="23" t="n"/>
      <x:c r="E69" s="23" t="n"/>
      <x:c r="F69" s="23" t="n"/>
      <x:c r="G69" s="23" t="n"/>
      <x:c r="H69" s="23" t="n"/>
      <x:c r="I69" s="23" t="n"/>
    </x:row>
    <x:row r="70">
      <x:c r="A70" s="6" t="n"/>
      <x:c r="B70" s="23" t="n"/>
      <x:c r="C70" s="23" t="n"/>
      <x:c r="D70" s="23" t="n"/>
      <x:c r="E70" s="23" t="n"/>
      <x:c r="F70" s="23" t="n"/>
      <x:c r="G70" s="23" t="n"/>
      <x:c r="H70" s="23" t="n"/>
      <x:c r="I70" s="23" t="n"/>
    </x:row>
    <x:row r="71">
      <x:c r="A71" s="6" t="n"/>
      <x:c r="B71" s="23" t="n"/>
      <x:c r="C71" s="23" t="n"/>
      <x:c r="D71" s="23" t="n"/>
      <x:c r="E71" s="23" t="n"/>
      <x:c r="F71" s="23" t="n"/>
      <x:c r="G71" s="23" t="n"/>
      <x:c r="H71" s="23" t="n"/>
      <x:c r="I71" s="23" t="n"/>
    </x:row>
    <x:row r="72">
      <x:c r="A72" s="6" t="n"/>
      <x:c r="B72" s="23" t="n"/>
      <x:c r="C72" s="23" t="n"/>
      <x:c r="D72" s="23" t="n"/>
      <x:c r="E72" s="23" t="n"/>
      <x:c r="F72" s="23" t="n"/>
      <x:c r="G72" s="23" t="n"/>
      <x:c r="H72" s="23" t="n"/>
      <x:c r="I72" s="23" t="n"/>
    </x:row>
    <x:row r="73">
      <x:c r="A73" s="6" t="n"/>
      <x:c r="B73" s="23" t="n"/>
      <x:c r="C73" s="23" t="n"/>
      <x:c r="D73" s="23" t="n"/>
      <x:c r="E73" s="23" t="n"/>
      <x:c r="F73" s="23" t="n"/>
      <x:c r="G73" s="23" t="n"/>
      <x:c r="H73" s="23" t="n"/>
      <x:c r="I73" s="23" t="n"/>
    </x:row>
    <x:row r="74">
      <x:c r="A74" s="6" t="n"/>
      <x:c r="B74" s="23" t="n"/>
      <x:c r="C74" s="23" t="n"/>
      <x:c r="D74" s="23" t="n"/>
      <x:c r="E74" s="23" t="n"/>
      <x:c r="F74" s="23" t="n"/>
      <x:c r="G74" s="23" t="n"/>
      <x:c r="H74" s="23" t="n"/>
      <x:c r="I74" s="23" t="n"/>
    </x:row>
    <x:row r="75">
      <x:c r="A75" s="6" t="n"/>
      <x:c r="B75" s="23" t="n"/>
      <x:c r="C75" s="23" t="n"/>
      <x:c r="D75" s="23" t="n"/>
      <x:c r="E75" s="23" t="n"/>
      <x:c r="F75" s="23" t="n"/>
      <x:c r="G75" s="23" t="n"/>
      <x:c r="H75" s="23" t="n"/>
      <x:c r="I75" s="23" t="n"/>
    </x:row>
    <x:row r="76">
      <x:c r="A76" s="6" t="n"/>
      <x:c r="B76" s="23" t="n"/>
      <x:c r="C76" s="23" t="n"/>
      <x:c r="D76" s="23" t="n"/>
      <x:c r="E76" s="23" t="n"/>
      <x:c r="F76" s="23" t="n"/>
      <x:c r="G76" s="23" t="n"/>
      <x:c r="H76" s="23" t="n"/>
      <x:c r="I76" s="23" t="n"/>
    </x:row>
    <x:row r="77">
      <x:c r="A77" s="6" t="n"/>
      <x:c r="B77" s="23" t="n"/>
      <x:c r="C77" s="23" t="n"/>
      <x:c r="D77" s="23" t="n"/>
      <x:c r="E77" s="23" t="n"/>
      <x:c r="F77" s="23" t="n"/>
      <x:c r="G77" s="23" t="n"/>
      <x:c r="H77" s="23" t="n"/>
      <x:c r="I77" s="23" t="n"/>
    </x:row>
    <x:row r="78">
      <x:c r="A78" s="6" t="n"/>
      <x:c r="B78" s="23" t="n"/>
      <x:c r="C78" s="23" t="n"/>
      <x:c r="D78" s="23" t="n"/>
      <x:c r="E78" s="23" t="n"/>
      <x:c r="F78" s="23" t="n"/>
      <x:c r="G78" s="23" t="n"/>
      <x:c r="H78" s="23" t="n"/>
      <x:c r="I78" s="23" t="n"/>
    </x:row>
    <x:row r="79">
      <x:c r="A79" s="6" t="n"/>
      <x:c r="B79" s="23" t="n"/>
      <x:c r="C79" s="23" t="n"/>
      <x:c r="D79" s="23" t="n"/>
      <x:c r="E79" s="23" t="n"/>
      <x:c r="F79" s="23" t="n"/>
      <x:c r="G79" s="23" t="n"/>
      <x:c r="H79" s="23" t="n"/>
      <x:c r="I79" s="23" t="n"/>
    </x:row>
    <x:row r="80">
      <x:c r="A80" s="6" t="n"/>
      <x:c r="B80" s="23" t="n"/>
      <x:c r="C80" s="23" t="n"/>
      <x:c r="D80" s="23" t="n"/>
      <x:c r="E80" s="23" t="n"/>
      <x:c r="F80" s="23" t="n"/>
      <x:c r="G80" s="23" t="n"/>
      <x:c r="H80" s="23" t="n"/>
      <x:c r="I80" s="23" t="n"/>
    </x:row>
    <x:row r="81">
      <x:c r="A81" s="6" t="n"/>
      <x:c r="B81" s="23" t="n"/>
      <x:c r="C81" s="23" t="n"/>
      <x:c r="D81" s="23" t="n"/>
      <x:c r="E81" s="23" t="n"/>
      <x:c r="F81" s="23" t="n"/>
      <x:c r="G81" s="23" t="n"/>
      <x:c r="H81" s="23" t="n"/>
      <x:c r="I81" s="23" t="n"/>
    </x:row>
    <x:row r="82">
      <x:c r="A82" s="6" t="n"/>
      <x:c r="B82" s="23" t="n"/>
      <x:c r="C82" s="23" t="n"/>
      <x:c r="D82" s="23" t="n"/>
      <x:c r="E82" s="23" t="n"/>
      <x:c r="F82" s="23" t="n"/>
      <x:c r="G82" s="23" t="n"/>
      <x:c r="H82" s="23" t="n"/>
      <x:c r="I82" s="23" t="n"/>
    </x:row>
    <x:row r="83">
      <x:c r="A83" s="6" t="n"/>
      <x:c r="B83" s="23" t="n"/>
      <x:c r="C83" s="23" t="n"/>
      <x:c r="D83" s="23" t="n"/>
      <x:c r="E83" s="23" t="n"/>
      <x:c r="F83" s="23" t="n"/>
      <x:c r="G83" s="23" t="n"/>
      <x:c r="H83" s="23" t="n"/>
      <x:c r="I83" s="23" t="n"/>
    </x:row>
    <x:row r="84">
      <x:c r="A84" s="6" t="n"/>
      <x:c r="B84" s="23" t="n"/>
      <x:c r="C84" s="23" t="n"/>
      <x:c r="D84" s="23" t="n"/>
      <x:c r="E84" s="23" t="n"/>
      <x:c r="F84" s="23" t="n"/>
      <x:c r="G84" s="23" t="n"/>
      <x:c r="H84" s="23" t="n"/>
      <x:c r="I84" s="23" t="n"/>
    </x:row>
    <x:row r="85">
      <x:c r="A85" s="6" t="n"/>
      <x:c r="B85" s="23" t="n"/>
      <x:c r="C85" s="23" t="n"/>
      <x:c r="D85" s="23" t="n"/>
      <x:c r="E85" s="23" t="n"/>
      <x:c r="F85" s="23" t="n"/>
      <x:c r="G85" s="23" t="n"/>
      <x:c r="H85" s="23" t="n"/>
      <x:c r="I85" s="23" t="n"/>
    </x:row>
    <x:row r="86">
      <x:c r="A86" s="6" t="n"/>
      <x:c r="B86" s="23" t="n"/>
      <x:c r="C86" s="23" t="n"/>
      <x:c r="D86" s="23" t="n"/>
      <x:c r="E86" s="23" t="n"/>
      <x:c r="F86" s="23" t="n"/>
      <x:c r="G86" s="23" t="n"/>
      <x:c r="H86" s="23" t="n"/>
      <x:c r="I86" s="23" t="n"/>
    </x:row>
    <x:row r="87">
      <x:c r="A87" s="6" t="n"/>
      <x:c r="B87" s="23" t="n"/>
      <x:c r="C87" s="23" t="n"/>
      <x:c r="D87" s="23" t="n"/>
      <x:c r="E87" s="23" t="n"/>
      <x:c r="F87" s="23" t="n"/>
      <x:c r="G87" s="23" t="n"/>
      <x:c r="H87" s="23" t="n"/>
      <x:c r="I87" s="23" t="n"/>
    </x:row>
    <x:row r="88">
      <x:c r="A88" s="6" t="n"/>
      <x:c r="B88" s="23" t="n"/>
      <x:c r="C88" s="23" t="n"/>
      <x:c r="D88" s="23" t="n"/>
      <x:c r="E88" s="23" t="n"/>
      <x:c r="F88" s="23" t="n"/>
      <x:c r="G88" s="23" t="n"/>
      <x:c r="H88" s="23" t="n"/>
      <x:c r="I88" s="23" t="n"/>
    </x:row>
    <x:row r="89">
      <x:c r="A89" s="6" t="n"/>
      <x:c r="B89" s="23" t="n"/>
      <x:c r="C89" s="23" t="n"/>
      <x:c r="D89" s="23" t="n"/>
      <x:c r="E89" s="23" t="n"/>
      <x:c r="F89" s="23" t="n"/>
      <x:c r="G89" s="23" t="n"/>
      <x:c r="H89" s="23" t="n"/>
      <x:c r="I89" s="23" t="n"/>
    </x:row>
    <x:row r="90">
      <x:c r="A90" s="6" t="n"/>
      <x:c r="B90" s="23" t="n"/>
      <x:c r="C90" s="23" t="n"/>
      <x:c r="D90" s="23" t="n"/>
      <x:c r="E90" s="23" t="n"/>
      <x:c r="F90" s="23" t="n"/>
      <x:c r="G90" s="23" t="n"/>
      <x:c r="H90" s="23" t="n"/>
      <x:c r="I90" s="23" t="n"/>
    </x:row>
    <x:row r="91">
      <x:c r="A91" s="6" t="n"/>
      <x:c r="B91" s="23" t="n"/>
      <x:c r="C91" s="23" t="n"/>
      <x:c r="D91" s="23" t="n"/>
      <x:c r="E91" s="23" t="n"/>
      <x:c r="F91" s="23" t="n"/>
      <x:c r="G91" s="23" t="n"/>
      <x:c r="H91" s="23" t="n"/>
      <x:c r="I91" s="23" t="n"/>
    </x:row>
    <x:row r="92">
      <x:c r="A92" s="6" t="n"/>
      <x:c r="B92" s="23" t="n"/>
      <x:c r="C92" s="23" t="n"/>
      <x:c r="D92" s="23" t="n"/>
      <x:c r="E92" s="23" t="n"/>
      <x:c r="F92" s="23" t="n"/>
      <x:c r="G92" s="23" t="n"/>
      <x:c r="H92" s="23" t="n"/>
      <x:c r="I92" s="23" t="n"/>
    </x:row>
    <x:row r="93">
      <x:c r="A93" s="6" t="n"/>
      <x:c r="B93" s="23" t="n"/>
      <x:c r="C93" s="23" t="n"/>
      <x:c r="D93" s="23" t="n"/>
      <x:c r="E93" s="23" t="n"/>
      <x:c r="F93" s="23" t="n"/>
      <x:c r="G93" s="23" t="n"/>
      <x:c r="H93" s="23" t="n"/>
      <x:c r="I93" s="23" t="n"/>
    </x:row>
    <x:row r="94">
      <x:c r="A94" s="6" t="n"/>
      <x:c r="B94" s="23" t="n"/>
      <x:c r="C94" s="23" t="n"/>
      <x:c r="D94" s="23" t="n"/>
      <x:c r="E94" s="23" t="n"/>
      <x:c r="F94" s="23" t="n"/>
      <x:c r="G94" s="23" t="n"/>
      <x:c r="H94" s="23" t="n"/>
      <x:c r="I94" s="23" t="n"/>
    </x:row>
    <x:row r="95">
      <x:c r="A95" s="6" t="n"/>
      <x:c r="B95" s="23" t="n"/>
      <x:c r="C95" s="23" t="n"/>
      <x:c r="D95" s="23" t="n"/>
      <x:c r="E95" s="23" t="n"/>
      <x:c r="F95" s="23" t="n"/>
      <x:c r="G95" s="23" t="n"/>
      <x:c r="H95" s="23" t="n"/>
      <x:c r="I95" s="23" t="n"/>
    </x:row>
    <x:row r="96">
      <x:c r="A96" s="6" t="n"/>
      <x:c r="B96" s="23" t="n"/>
      <x:c r="C96" s="23" t="n"/>
      <x:c r="D96" s="23" t="n"/>
      <x:c r="E96" s="23" t="n"/>
      <x:c r="F96" s="23" t="n"/>
      <x:c r="G96" s="23" t="n"/>
      <x:c r="H96" s="23" t="n"/>
      <x:c r="I96" s="23" t="n"/>
    </x:row>
    <x:row r="97">
      <x:c r="A97" s="6" t="n"/>
      <x:c r="B97" s="23" t="n"/>
      <x:c r="C97" s="23" t="n"/>
      <x:c r="D97" s="23" t="n"/>
      <x:c r="E97" s="23" t="n"/>
      <x:c r="F97" s="23" t="n"/>
      <x:c r="G97" s="23" t="n"/>
      <x:c r="H97" s="23" t="n"/>
      <x:c r="I97" s="23" t="n"/>
    </x:row>
    <x:row r="98">
      <x:c r="A98" s="6" t="n"/>
      <x:c r="B98" s="23" t="n"/>
      <x:c r="C98" s="23" t="n"/>
      <x:c r="D98" s="23" t="n"/>
      <x:c r="E98" s="23" t="n"/>
      <x:c r="F98" s="23" t="n"/>
      <x:c r="G98" s="23" t="n"/>
      <x:c r="H98" s="23" t="n"/>
      <x:c r="I98" s="23" t="n"/>
    </x:row>
    <x:row r="99">
      <x:c r="A99" s="6" t="n"/>
      <x:c r="B99" s="23" t="n"/>
      <x:c r="C99" s="23" t="n"/>
      <x:c r="D99" s="23" t="n"/>
      <x:c r="E99" s="23" t="n"/>
      <x:c r="F99" s="23" t="n"/>
      <x:c r="G99" s="23" t="n"/>
      <x:c r="H99" s="23" t="n"/>
      <x:c r="I99" s="23" t="n"/>
    </x:row>
    <x:row r="100">
      <x:c r="A100" s="6" t="n"/>
      <x:c r="B100" s="23" t="n"/>
      <x:c r="C100" s="23" t="n"/>
      <x:c r="D100" s="23" t="n"/>
      <x:c r="E100" s="23" t="n"/>
      <x:c r="F100" s="23" t="n"/>
      <x:c r="G100" s="23" t="n"/>
      <x:c r="H100" s="23" t="n"/>
      <x:c r="I100" s="23" t="n"/>
    </x:row>
    <x:row r="101">
      <x:c r="A101" s="6" t="n"/>
      <x:c r="B101" s="23" t="n"/>
      <x:c r="C101" s="23" t="n"/>
      <x:c r="D101" s="23" t="n"/>
      <x:c r="E101" s="23" t="n"/>
      <x:c r="F101" s="23" t="n"/>
      <x:c r="G101" s="23" t="n"/>
      <x:c r="H101" s="23" t="n"/>
      <x:c r="I101" s="23" t="n"/>
    </x:row>
    <x:row r="102">
      <x:c r="A102" s="6" t="n"/>
      <x:c r="B102" s="23" t="n"/>
      <x:c r="C102" s="23" t="n"/>
      <x:c r="D102" s="23" t="n"/>
      <x:c r="E102" s="23" t="n"/>
      <x:c r="F102" s="23" t="n"/>
      <x:c r="G102" s="23" t="n"/>
      <x:c r="H102" s="23" t="n"/>
      <x:c r="I102" s="23" t="n"/>
    </x:row>
    <x:row r="103">
      <x:c r="A103" s="6" t="n"/>
      <x:c r="B103" s="23" t="n"/>
      <x:c r="C103" s="23" t="n"/>
      <x:c r="D103" s="23" t="n"/>
      <x:c r="E103" s="23" t="n"/>
      <x:c r="F103" s="23" t="n"/>
      <x:c r="G103" s="23" t="n"/>
      <x:c r="H103" s="23" t="n"/>
      <x:c r="I103" s="23" t="n"/>
    </x:row>
    <x:row r="104">
      <x:c r="A104" s="6" t="n"/>
      <x:c r="B104" s="23" t="n"/>
      <x:c r="C104" s="23" t="n"/>
      <x:c r="D104" s="23" t="n"/>
      <x:c r="E104" s="23" t="n"/>
      <x:c r="F104" s="23" t="n"/>
      <x:c r="G104" s="23" t="n"/>
      <x:c r="H104" s="23" t="n"/>
      <x:c r="I104" s="23" t="n"/>
    </x:row>
    <x:row r="105">
      <x:c r="A105" s="6" t="n"/>
      <x:c r="B105" s="23" t="n"/>
      <x:c r="C105" s="23" t="n"/>
      <x:c r="D105" s="23" t="n"/>
      <x:c r="E105" s="23" t="n"/>
      <x:c r="F105" s="23" t="n"/>
      <x:c r="G105" s="23" t="n"/>
      <x:c r="H105" s="23" t="n"/>
      <x:c r="I105" s="23" t="n"/>
    </x:row>
    <x:row r="106">
      <x:c r="A106" s="6" t="n"/>
      <x:c r="B106" s="23" t="n"/>
      <x:c r="C106" s="23" t="n"/>
      <x:c r="D106" s="23" t="n"/>
      <x:c r="E106" s="23" t="n"/>
      <x:c r="F106" s="23" t="n"/>
      <x:c r="G106" s="23" t="n"/>
      <x:c r="H106" s="23" t="n"/>
      <x:c r="I106" s="23" t="n"/>
    </x:row>
    <x:row r="107">
      <x:c r="A107" s="6" t="n"/>
      <x:c r="B107" s="23" t="n"/>
      <x:c r="C107" s="23" t="n"/>
      <x:c r="D107" s="23" t="n"/>
      <x:c r="E107" s="23" t="n"/>
      <x:c r="F107" s="23" t="n"/>
      <x:c r="G107" s="23" t="n"/>
      <x:c r="H107" s="23" t="n"/>
      <x:c r="I107" s="23" t="n"/>
    </x:row>
    <x:row r="108">
      <x:c r="A108" s="6" t="n"/>
      <x:c r="B108" s="23" t="n"/>
      <x:c r="C108" s="23" t="n"/>
      <x:c r="D108" s="23" t="n"/>
      <x:c r="E108" s="23" t="n"/>
      <x:c r="F108" s="23" t="n"/>
      <x:c r="G108" s="23" t="n"/>
      <x:c r="H108" s="23" t="n"/>
      <x:c r="I108" s="23" t="n"/>
    </x:row>
    <x:row r="109">
      <x:c r="A109" s="6" t="n"/>
      <x:c r="B109" s="23" t="n"/>
      <x:c r="C109" s="23" t="n"/>
      <x:c r="D109" s="23" t="n"/>
      <x:c r="E109" s="23" t="n"/>
      <x:c r="F109" s="23" t="n"/>
      <x:c r="G109" s="23" t="n"/>
      <x:c r="H109" s="23" t="n"/>
      <x:c r="I109" s="23" t="n"/>
    </x:row>
    <x:row r="110">
      <x:c r="A110" s="6" t="n"/>
      <x:c r="B110" s="23" t="n"/>
      <x:c r="C110" s="23" t="n"/>
      <x:c r="D110" s="23" t="n"/>
      <x:c r="E110" s="23" t="n"/>
      <x:c r="F110" s="23" t="n"/>
      <x:c r="G110" s="23" t="n"/>
      <x:c r="H110" s="23" t="n"/>
      <x:c r="I110" s="23" t="n"/>
    </x:row>
    <x:row r="111">
      <x:c r="A111" s="6" t="n"/>
      <x:c r="B111" s="23" t="n"/>
      <x:c r="C111" s="23" t="n"/>
      <x:c r="D111" s="23" t="n"/>
      <x:c r="E111" s="23" t="n"/>
      <x:c r="F111" s="23" t="n"/>
      <x:c r="G111" s="23" t="n"/>
      <x:c r="H111" s="23" t="n"/>
      <x:c r="I111" s="23" t="n"/>
    </x:row>
    <x:row r="112">
      <x:c r="A112" s="6" t="n"/>
      <x:c r="B112" s="23" t="n"/>
      <x:c r="C112" s="23" t="n"/>
      <x:c r="D112" s="23" t="n"/>
      <x:c r="E112" s="23" t="n"/>
      <x:c r="F112" s="23" t="n"/>
      <x:c r="G112" s="23" t="n"/>
      <x:c r="H112" s="23" t="n"/>
      <x:c r="I112" s="23" t="n"/>
    </x:row>
    <x:row r="113">
      <x:c r="A113" s="6" t="n"/>
      <x:c r="B113" s="23" t="n"/>
      <x:c r="C113" s="23" t="n"/>
      <x:c r="D113" s="23" t="n"/>
      <x:c r="E113" s="23" t="n"/>
      <x:c r="F113" s="23" t="n"/>
      <x:c r="G113" s="23" t="n"/>
      <x:c r="H113" s="23" t="n"/>
      <x:c r="I113" s="23" t="n"/>
    </x:row>
    <x:row r="114">
      <x:c r="A114" s="6" t="n"/>
      <x:c r="B114" s="23" t="n"/>
      <x:c r="C114" s="23" t="n"/>
      <x:c r="D114" s="23" t="n"/>
      <x:c r="E114" s="23" t="n"/>
      <x:c r="F114" s="23" t="n"/>
      <x:c r="G114" s="23" t="n"/>
      <x:c r="H114" s="23" t="n"/>
      <x:c r="I114" s="23" t="n"/>
    </x:row>
    <x:row r="115">
      <x:c r="A115" s="6" t="n"/>
      <x:c r="B115" s="23" t="n"/>
      <x:c r="C115" s="23" t="n"/>
      <x:c r="D115" s="23" t="n"/>
      <x:c r="E115" s="23" t="n"/>
      <x:c r="F115" s="23" t="n"/>
      <x:c r="G115" s="23" t="n"/>
      <x:c r="H115" s="23" t="n"/>
      <x:c r="I115" s="23" t="n"/>
    </x:row>
    <x:row r="116">
      <x:c r="A116" s="6" t="n"/>
      <x:c r="B116" s="23" t="n"/>
      <x:c r="C116" s="23" t="n"/>
      <x:c r="D116" s="23" t="n"/>
      <x:c r="E116" s="23" t="n"/>
      <x:c r="F116" s="23" t="n"/>
      <x:c r="G116" s="23" t="n"/>
      <x:c r="H116" s="23" t="n"/>
      <x:c r="I116" s="23" t="n"/>
    </x:row>
    <x:row r="117">
      <x:c r="A117" s="6" t="n"/>
      <x:c r="B117" s="23" t="n"/>
      <x:c r="C117" s="23" t="n"/>
      <x:c r="D117" s="23" t="n"/>
      <x:c r="E117" s="23" t="n"/>
      <x:c r="F117" s="23" t="n"/>
      <x:c r="G117" s="23" t="n"/>
      <x:c r="H117" s="23" t="n"/>
      <x:c r="I117" s="23" t="n"/>
    </x:row>
    <x:row r="118">
      <x:c r="A118" s="6" t="n"/>
      <x:c r="B118" s="23" t="n"/>
      <x:c r="C118" s="23" t="n"/>
      <x:c r="D118" s="23" t="n"/>
      <x:c r="E118" s="23" t="n"/>
      <x:c r="F118" s="23" t="n"/>
      <x:c r="G118" s="23" t="n"/>
      <x:c r="H118" s="23" t="n"/>
      <x:c r="I118" s="23" t="n"/>
    </x:row>
    <x:row r="119">
      <x:c r="A119" s="6" t="n"/>
      <x:c r="B119" s="23" t="n"/>
      <x:c r="C119" s="23" t="n"/>
      <x:c r="D119" s="23" t="n"/>
      <x:c r="E119" s="23" t="n"/>
      <x:c r="F119" s="23" t="n"/>
      <x:c r="G119" s="23" t="n"/>
      <x:c r="H119" s="23" t="n"/>
      <x:c r="I119" s="23" t="n"/>
    </x:row>
    <x:row r="120">
      <x:c r="A120" s="6" t="n"/>
      <x:c r="B120" s="23" t="n"/>
      <x:c r="C120" s="23" t="n"/>
      <x:c r="D120" s="23" t="n"/>
      <x:c r="E120" s="23" t="n"/>
      <x:c r="F120" s="23" t="n"/>
      <x:c r="G120" s="23" t="n"/>
      <x:c r="H120" s="23" t="n"/>
      <x:c r="I120" s="23" t="n"/>
    </x:row>
    <x:row r="121">
      <x:c r="A121" s="6" t="n"/>
      <x:c r="B121" s="23" t="n"/>
      <x:c r="C121" s="23" t="n"/>
      <x:c r="D121" s="23" t="n"/>
      <x:c r="E121" s="23" t="n"/>
      <x:c r="F121" s="23" t="n"/>
      <x:c r="G121" s="23" t="n"/>
      <x:c r="H121" s="23" t="n"/>
      <x:c r="I121" s="23" t="n"/>
    </x:row>
    <x:row r="122">
      <x:c r="A122" s="6" t="n"/>
      <x:c r="B122" s="23" t="n"/>
      <x:c r="C122" s="23" t="n"/>
      <x:c r="D122" s="23" t="n"/>
      <x:c r="E122" s="23" t="n"/>
      <x:c r="F122" s="23" t="n"/>
      <x:c r="G122" s="23" t="n"/>
      <x:c r="H122" s="23" t="n"/>
      <x:c r="I122" s="23" t="n"/>
    </x:row>
    <x:row r="123">
      <x:c r="A123" s="6" t="n"/>
      <x:c r="B123" s="23" t="n"/>
      <x:c r="C123" s="23" t="n"/>
      <x:c r="D123" s="23" t="n"/>
      <x:c r="E123" s="23" t="n"/>
      <x:c r="F123" s="23" t="n"/>
      <x:c r="G123" s="23" t="n"/>
      <x:c r="H123" s="23" t="n"/>
      <x:c r="I123" s="23" t="n"/>
    </x:row>
    <x:row r="124">
      <x:c r="A124" s="6" t="n"/>
      <x:c r="B124" s="23" t="n"/>
      <x:c r="C124" s="23" t="n"/>
      <x:c r="D124" s="23" t="n"/>
      <x:c r="E124" s="23" t="n"/>
      <x:c r="F124" s="23" t="n"/>
      <x:c r="G124" s="23" t="n"/>
      <x:c r="H124" s="23" t="n"/>
      <x:c r="I124" s="23" t="n"/>
    </x:row>
    <x:row r="125">
      <x:c r="A125" s="6" t="n"/>
      <x:c r="B125" s="23" t="n"/>
      <x:c r="C125" s="23" t="n"/>
      <x:c r="D125" s="23" t="n"/>
      <x:c r="E125" s="23" t="n"/>
      <x:c r="F125" s="23" t="n"/>
      <x:c r="G125" s="23" t="n"/>
      <x:c r="H125" s="23" t="n"/>
      <x:c r="I125" s="23" t="n"/>
    </x:row>
    <x:row r="126">
      <x:c r="A126" s="6" t="n"/>
      <x:c r="B126" s="23" t="n"/>
      <x:c r="C126" s="23" t="n"/>
      <x:c r="D126" s="23" t="n"/>
      <x:c r="E126" s="23" t="n"/>
      <x:c r="F126" s="23" t="n"/>
      <x:c r="G126" s="23" t="n"/>
      <x:c r="H126" s="23" t="n"/>
      <x:c r="I126" s="23" t="n"/>
    </x:row>
    <x:row r="127">
      <x:c r="A127" s="6" t="n"/>
      <x:c r="B127" s="23" t="n"/>
      <x:c r="C127" s="23" t="n"/>
      <x:c r="D127" s="23" t="n"/>
      <x:c r="E127" s="23" t="n"/>
      <x:c r="F127" s="23" t="n"/>
      <x:c r="G127" s="23" t="n"/>
      <x:c r="H127" s="23" t="n"/>
      <x:c r="I127" s="23" t="n"/>
    </x:row>
    <x:row r="128">
      <x:c r="A128" s="6" t="n"/>
      <x:c r="B128" s="23" t="n"/>
      <x:c r="C128" s="23" t="n"/>
      <x:c r="D128" s="23" t="n"/>
      <x:c r="E128" s="23" t="n"/>
      <x:c r="F128" s="23" t="n"/>
      <x:c r="G128" s="23" t="n"/>
      <x:c r="H128" s="23" t="n"/>
      <x:c r="I128" s="23" t="n"/>
    </x:row>
    <x:row r="129">
      <x:c r="A129" s="6" t="n"/>
      <x:c r="B129" s="23" t="n"/>
      <x:c r="C129" s="23" t="n"/>
      <x:c r="D129" s="23" t="n"/>
      <x:c r="E129" s="23" t="n"/>
      <x:c r="F129" s="23" t="n"/>
      <x:c r="G129" s="23" t="n"/>
      <x:c r="H129" s="23" t="n"/>
      <x:c r="I129" s="23" t="n"/>
    </x:row>
    <x:row r="130">
      <x:c r="A130" s="6" t="n"/>
      <x:c r="B130" s="23" t="n"/>
      <x:c r="C130" s="23" t="n"/>
      <x:c r="D130" s="23" t="n"/>
      <x:c r="E130" s="23" t="n"/>
      <x:c r="F130" s="23" t="n"/>
      <x:c r="G130" s="23" t="n"/>
      <x:c r="H130" s="23" t="n"/>
      <x:c r="I130" s="23" t="n"/>
    </x:row>
    <x:row r="131">
      <x:c r="A131" s="6" t="n"/>
      <x:c r="B131" s="23" t="n"/>
      <x:c r="C131" s="23" t="n"/>
      <x:c r="D131" s="23" t="n"/>
      <x:c r="E131" s="23" t="n"/>
      <x:c r="F131" s="23" t="n"/>
      <x:c r="G131" s="23" t="n"/>
      <x:c r="H131" s="23" t="n"/>
      <x:c r="I131" s="23" t="n"/>
    </x:row>
    <x:row r="132">
      <x:c r="A132" s="6" t="n"/>
      <x:c r="B132" s="23" t="n"/>
      <x:c r="C132" s="23" t="n"/>
      <x:c r="D132" s="23" t="n"/>
      <x:c r="E132" s="23" t="n"/>
      <x:c r="F132" s="23" t="n"/>
      <x:c r="G132" s="23" t="n"/>
      <x:c r="H132" s="23" t="n"/>
      <x:c r="I132" s="23" t="n"/>
    </x:row>
    <x:row r="133">
      <x:c r="A133" s="6" t="n"/>
      <x:c r="B133" s="23" t="n"/>
      <x:c r="C133" s="23" t="n"/>
      <x:c r="D133" s="23" t="n"/>
      <x:c r="E133" s="23" t="n"/>
      <x:c r="F133" s="23" t="n"/>
      <x:c r="G133" s="23" t="n"/>
      <x:c r="H133" s="23" t="n"/>
      <x:c r="I133" s="23" t="n"/>
    </x:row>
    <x:row r="134">
      <x:c r="A134" s="6" t="n"/>
      <x:c r="B134" s="23" t="n"/>
      <x:c r="C134" s="23" t="n"/>
      <x:c r="D134" s="23" t="n"/>
      <x:c r="E134" s="23" t="n"/>
      <x:c r="F134" s="23" t="n"/>
      <x:c r="G134" s="23" t="n"/>
      <x:c r="H134" s="23" t="n"/>
      <x:c r="I134" s="23" t="n"/>
    </x:row>
    <x:row r="135">
      <x:c r="A135" s="6" t="n"/>
      <x:c r="B135" s="23" t="n"/>
      <x:c r="C135" s="23" t="n"/>
      <x:c r="D135" s="23" t="n"/>
      <x:c r="E135" s="23" t="n"/>
      <x:c r="F135" s="23" t="n"/>
      <x:c r="G135" s="23" t="n"/>
      <x:c r="H135" s="23" t="n"/>
      <x:c r="I135" s="23" t="n"/>
    </x:row>
    <x:row r="136">
      <x:c r="A136" s="6" t="n"/>
      <x:c r="B136" s="23" t="n"/>
      <x:c r="C136" s="23" t="n"/>
      <x:c r="D136" s="23" t="n"/>
      <x:c r="E136" s="23" t="n"/>
      <x:c r="F136" s="23" t="n"/>
      <x:c r="G136" s="23" t="n"/>
      <x:c r="H136" s="23" t="n"/>
      <x:c r="I136" s="23" t="n"/>
    </x:row>
    <x:row r="137">
      <x:c r="A137" s="6" t="n"/>
      <x:c r="B137" s="23" t="n"/>
      <x:c r="C137" s="23" t="n"/>
      <x:c r="D137" s="23" t="n"/>
      <x:c r="E137" s="23" t="n"/>
      <x:c r="F137" s="23" t="n"/>
      <x:c r="G137" s="23" t="n"/>
      <x:c r="H137" s="23" t="n"/>
      <x:c r="I137" s="23" t="n"/>
    </x:row>
    <x:row r="138">
      <x:c r="A138" s="6" t="n"/>
      <x:c r="B138" s="23" t="n"/>
      <x:c r="C138" s="23" t="n"/>
      <x:c r="D138" s="23" t="n"/>
      <x:c r="E138" s="23" t="n"/>
      <x:c r="F138" s="23" t="n"/>
      <x:c r="G138" s="23" t="n"/>
      <x:c r="H138" s="23" t="n"/>
      <x:c r="I138" s="23" t="n"/>
    </x:row>
    <x:row r="139">
      <x:c r="A139" s="6" t="n"/>
      <x:c r="B139" s="23" t="n"/>
      <x:c r="C139" s="23" t="n"/>
      <x:c r="D139" s="23" t="n"/>
      <x:c r="E139" s="23" t="n"/>
      <x:c r="F139" s="23" t="n"/>
      <x:c r="G139" s="23" t="n"/>
      <x:c r="H139" s="23" t="n"/>
      <x:c r="I139" s="23" t="n"/>
    </x:row>
    <x:row r="140">
      <x:c r="A140" s="6" t="n"/>
      <x:c r="B140" s="23" t="n"/>
      <x:c r="C140" s="23" t="n"/>
      <x:c r="D140" s="23" t="n"/>
      <x:c r="E140" s="23" t="n"/>
      <x:c r="F140" s="23" t="n"/>
      <x:c r="G140" s="23" t="n"/>
      <x:c r="H140" s="23" t="n"/>
      <x:c r="I140" s="23" t="n"/>
    </x:row>
    <x:row r="141">
      <x:c r="A141" s="6" t="n"/>
      <x:c r="B141" s="23" t="n"/>
      <x:c r="C141" s="23" t="n"/>
      <x:c r="D141" s="23" t="n"/>
      <x:c r="E141" s="23" t="n"/>
      <x:c r="F141" s="23" t="n"/>
      <x:c r="G141" s="23" t="n"/>
      <x:c r="H141" s="23" t="n"/>
      <x:c r="I141" s="23" t="n"/>
    </x:row>
    <x:row r="142">
      <x:c r="A142" s="6" t="n"/>
      <x:c r="B142" s="23" t="n"/>
      <x:c r="C142" s="23" t="n"/>
      <x:c r="D142" s="23" t="n"/>
      <x:c r="E142" s="23" t="n"/>
      <x:c r="F142" s="23" t="n"/>
      <x:c r="G142" s="23" t="n"/>
      <x:c r="H142" s="23" t="n"/>
      <x:c r="I142" s="23" t="n"/>
    </x:row>
    <x:row r="143">
      <x:c r="A143" s="6" t="n"/>
      <x:c r="B143" s="23" t="n"/>
      <x:c r="C143" s="23" t="n"/>
      <x:c r="D143" s="23" t="n"/>
      <x:c r="E143" s="23" t="n"/>
      <x:c r="F143" s="23" t="n"/>
      <x:c r="G143" s="23" t="n"/>
      <x:c r="H143" s="23" t="n"/>
      <x:c r="I143" s="23" t="n"/>
    </x:row>
    <x:row r="144">
      <x:c r="A144" s="6" t="n"/>
      <x:c r="B144" s="23" t="n"/>
      <x:c r="C144" s="23" t="n"/>
      <x:c r="D144" s="23" t="n"/>
      <x:c r="E144" s="23" t="n"/>
      <x:c r="F144" s="23" t="n"/>
      <x:c r="G144" s="23" t="n"/>
      <x:c r="H144" s="23" t="n"/>
      <x:c r="I144" s="23" t="n"/>
    </x:row>
    <x:row r="145">
      <x:c r="A145" s="6" t="n"/>
      <x:c r="B145" s="23" t="n"/>
      <x:c r="C145" s="23" t="n"/>
      <x:c r="D145" s="23" t="n"/>
      <x:c r="E145" s="23" t="n"/>
      <x:c r="F145" s="23" t="n"/>
      <x:c r="G145" s="23" t="n"/>
      <x:c r="H145" s="23" t="n"/>
      <x:c r="I145" s="23" t="n"/>
    </x:row>
    <x:row r="146">
      <x:c r="A146" s="6" t="n"/>
      <x:c r="B146" s="23" t="n"/>
      <x:c r="C146" s="23" t="n"/>
      <x:c r="D146" s="23" t="n"/>
      <x:c r="E146" s="23" t="n"/>
      <x:c r="F146" s="23" t="n"/>
      <x:c r="G146" s="23" t="n"/>
      <x:c r="H146" s="23" t="n"/>
      <x:c r="I146" s="23" t="n"/>
    </x:row>
    <x:row r="147">
      <x:c r="A147" s="6" t="n"/>
      <x:c r="B147" s="23" t="n"/>
      <x:c r="C147" s="23" t="n"/>
      <x:c r="D147" s="23" t="n"/>
      <x:c r="E147" s="23" t="n"/>
      <x:c r="F147" s="23" t="n"/>
      <x:c r="G147" s="23" t="n"/>
      <x:c r="H147" s="23" t="n"/>
      <x:c r="I147" s="23" t="n"/>
    </x:row>
    <x:row r="148">
      <x:c r="A148" s="6" t="n"/>
      <x:c r="B148" s="23" t="n"/>
      <x:c r="C148" s="23" t="n"/>
      <x:c r="D148" s="23" t="n"/>
      <x:c r="E148" s="23" t="n"/>
      <x:c r="F148" s="23" t="n"/>
      <x:c r="G148" s="23" t="n"/>
      <x:c r="H148" s="23" t="n"/>
      <x:c r="I148" s="23" t="n"/>
    </x:row>
    <x:row r="149">
      <x:c r="A149" s="6" t="n"/>
      <x:c r="B149" s="23" t="n"/>
      <x:c r="C149" s="23" t="n"/>
      <x:c r="D149" s="23" t="n"/>
      <x:c r="E149" s="23" t="n"/>
      <x:c r="F149" s="23" t="n"/>
      <x:c r="G149" s="23" t="n"/>
      <x:c r="H149" s="23" t="n"/>
      <x:c r="I149" s="23" t="n"/>
    </x:row>
    <x:row r="150">
      <x:c r="A150" s="6" t="n"/>
      <x:c r="B150" s="23" t="n"/>
      <x:c r="C150" s="23" t="n"/>
      <x:c r="D150" s="23" t="n"/>
      <x:c r="E150" s="23" t="n"/>
      <x:c r="F150" s="23" t="n"/>
      <x:c r="G150" s="23" t="n"/>
      <x:c r="H150" s="23" t="n"/>
      <x:c r="I150" s="23" t="n"/>
    </x:row>
    <x:row r="151">
      <x:c r="A151" s="6" t="n"/>
      <x:c r="B151" s="23" t="n"/>
      <x:c r="C151" s="23" t="n"/>
      <x:c r="D151" s="23" t="n"/>
      <x:c r="E151" s="23" t="n"/>
      <x:c r="F151" s="23" t="n"/>
      <x:c r="G151" s="23" t="n"/>
      <x:c r="H151" s="23" t="n"/>
      <x:c r="I151" s="23" t="n"/>
    </x:row>
    <x:row r="152">
      <x:c r="A152" s="6" t="n"/>
      <x:c r="B152" s="23" t="n"/>
      <x:c r="C152" s="23" t="n"/>
      <x:c r="D152" s="23" t="n"/>
      <x:c r="E152" s="23" t="n"/>
      <x:c r="F152" s="23" t="n"/>
      <x:c r="G152" s="23" t="n"/>
      <x:c r="H152" s="23" t="n"/>
      <x:c r="I152" s="23" t="n"/>
    </x:row>
    <x:row r="153">
      <x:c r="A153" s="6" t="n"/>
      <x:c r="B153" s="23" t="n"/>
      <x:c r="C153" s="23" t="n"/>
      <x:c r="D153" s="23" t="n"/>
      <x:c r="E153" s="23" t="n"/>
      <x:c r="F153" s="23" t="n"/>
      <x:c r="G153" s="23" t="n"/>
      <x:c r="H153" s="23" t="n"/>
      <x:c r="I153" s="23" t="n"/>
    </x:row>
    <x:row r="154">
      <x:c r="A154" s="6" t="n"/>
      <x:c r="B154" s="23" t="n"/>
      <x:c r="C154" s="23" t="n"/>
      <x:c r="D154" s="23" t="n"/>
      <x:c r="E154" s="23" t="n"/>
      <x:c r="F154" s="23" t="n"/>
      <x:c r="G154" s="23" t="n"/>
      <x:c r="H154" s="23" t="n"/>
      <x:c r="I154" s="23" t="n"/>
    </x:row>
    <x:row r="155">
      <x:c r="A155" s="6" t="n"/>
      <x:c r="B155" s="23" t="n"/>
      <x:c r="C155" s="23" t="n"/>
      <x:c r="D155" s="23" t="n"/>
      <x:c r="E155" s="23" t="n"/>
      <x:c r="F155" s="23" t="n"/>
      <x:c r="G155" s="23" t="n"/>
      <x:c r="H155" s="23" t="n"/>
      <x:c r="I155" s="23" t="n"/>
    </x:row>
    <x:row r="156">
      <x:c r="A156" s="6" t="n"/>
      <x:c r="B156" s="23" t="n"/>
      <x:c r="C156" s="23" t="n"/>
      <x:c r="D156" s="23" t="n"/>
      <x:c r="E156" s="23" t="n"/>
      <x:c r="F156" s="23" t="n"/>
      <x:c r="G156" s="23" t="n"/>
      <x:c r="H156" s="23" t="n"/>
      <x:c r="I156" s="23" t="n"/>
    </x:row>
    <x:row r="157">
      <x:c r="A157" s="6" t="n"/>
      <x:c r="B157" s="23" t="n"/>
      <x:c r="C157" s="23" t="n"/>
      <x:c r="D157" s="23" t="n"/>
      <x:c r="E157" s="23" t="n"/>
      <x:c r="F157" s="23" t="n"/>
      <x:c r="G157" s="23" t="n"/>
      <x:c r="H157" s="23" t="n"/>
      <x:c r="I157" s="23" t="n"/>
    </x:row>
    <x:row r="158">
      <x:c r="A158" s="6" t="n"/>
      <x:c r="B158" s="23" t="n"/>
      <x:c r="C158" s="23" t="n"/>
      <x:c r="D158" s="23" t="n"/>
      <x:c r="E158" s="23" t="n"/>
      <x:c r="F158" s="23" t="n"/>
      <x:c r="G158" s="23" t="n"/>
      <x:c r="H158" s="23" t="n"/>
      <x:c r="I158" s="23" t="n"/>
    </x:row>
    <x:row r="159">
      <x:c r="A159" s="6" t="n"/>
      <x:c r="B159" s="23" t="n"/>
      <x:c r="C159" s="23" t="n"/>
      <x:c r="D159" s="23" t="n"/>
      <x:c r="E159" s="23" t="n"/>
      <x:c r="F159" s="23" t="n"/>
      <x:c r="G159" s="23" t="n"/>
      <x:c r="H159" s="23" t="n"/>
      <x:c r="I159" s="23" t="n"/>
    </x:row>
    <x:row r="160">
      <x:c r="A160" s="6" t="n"/>
      <x:c r="B160" s="23" t="n"/>
      <x:c r="C160" s="23" t="n"/>
      <x:c r="D160" s="23" t="n"/>
      <x:c r="E160" s="23" t="n"/>
      <x:c r="F160" s="23" t="n"/>
      <x:c r="G160" s="23" t="n"/>
      <x:c r="H160" s="23" t="n"/>
      <x:c r="I160" s="23" t="n"/>
    </x:row>
    <x:row r="161">
      <x:c r="A161" s="6" t="n"/>
      <x:c r="B161" s="23" t="n"/>
      <x:c r="C161" s="23" t="n"/>
      <x:c r="D161" s="23" t="n"/>
      <x:c r="E161" s="23" t="n"/>
      <x:c r="F161" s="23" t="n"/>
      <x:c r="G161" s="23" t="n"/>
      <x:c r="H161" s="23" t="n"/>
      <x:c r="I161" s="23" t="n"/>
    </x:row>
    <x:row r="162">
      <x:c r="A162" s="6" t="n"/>
      <x:c r="B162" s="23" t="n"/>
      <x:c r="C162" s="23" t="n"/>
      <x:c r="D162" s="23" t="n"/>
      <x:c r="E162" s="23" t="n"/>
      <x:c r="F162" s="23" t="n"/>
      <x:c r="G162" s="23" t="n"/>
      <x:c r="H162" s="23" t="n"/>
      <x:c r="I162" s="23" t="n"/>
    </x:row>
    <x:row r="163">
      <x:c r="A163" s="6" t="n"/>
      <x:c r="B163" s="23" t="n"/>
      <x:c r="C163" s="23" t="n"/>
      <x:c r="D163" s="23" t="n"/>
      <x:c r="E163" s="23" t="n"/>
      <x:c r="F163" s="23" t="n"/>
      <x:c r="G163" s="23" t="n"/>
      <x:c r="H163" s="23" t="n"/>
      <x:c r="I163" s="23" t="n"/>
    </x:row>
    <x:row r="164">
      <x:c r="A164" s="6" t="n"/>
      <x:c r="B164" s="23" t="n"/>
      <x:c r="C164" s="23" t="n"/>
      <x:c r="D164" s="23" t="n"/>
      <x:c r="E164" s="23" t="n"/>
      <x:c r="F164" s="23" t="n"/>
      <x:c r="G164" s="23" t="n"/>
      <x:c r="H164" s="23" t="n"/>
      <x:c r="I164" s="23" t="n"/>
    </x:row>
    <x:row r="165">
      <x:c r="A165" s="6" t="n"/>
      <x:c r="B165" s="23" t="n"/>
      <x:c r="C165" s="23" t="n"/>
      <x:c r="D165" s="23" t="n"/>
      <x:c r="E165" s="23" t="n"/>
      <x:c r="F165" s="23" t="n"/>
      <x:c r="G165" s="23" t="n"/>
      <x:c r="H165" s="23" t="n"/>
      <x:c r="I165" s="23" t="n"/>
    </x:row>
    <x:row r="166">
      <x:c r="A166" s="6" t="n"/>
      <x:c r="B166" s="23" t="n"/>
      <x:c r="C166" s="23" t="n"/>
      <x:c r="D166" s="23" t="n"/>
      <x:c r="E166" s="23" t="n"/>
      <x:c r="F166" s="23" t="n"/>
      <x:c r="G166" s="23" t="n"/>
      <x:c r="H166" s="23" t="n"/>
      <x:c r="I166" s="23" t="n"/>
    </x:row>
    <x:row r="167">
      <x:c r="A167" s="6" t="n"/>
      <x:c r="B167" s="23" t="n"/>
      <x:c r="C167" s="23" t="n"/>
      <x:c r="D167" s="23" t="n"/>
      <x:c r="E167" s="23" t="n"/>
      <x:c r="F167" s="23" t="n"/>
      <x:c r="G167" s="23" t="n"/>
      <x:c r="H167" s="23" t="n"/>
      <x:c r="I167" s="23" t="n"/>
    </x:row>
    <x:row r="168">
      <x:c r="A168" s="6" t="n"/>
      <x:c r="B168" s="23" t="n"/>
      <x:c r="C168" s="23" t="n"/>
      <x:c r="D168" s="23" t="n"/>
      <x:c r="E168" s="23" t="n"/>
      <x:c r="F168" s="23" t="n"/>
      <x:c r="G168" s="23" t="n"/>
      <x:c r="H168" s="23" t="n"/>
      <x:c r="I168" s="23" t="n"/>
    </x:row>
    <x:row r="169">
      <x:c r="A169" s="6" t="n"/>
      <x:c r="B169" s="23" t="n"/>
      <x:c r="C169" s="23" t="n"/>
      <x:c r="D169" s="23" t="n"/>
      <x:c r="E169" s="23" t="n"/>
      <x:c r="F169" s="23" t="n"/>
      <x:c r="G169" s="23" t="n"/>
      <x:c r="H169" s="23" t="n"/>
      <x:c r="I169" s="23" t="n"/>
    </x:row>
    <x:row r="170">
      <x:c r="A170" s="6" t="n"/>
      <x:c r="B170" s="23" t="n"/>
      <x:c r="C170" s="23" t="n"/>
      <x:c r="D170" s="23" t="n"/>
      <x:c r="E170" s="23" t="n"/>
      <x:c r="F170" s="23" t="n"/>
      <x:c r="G170" s="23" t="n"/>
      <x:c r="H170" s="23" t="n"/>
      <x:c r="I170" s="23" t="n"/>
    </x:row>
    <x:row r="171">
      <x:c r="A171" s="6" t="n"/>
      <x:c r="B171" s="23" t="n"/>
      <x:c r="C171" s="23" t="n"/>
      <x:c r="D171" s="23" t="n"/>
      <x:c r="E171" s="23" t="n"/>
      <x:c r="F171" s="23" t="n"/>
      <x:c r="G171" s="23" t="n"/>
      <x:c r="H171" s="23" t="n"/>
      <x:c r="I171" s="23" t="n"/>
    </x:row>
    <x:row r="172">
      <x:c r="A172" s="6" t="n"/>
      <x:c r="B172" s="23" t="n"/>
      <x:c r="C172" s="23" t="n"/>
      <x:c r="D172" s="23" t="n"/>
      <x:c r="E172" s="23" t="n"/>
      <x:c r="F172" s="23" t="n"/>
      <x:c r="G172" s="23" t="n"/>
      <x:c r="H172" s="23" t="n"/>
      <x:c r="I172" s="23" t="n"/>
    </x:row>
    <x:row r="173">
      <x:c r="A173" s="6" t="n"/>
      <x:c r="B173" s="23" t="n"/>
      <x:c r="C173" s="23" t="n"/>
      <x:c r="D173" s="23" t="n"/>
      <x:c r="E173" s="23" t="n"/>
      <x:c r="F173" s="23" t="n"/>
      <x:c r="G173" s="23" t="n"/>
      <x:c r="H173" s="23" t="n"/>
      <x:c r="I173" s="23" t="n"/>
    </x:row>
    <x:row r="174">
      <x:c r="A174" s="6" t="n"/>
      <x:c r="B174" s="23" t="n"/>
      <x:c r="C174" s="23" t="n"/>
      <x:c r="D174" s="23" t="n"/>
      <x:c r="E174" s="23" t="n"/>
      <x:c r="F174" s="23" t="n"/>
      <x:c r="G174" s="23" t="n"/>
      <x:c r="H174" s="23" t="n"/>
      <x:c r="I174" s="23" t="n"/>
    </x:row>
    <x:row r="175">
      <x:c r="A175" s="6" t="n"/>
      <x:c r="B175" s="23" t="n"/>
      <x:c r="C175" s="23" t="n"/>
      <x:c r="D175" s="23" t="n"/>
      <x:c r="E175" s="23" t="n"/>
      <x:c r="F175" s="23" t="n"/>
      <x:c r="G175" s="23" t="n"/>
      <x:c r="H175" s="23" t="n"/>
      <x:c r="I175" s="23" t="n"/>
    </x:row>
    <x:row r="176">
      <x:c r="A176" s="6" t="n"/>
      <x:c r="B176" s="23" t="n"/>
      <x:c r="C176" s="23" t="n"/>
      <x:c r="D176" s="23" t="n"/>
      <x:c r="E176" s="23" t="n"/>
      <x:c r="F176" s="23" t="n"/>
      <x:c r="G176" s="23" t="n"/>
      <x:c r="H176" s="23" t="n"/>
      <x:c r="I176" s="23" t="n"/>
    </x:row>
    <x:row r="177">
      <x:c r="A177" s="6" t="n"/>
      <x:c r="B177" s="23" t="n"/>
      <x:c r="C177" s="23" t="n"/>
      <x:c r="D177" s="23" t="n"/>
      <x:c r="E177" s="23" t="n"/>
      <x:c r="F177" s="23" t="n"/>
      <x:c r="G177" s="23" t="n"/>
      <x:c r="H177" s="23" t="n"/>
      <x:c r="I177" s="23" t="n"/>
    </x:row>
    <x:row r="178">
      <x:c r="A178" s="6" t="n"/>
      <x:c r="B178" s="23" t="n"/>
      <x:c r="C178" s="23" t="n"/>
      <x:c r="D178" s="23" t="n"/>
      <x:c r="E178" s="23" t="n"/>
      <x:c r="F178" s="23" t="n"/>
      <x:c r="G178" s="23" t="n"/>
      <x:c r="H178" s="23" t="n"/>
      <x:c r="I178" s="23" t="n"/>
    </x:row>
    <x:row r="179">
      <x:c r="A179" s="6" t="n"/>
      <x:c r="B179" s="23" t="n"/>
      <x:c r="C179" s="23" t="n"/>
      <x:c r="D179" s="23" t="n"/>
      <x:c r="E179" s="23" t="n"/>
      <x:c r="F179" s="23" t="n"/>
      <x:c r="G179" s="23" t="n"/>
      <x:c r="H179" s="23" t="n"/>
      <x:c r="I179" s="23" t="n"/>
    </x:row>
    <x:row r="180">
      <x:c r="A180" s="6" t="n"/>
      <x:c r="B180" s="23" t="n"/>
      <x:c r="C180" s="23" t="n"/>
      <x:c r="D180" s="23" t="n"/>
      <x:c r="E180" s="23" t="n"/>
      <x:c r="F180" s="23" t="n"/>
      <x:c r="G180" s="23" t="n"/>
      <x:c r="H180" s="23" t="n"/>
      <x:c r="I180" s="23" t="n"/>
    </x:row>
    <x:row r="181">
      <x:c r="A181" s="6" t="n"/>
      <x:c r="B181" s="23" t="n"/>
      <x:c r="C181" s="23" t="n"/>
      <x:c r="D181" s="23" t="n"/>
      <x:c r="E181" s="23" t="n"/>
      <x:c r="F181" s="23" t="n"/>
      <x:c r="G181" s="23" t="n"/>
      <x:c r="H181" s="23" t="n"/>
      <x:c r="I181" s="23" t="n"/>
    </x:row>
    <x:row r="182">
      <x:c r="A182" s="6" t="n"/>
      <x:c r="B182" s="23" t="n"/>
      <x:c r="C182" s="23" t="n"/>
      <x:c r="D182" s="23" t="n"/>
      <x:c r="E182" s="23" t="n"/>
      <x:c r="F182" s="23" t="n"/>
      <x:c r="G182" s="23" t="n"/>
      <x:c r="H182" s="23" t="n"/>
      <x:c r="I182" s="23" t="n"/>
    </x:row>
    <x:row r="183">
      <x:c r="A183" s="6" t="n"/>
      <x:c r="B183" s="23" t="n"/>
      <x:c r="C183" s="23" t="n"/>
      <x:c r="D183" s="23" t="n"/>
      <x:c r="E183" s="23" t="n"/>
      <x:c r="F183" s="23" t="n"/>
      <x:c r="G183" s="23" t="n"/>
      <x:c r="H183" s="23" t="n"/>
      <x:c r="I183" s="23" t="n"/>
    </x:row>
    <x:row r="184">
      <x:c r="A184" s="6" t="n"/>
      <x:c r="B184" s="23" t="n"/>
      <x:c r="C184" s="23" t="n"/>
      <x:c r="D184" s="23" t="n"/>
      <x:c r="E184" s="23" t="n"/>
      <x:c r="F184" s="23" t="n"/>
      <x:c r="G184" s="23" t="n"/>
      <x:c r="H184" s="23" t="n"/>
      <x:c r="I184" s="23" t="n"/>
    </x:row>
    <x:row r="185">
      <x:c r="A185" s="6" t="n"/>
      <x:c r="B185" s="23" t="n"/>
      <x:c r="C185" s="23" t="n"/>
      <x:c r="D185" s="23" t="n"/>
      <x:c r="E185" s="23" t="n"/>
      <x:c r="F185" s="23" t="n"/>
      <x:c r="G185" s="23" t="n"/>
      <x:c r="H185" s="23" t="n"/>
      <x:c r="I185" s="23" t="n"/>
    </x:row>
    <x:row r="186">
      <x:c r="A186" s="6" t="n"/>
      <x:c r="B186" s="23" t="n"/>
      <x:c r="C186" s="23" t="n"/>
      <x:c r="D186" s="23" t="n"/>
      <x:c r="E186" s="23" t="n"/>
      <x:c r="F186" s="23" t="n"/>
      <x:c r="G186" s="23" t="n"/>
      <x:c r="H186" s="23" t="n"/>
      <x:c r="I186" s="23" t="n"/>
    </x:row>
    <x:row r="187">
      <x:c r="A187" s="6" t="n"/>
      <x:c r="B187" s="23" t="n"/>
      <x:c r="C187" s="23" t="n"/>
      <x:c r="D187" s="23" t="n"/>
      <x:c r="E187" s="23" t="n"/>
      <x:c r="F187" s="23" t="n"/>
      <x:c r="G187" s="23" t="n"/>
      <x:c r="H187" s="23" t="n"/>
      <x:c r="I187" s="23" t="n"/>
    </x:row>
    <x:row r="188">
      <x:c r="A188" s="6" t="n"/>
      <x:c r="B188" s="23" t="n"/>
      <x:c r="C188" s="23" t="n"/>
      <x:c r="D188" s="23" t="n"/>
      <x:c r="E188" s="23" t="n"/>
      <x:c r="F188" s="23" t="n"/>
      <x:c r="G188" s="23" t="n"/>
      <x:c r="H188" s="23" t="n"/>
      <x:c r="I188" s="23" t="n"/>
    </x:row>
    <x:row r="189">
      <x:c r="A189" s="6" t="n"/>
      <x:c r="B189" s="23" t="n"/>
      <x:c r="C189" s="23" t="n"/>
      <x:c r="D189" s="23" t="n"/>
      <x:c r="E189" s="23" t="n"/>
      <x:c r="F189" s="23" t="n"/>
      <x:c r="G189" s="23" t="n"/>
      <x:c r="H189" s="23" t="n"/>
      <x:c r="I189" s="23" t="n"/>
    </x:row>
    <x:row r="190">
      <x:c r="A190" s="6" t="n"/>
      <x:c r="B190" s="23" t="n"/>
      <x:c r="C190" s="23" t="n"/>
      <x:c r="D190" s="23" t="n"/>
      <x:c r="E190" s="23" t="n"/>
      <x:c r="F190" s="23" t="n"/>
      <x:c r="G190" s="23" t="n"/>
      <x:c r="H190" s="23" t="n"/>
      <x:c r="I190" s="23" t="n"/>
    </x:row>
    <x:row r="191">
      <x:c r="A191" s="6" t="n"/>
      <x:c r="B191" s="23" t="n"/>
      <x:c r="C191" s="23" t="n"/>
      <x:c r="D191" s="23" t="n"/>
      <x:c r="E191" s="23" t="n"/>
      <x:c r="F191" s="23" t="n"/>
      <x:c r="G191" s="23" t="n"/>
      <x:c r="H191" s="23" t="n"/>
      <x:c r="I191" s="23" t="n"/>
    </x:row>
    <x:row r="192">
      <x:c r="A192" s="6" t="n"/>
      <x:c r="B192" s="23" t="n"/>
      <x:c r="C192" s="23" t="n"/>
      <x:c r="D192" s="23" t="n"/>
      <x:c r="E192" s="23" t="n"/>
      <x:c r="F192" s="23" t="n"/>
      <x:c r="G192" s="23" t="n"/>
      <x:c r="H192" s="23" t="n"/>
      <x:c r="I192" s="23" t="n"/>
    </x:row>
    <x:row r="193">
      <x:c r="A193" s="6" t="n"/>
      <x:c r="B193" s="23" t="n"/>
      <x:c r="C193" s="23" t="n"/>
      <x:c r="D193" s="23" t="n"/>
      <x:c r="E193" s="23" t="n"/>
      <x:c r="F193" s="23" t="n"/>
      <x:c r="G193" s="23" t="n"/>
      <x:c r="H193" s="23" t="n"/>
      <x:c r="I193" s="23" t="n"/>
    </x:row>
    <x:row r="194">
      <x:c r="A194" s="6" t="n"/>
      <x:c r="B194" s="23" t="n"/>
      <x:c r="C194" s="23" t="n"/>
      <x:c r="D194" s="23" t="n"/>
      <x:c r="E194" s="23" t="n"/>
      <x:c r="F194" s="23" t="n"/>
      <x:c r="G194" s="23" t="n"/>
      <x:c r="H194" s="23" t="n"/>
      <x:c r="I194" s="23" t="n"/>
    </x:row>
    <x:row r="195">
      <x:c r="A195" s="6" t="n"/>
      <x:c r="B195" s="23" t="n"/>
      <x:c r="C195" s="23" t="n"/>
      <x:c r="D195" s="23" t="n"/>
      <x:c r="E195" s="23" t="n"/>
      <x:c r="F195" s="23" t="n"/>
      <x:c r="G195" s="23" t="n"/>
      <x:c r="H195" s="23" t="n"/>
      <x:c r="I195" s="23" t="n"/>
    </x:row>
    <x:row r="196">
      <x:c r="A196" s="6" t="n"/>
      <x:c r="B196" s="23" t="n"/>
      <x:c r="C196" s="23" t="n"/>
      <x:c r="D196" s="23" t="n"/>
      <x:c r="E196" s="23" t="n"/>
      <x:c r="F196" s="23" t="n"/>
      <x:c r="G196" s="23" t="n"/>
      <x:c r="H196" s="23" t="n"/>
      <x:c r="I196" s="23" t="n"/>
    </x:row>
    <x:row r="197">
      <x:c r="A197" s="6" t="n"/>
      <x:c r="B197" s="23" t="n"/>
      <x:c r="C197" s="23" t="n"/>
      <x:c r="D197" s="23" t="n"/>
      <x:c r="E197" s="23" t="n"/>
      <x:c r="F197" s="23" t="n"/>
      <x:c r="G197" s="23" t="n"/>
      <x:c r="H197" s="23" t="n"/>
      <x:c r="I197" s="23" t="n"/>
    </x:row>
    <x:row r="198">
      <x:c r="A198" s="6" t="n"/>
      <x:c r="B198" s="23" t="n"/>
      <x:c r="C198" s="23" t="n"/>
      <x:c r="D198" s="23" t="n"/>
      <x:c r="E198" s="23" t="n"/>
      <x:c r="F198" s="23" t="n"/>
      <x:c r="G198" s="23" t="n"/>
      <x:c r="H198" s="23" t="n"/>
      <x:c r="I198" s="23" t="n"/>
    </x:row>
    <x:row r="199">
      <x:c r="A199" s="6" t="n"/>
      <x:c r="B199" s="23" t="n"/>
      <x:c r="C199" s="23" t="n"/>
      <x:c r="D199" s="23" t="n"/>
      <x:c r="E199" s="23" t="n"/>
      <x:c r="F199" s="23" t="n"/>
      <x:c r="G199" s="23" t="n"/>
      <x:c r="H199" s="23" t="n"/>
      <x:c r="I199" s="23" t="n"/>
    </x:row>
    <x:row r="200">
      <x:c r="A200" s="6" t="n"/>
      <x:c r="B200" s="23" t="n"/>
      <x:c r="C200" s="23" t="n"/>
      <x:c r="D200" s="23" t="n"/>
      <x:c r="E200" s="23" t="n"/>
      <x:c r="F200" s="23" t="n"/>
      <x:c r="G200" s="23" t="n"/>
      <x:c r="H200" s="23" t="n"/>
      <x:c r="I200" s="23" t="n"/>
    </x:row>
    <x:row r="201">
      <x:c r="A201" s="6" t="n"/>
      <x:c r="B201" s="23" t="n"/>
      <x:c r="C201" s="23" t="n"/>
      <x:c r="D201" s="23" t="n"/>
      <x:c r="E201" s="23" t="n"/>
      <x:c r="F201" s="23" t="n"/>
      <x:c r="G201" s="23" t="n"/>
      <x:c r="H201" s="23" t="n"/>
      <x:c r="I201" s="23" t="n"/>
    </x:row>
    <x:row r="202">
      <x:c r="A202" s="6" t="n"/>
      <x:c r="B202" s="23" t="n"/>
      <x:c r="C202" s="23" t="n"/>
      <x:c r="D202" s="23" t="n"/>
      <x:c r="E202" s="23" t="n"/>
      <x:c r="F202" s="23" t="n"/>
      <x:c r="G202" s="23" t="n"/>
      <x:c r="H202" s="23" t="n"/>
      <x:c r="I202" s="23" t="n"/>
    </x:row>
    <x:row r="203">
      <x:c r="A203" s="6" t="n"/>
      <x:c r="B203" s="23" t="n"/>
      <x:c r="C203" s="23" t="n"/>
      <x:c r="D203" s="23" t="n"/>
      <x:c r="E203" s="23" t="n"/>
      <x:c r="F203" s="23" t="n"/>
      <x:c r="G203" s="23" t="n"/>
      <x:c r="H203" s="23" t="n"/>
      <x:c r="I203" s="23" t="n"/>
    </x:row>
    <x:row r="204">
      <x:c r="A204" s="6" t="n"/>
      <x:c r="B204" s="23" t="n"/>
      <x:c r="C204" s="23" t="n"/>
      <x:c r="D204" s="23" t="n"/>
      <x:c r="E204" s="23" t="n"/>
      <x:c r="F204" s="23" t="n"/>
      <x:c r="G204" s="23" t="n"/>
      <x:c r="H204" s="23" t="n"/>
      <x:c r="I204" s="23" t="n"/>
    </x:row>
    <x:row r="205">
      <x:c r="A205" s="6" t="n"/>
      <x:c r="B205" s="23" t="n"/>
      <x:c r="C205" s="23" t="n"/>
      <x:c r="D205" s="23" t="n"/>
      <x:c r="E205" s="23" t="n"/>
      <x:c r="F205" s="23" t="n"/>
      <x:c r="G205" s="23" t="n"/>
      <x:c r="H205" s="23" t="n"/>
      <x:c r="I205" s="23" t="n"/>
    </x:row>
    <x:row r="206">
      <x:c r="A206" s="6" t="n"/>
      <x:c r="B206" s="23" t="n"/>
      <x:c r="C206" s="23" t="n"/>
      <x:c r="D206" s="23" t="n"/>
      <x:c r="E206" s="23" t="n"/>
      <x:c r="F206" s="23" t="n"/>
      <x:c r="G206" s="23" t="n"/>
      <x:c r="H206" s="23" t="n"/>
      <x:c r="I206" s="23" t="n"/>
    </x:row>
    <x:row r="207">
      <x:c r="A207" s="6" t="n"/>
      <x:c r="B207" s="23" t="n"/>
      <x:c r="C207" s="23" t="n"/>
      <x:c r="D207" s="23" t="n"/>
      <x:c r="E207" s="23" t="n"/>
      <x:c r="F207" s="23" t="n"/>
      <x:c r="G207" s="23" t="n"/>
      <x:c r="H207" s="23" t="n"/>
      <x:c r="I207" s="23" t="n"/>
    </x:row>
    <x:row r="208">
      <x:c r="A208" s="6" t="n"/>
      <x:c r="B208" s="23" t="n"/>
      <x:c r="C208" s="23" t="n"/>
      <x:c r="D208" s="23" t="n"/>
      <x:c r="E208" s="23" t="n"/>
      <x:c r="F208" s="23" t="n"/>
      <x:c r="G208" s="23" t="n"/>
      <x:c r="H208" s="23" t="n"/>
      <x:c r="I208" s="23" t="n"/>
    </x:row>
    <x:row r="209">
      <x:c r="A209" s="6" t="n"/>
      <x:c r="B209" s="23" t="n"/>
      <x:c r="C209" s="23" t="n"/>
      <x:c r="D209" s="23" t="n"/>
      <x:c r="E209" s="23" t="n"/>
      <x:c r="F209" s="23" t="n"/>
      <x:c r="G209" s="23" t="n"/>
      <x:c r="H209" s="23" t="n"/>
      <x:c r="I209" s="23" t="n"/>
    </x:row>
    <x:row r="210">
      <x:c r="A210" s="6" t="n"/>
      <x:c r="B210" s="23" t="n"/>
      <x:c r="C210" s="23" t="n"/>
      <x:c r="D210" s="23" t="n"/>
      <x:c r="E210" s="23" t="n"/>
      <x:c r="F210" s="23" t="n"/>
      <x:c r="G210" s="23" t="n"/>
      <x:c r="H210" s="23" t="n"/>
      <x:c r="I210" s="23" t="n"/>
    </x:row>
    <x:row r="211">
      <x:c r="A211" s="6" t="n"/>
      <x:c r="B211" s="23" t="n"/>
      <x:c r="C211" s="23" t="n"/>
      <x:c r="D211" s="23" t="n"/>
      <x:c r="E211" s="23" t="n"/>
      <x:c r="F211" s="23" t="n"/>
      <x:c r="G211" s="23" t="n"/>
      <x:c r="H211" s="23" t="n"/>
      <x:c r="I211" s="23" t="n"/>
    </x:row>
    <x:row r="212">
      <x:c r="A212" s="6" t="n"/>
      <x:c r="B212" s="23" t="n"/>
      <x:c r="C212" s="23" t="n"/>
      <x:c r="D212" s="23" t="n"/>
      <x:c r="E212" s="23" t="n"/>
      <x:c r="F212" s="23" t="n"/>
      <x:c r="G212" s="23" t="n"/>
      <x:c r="H212" s="23" t="n"/>
      <x:c r="I212" s="23" t="n"/>
    </x:row>
    <x:row r="213">
      <x:c r="A213" s="6" t="n"/>
      <x:c r="B213" s="23" t="n"/>
      <x:c r="C213" s="23" t="n"/>
      <x:c r="D213" s="23" t="n"/>
      <x:c r="E213" s="23" t="n"/>
      <x:c r="F213" s="23" t="n"/>
      <x:c r="G213" s="23" t="n"/>
      <x:c r="H213" s="23" t="n"/>
      <x:c r="I213" s="23" t="n"/>
    </x:row>
    <x:row r="214">
      <x:c r="A214" s="6" t="n"/>
      <x:c r="B214" s="23" t="n"/>
      <x:c r="C214" s="23" t="n"/>
      <x:c r="D214" s="23" t="n"/>
      <x:c r="E214" s="23" t="n"/>
      <x:c r="F214" s="23" t="n"/>
      <x:c r="G214" s="23" t="n"/>
      <x:c r="H214" s="23" t="n"/>
      <x:c r="I214" s="23" t="n"/>
    </x:row>
    <x:row r="215">
      <x:c r="A215" s="6" t="n"/>
      <x:c r="B215" s="23" t="n"/>
      <x:c r="C215" s="23" t="n"/>
      <x:c r="D215" s="23" t="n"/>
      <x:c r="E215" s="23" t="n"/>
      <x:c r="F215" s="23" t="n"/>
      <x:c r="G215" s="23" t="n"/>
      <x:c r="H215" s="23" t="n"/>
      <x:c r="I215" s="23" t="n"/>
    </x:row>
    <x:row r="216">
      <x:c r="A216" s="6" t="n"/>
      <x:c r="B216" s="23" t="n"/>
      <x:c r="C216" s="23" t="n"/>
      <x:c r="D216" s="23" t="n"/>
      <x:c r="E216" s="23" t="n"/>
      <x:c r="F216" s="23" t="n"/>
      <x:c r="G216" s="23" t="n"/>
      <x:c r="H216" s="23" t="n"/>
      <x:c r="I216" s="23" t="n"/>
    </x:row>
    <x:row r="217">
      <x:c r="A217" s="6" t="n"/>
      <x:c r="B217" s="23" t="n"/>
      <x:c r="C217" s="23" t="n"/>
      <x:c r="D217" s="23" t="n"/>
      <x:c r="E217" s="23" t="n"/>
      <x:c r="F217" s="23" t="n"/>
      <x:c r="G217" s="23" t="n"/>
      <x:c r="H217" s="23" t="n"/>
      <x:c r="I217" s="23" t="n"/>
    </x:row>
    <x:row r="218">
      <x:c r="A218" s="6" t="n"/>
      <x:c r="B218" s="23" t="n"/>
      <x:c r="C218" s="23" t="n"/>
      <x:c r="D218" s="23" t="n"/>
      <x:c r="E218" s="23" t="n"/>
      <x:c r="F218" s="23" t="n"/>
      <x:c r="G218" s="23" t="n"/>
      <x:c r="H218" s="23" t="n"/>
      <x:c r="I218" s="23" t="n"/>
    </x:row>
    <x:row r="219">
      <x:c r="A219" s="6" t="n"/>
      <x:c r="B219" s="23" t="n"/>
      <x:c r="C219" s="23" t="n"/>
      <x:c r="D219" s="23" t="n"/>
      <x:c r="E219" s="23" t="n"/>
      <x:c r="F219" s="23" t="n"/>
      <x:c r="G219" s="23" t="n"/>
      <x:c r="H219" s="23" t="n"/>
      <x:c r="I219" s="23" t="n"/>
    </x:row>
    <x:row r="220">
      <x:c r="A220" s="6" t="n"/>
      <x:c r="B220" s="23" t="n"/>
      <x:c r="C220" s="23" t="n"/>
      <x:c r="D220" s="23" t="n"/>
      <x:c r="E220" s="23" t="n"/>
      <x:c r="F220" s="23" t="n"/>
      <x:c r="G220" s="23" t="n"/>
      <x:c r="H220" s="23" t="n"/>
      <x:c r="I220" s="23" t="n"/>
    </x:row>
    <x:row r="221">
      <x:c r="A221" s="6" t="n"/>
      <x:c r="B221" s="23" t="n"/>
      <x:c r="C221" s="23" t="n"/>
      <x:c r="D221" s="23" t="n"/>
      <x:c r="E221" s="23" t="n"/>
      <x:c r="F221" s="23" t="n"/>
      <x:c r="G221" s="23" t="n"/>
      <x:c r="H221" s="23" t="n"/>
      <x:c r="I221" s="23" t="n"/>
    </x:row>
    <x:row r="222">
      <x:c r="A222" s="6" t="n"/>
      <x:c r="B222" s="23" t="n"/>
      <x:c r="C222" s="23" t="n"/>
      <x:c r="D222" s="23" t="n"/>
      <x:c r="E222" s="23" t="n"/>
      <x:c r="F222" s="23" t="n"/>
      <x:c r="G222" s="23" t="n"/>
      <x:c r="H222" s="23" t="n"/>
      <x:c r="I222" s="23" t="n"/>
    </x:row>
    <x:row r="223">
      <x:c r="A223" s="6" t="n"/>
      <x:c r="B223" s="23" t="n"/>
      <x:c r="C223" s="23" t="n"/>
      <x:c r="D223" s="23" t="n"/>
      <x:c r="E223" s="23" t="n"/>
      <x:c r="F223" s="23" t="n"/>
      <x:c r="G223" s="23" t="n"/>
      <x:c r="H223" s="23" t="n"/>
      <x:c r="I223" s="23" t="n"/>
    </x:row>
    <x:row r="224">
      <x:c r="A224" s="6" t="n"/>
      <x:c r="B224" s="23" t="n"/>
      <x:c r="C224" s="23" t="n"/>
      <x:c r="D224" s="23" t="n"/>
      <x:c r="E224" s="23" t="n"/>
      <x:c r="F224" s="23" t="n"/>
      <x:c r="G224" s="23" t="n"/>
      <x:c r="H224" s="23" t="n"/>
      <x:c r="I224" s="23" t="n"/>
    </x:row>
    <x:row r="225">
      <x:c r="A225" s="6" t="n"/>
      <x:c r="B225" s="23" t="n"/>
      <x:c r="C225" s="23" t="n"/>
      <x:c r="D225" s="23" t="n"/>
      <x:c r="E225" s="23" t="n"/>
      <x:c r="F225" s="23" t="n"/>
      <x:c r="G225" s="23" t="n"/>
      <x:c r="H225" s="23" t="n"/>
      <x:c r="I225" s="23" t="n"/>
    </x:row>
    <x:row r="226">
      <x:c r="A226" s="6" t="n"/>
      <x:c r="B226" s="23" t="n"/>
      <x:c r="C226" s="23" t="n"/>
      <x:c r="D226" s="23" t="n"/>
      <x:c r="E226" s="23" t="n"/>
      <x:c r="F226" s="23" t="n"/>
      <x:c r="G226" s="23" t="n"/>
      <x:c r="H226" s="23" t="n"/>
      <x:c r="I226" s="23" t="n"/>
    </x:row>
    <x:row r="227">
      <x:c r="A227" s="6" t="n"/>
      <x:c r="B227" s="23" t="n"/>
      <x:c r="C227" s="23" t="n"/>
      <x:c r="D227" s="23" t="n"/>
      <x:c r="E227" s="23" t="n"/>
      <x:c r="F227" s="23" t="n"/>
      <x:c r="G227" s="23" t="n"/>
      <x:c r="H227" s="23" t="n"/>
      <x:c r="I227" s="23" t="n"/>
    </x:row>
    <x:row r="228">
      <x:c r="A228" s="6" t="n"/>
      <x:c r="B228" s="23" t="n"/>
      <x:c r="C228" s="23" t="n"/>
      <x:c r="D228" s="23" t="n"/>
      <x:c r="E228" s="23" t="n"/>
      <x:c r="F228" s="23" t="n"/>
      <x:c r="G228" s="23" t="n"/>
      <x:c r="H228" s="23" t="n"/>
      <x:c r="I228" s="23" t="n"/>
    </x:row>
    <x:row r="229">
      <x:c r="A229" s="6" t="n"/>
      <x:c r="B229" s="23" t="n"/>
      <x:c r="C229" s="23" t="n"/>
      <x:c r="D229" s="23" t="n"/>
      <x:c r="E229" s="23" t="n"/>
      <x:c r="F229" s="23" t="n"/>
      <x:c r="G229" s="23" t="n"/>
      <x:c r="H229" s="23" t="n"/>
      <x:c r="I229" s="23" t="n"/>
    </x:row>
    <x:row r="230">
      <x:c r="A230" s="6" t="n"/>
      <x:c r="B230" s="23" t="n"/>
      <x:c r="C230" s="23" t="n"/>
      <x:c r="D230" s="23" t="n"/>
      <x:c r="E230" s="23" t="n"/>
      <x:c r="F230" s="23" t="n"/>
      <x:c r="G230" s="23" t="n"/>
      <x:c r="H230" s="23" t="n"/>
      <x:c r="I230" s="23" t="n"/>
    </x:row>
    <x:row r="231">
      <x:c r="A231" s="6" t="n"/>
      <x:c r="B231" s="23" t="n"/>
      <x:c r="C231" s="23" t="n"/>
      <x:c r="D231" s="23" t="n"/>
      <x:c r="E231" s="23" t="n"/>
      <x:c r="F231" s="23" t="n"/>
      <x:c r="G231" s="23" t="n"/>
      <x:c r="H231" s="23" t="n"/>
      <x:c r="I231" s="23" t="n"/>
    </x:row>
    <x:row r="232">
      <x:c r="A232" s="6" t="n"/>
      <x:c r="B232" s="23" t="n"/>
      <x:c r="C232" s="23" t="n"/>
      <x:c r="D232" s="23" t="n"/>
      <x:c r="E232" s="23" t="n"/>
      <x:c r="F232" s="23" t="n"/>
      <x:c r="G232" s="23" t="n"/>
      <x:c r="H232" s="23" t="n"/>
      <x:c r="I232" s="23" t="n"/>
    </x:row>
    <x:row r="233">
      <x:c r="A233" s="6" t="n"/>
      <x:c r="B233" s="23" t="n"/>
      <x:c r="C233" s="23" t="n"/>
      <x:c r="D233" s="23" t="n"/>
      <x:c r="E233" s="23" t="n"/>
      <x:c r="F233" s="23" t="n"/>
      <x:c r="G233" s="23" t="n"/>
      <x:c r="H233" s="23" t="n"/>
      <x:c r="I233" s="23" t="n"/>
    </x:row>
    <x:row r="234">
      <x:c r="A234" s="6" t="n"/>
      <x:c r="B234" s="23" t="n"/>
      <x:c r="C234" s="23" t="n"/>
      <x:c r="D234" s="23" t="n"/>
      <x:c r="E234" s="23" t="n"/>
      <x:c r="F234" s="23" t="n"/>
      <x:c r="G234" s="23" t="n"/>
      <x:c r="H234" s="23" t="n"/>
      <x:c r="I234" s="23" t="n"/>
    </x:row>
    <x:row r="235">
      <x:c r="A235" s="6" t="n"/>
      <x:c r="B235" s="23" t="n"/>
      <x:c r="C235" s="23" t="n"/>
      <x:c r="D235" s="23" t="n"/>
      <x:c r="E235" s="23" t="n"/>
      <x:c r="F235" s="23" t="n"/>
      <x:c r="G235" s="23" t="n"/>
      <x:c r="H235" s="23" t="n"/>
      <x:c r="I235" s="23" t="n"/>
    </x:row>
    <x:row r="236">
      <x:c r="A236" s="6" t="n"/>
      <x:c r="B236" s="23" t="n"/>
      <x:c r="C236" s="23" t="n"/>
      <x:c r="D236" s="23" t="n"/>
      <x:c r="E236" s="23" t="n"/>
      <x:c r="F236" s="23" t="n"/>
      <x:c r="G236" s="23" t="n"/>
      <x:c r="H236" s="23" t="n"/>
      <x:c r="I236" s="23" t="n"/>
    </x:row>
    <x:row r="237">
      <x:c r="A237" s="6" t="n"/>
      <x:c r="B237" s="23" t="n"/>
      <x:c r="C237" s="23" t="n"/>
      <x:c r="D237" s="23" t="n"/>
      <x:c r="E237" s="23" t="n"/>
      <x:c r="F237" s="23" t="n"/>
      <x:c r="G237" s="23" t="n"/>
      <x:c r="H237" s="23" t="n"/>
      <x:c r="I237" s="23" t="n"/>
    </x:row>
    <x:row r="238">
      <x:c r="A238" s="6" t="n"/>
      <x:c r="B238" s="23" t="n"/>
      <x:c r="C238" s="23" t="n"/>
      <x:c r="D238" s="23" t="n"/>
      <x:c r="E238" s="23" t="n"/>
      <x:c r="F238" s="23" t="n"/>
      <x:c r="G238" s="23" t="n"/>
      <x:c r="H238" s="23" t="n"/>
      <x:c r="I238" s="23" t="n"/>
    </x:row>
    <x:row r="239">
      <x:c r="A239" s="6" t="n"/>
      <x:c r="B239" s="23" t="n"/>
      <x:c r="C239" s="23" t="n"/>
      <x:c r="D239" s="23" t="n"/>
      <x:c r="E239" s="23" t="n"/>
      <x:c r="F239" s="23" t="n"/>
      <x:c r="G239" s="23" t="n"/>
      <x:c r="H239" s="23" t="n"/>
      <x:c r="I239" s="23" t="n"/>
    </x:row>
    <x:row r="240">
      <x:c r="A240" s="6" t="n"/>
      <x:c r="B240" s="23" t="n"/>
      <x:c r="C240" s="23" t="n"/>
      <x:c r="D240" s="23" t="n"/>
      <x:c r="E240" s="23" t="n"/>
      <x:c r="F240" s="23" t="n"/>
      <x:c r="G240" s="23" t="n"/>
      <x:c r="H240" s="23" t="n"/>
      <x:c r="I240" s="23" t="n"/>
    </x:row>
    <x:row r="241">
      <x:c r="A241" s="6" t="n"/>
      <x:c r="B241" s="23" t="n"/>
      <x:c r="C241" s="23" t="n"/>
      <x:c r="D241" s="23" t="n"/>
      <x:c r="E241" s="23" t="n"/>
      <x:c r="F241" s="23" t="n"/>
      <x:c r="G241" s="23" t="n"/>
      <x:c r="H241" s="23" t="n"/>
      <x:c r="I241" s="23" t="n"/>
    </x:row>
    <x:row r="242">
      <x:c r="A242" s="6" t="n"/>
      <x:c r="B242" s="23" t="n"/>
      <x:c r="C242" s="23" t="n"/>
      <x:c r="D242" s="23" t="n"/>
      <x:c r="E242" s="23" t="n"/>
      <x:c r="F242" s="23" t="n"/>
      <x:c r="G242" s="23" t="n"/>
      <x:c r="H242" s="23" t="n"/>
      <x:c r="I242" s="23" t="n"/>
    </x:row>
    <x:row r="243">
      <x:c r="A243" s="6" t="n"/>
      <x:c r="B243" s="23" t="n"/>
      <x:c r="C243" s="23" t="n"/>
      <x:c r="D243" s="23" t="n"/>
      <x:c r="E243" s="23" t="n"/>
      <x:c r="F243" s="23" t="n"/>
      <x:c r="G243" s="23" t="n"/>
      <x:c r="H243" s="23" t="n"/>
      <x:c r="I243" s="23" t="n"/>
    </x:row>
    <x:row r="244">
      <x:c r="A244" s="6" t="n"/>
      <x:c r="B244" s="23" t="n"/>
      <x:c r="C244" s="23" t="n"/>
      <x:c r="D244" s="23" t="n"/>
      <x:c r="E244" s="23" t="n"/>
      <x:c r="F244" s="23" t="n"/>
      <x:c r="G244" s="23" t="n"/>
      <x:c r="H244" s="23" t="n"/>
      <x:c r="I244" s="23" t="n"/>
    </x:row>
    <x:row r="245">
      <x:c r="A245" s="6" t="n"/>
      <x:c r="B245" s="23" t="n"/>
      <x:c r="C245" s="23" t="n"/>
      <x:c r="D245" s="23" t="n"/>
      <x:c r="E245" s="23" t="n"/>
      <x:c r="F245" s="23" t="n"/>
      <x:c r="G245" s="23" t="n"/>
      <x:c r="H245" s="23" t="n"/>
      <x:c r="I245" s="23" t="n"/>
    </x:row>
    <x:row r="246">
      <x:c r="A246" s="6" t="n"/>
      <x:c r="B246" s="23" t="n"/>
      <x:c r="C246" s="23" t="n"/>
      <x:c r="D246" s="23" t="n"/>
      <x:c r="E246" s="23" t="n"/>
      <x:c r="F246" s="23" t="n"/>
      <x:c r="G246" s="23" t="n"/>
      <x:c r="H246" s="23" t="n"/>
      <x:c r="I246" s="23" t="n"/>
    </x:row>
    <x:row r="247">
      <x:c r="A247" s="6" t="n"/>
      <x:c r="B247" s="23" t="n"/>
      <x:c r="C247" s="23" t="n"/>
      <x:c r="D247" s="23" t="n"/>
      <x:c r="E247" s="23" t="n"/>
      <x:c r="F247" s="23" t="n"/>
      <x:c r="G247" s="23" t="n"/>
      <x:c r="H247" s="23" t="n"/>
      <x:c r="I247" s="23" t="n"/>
    </x:row>
    <x:row r="248">
      <x:c r="A248" s="6" t="n"/>
      <x:c r="B248" s="23" t="n"/>
      <x:c r="C248" s="23" t="n"/>
      <x:c r="D248" s="23" t="n"/>
      <x:c r="E248" s="23" t="n"/>
      <x:c r="F248" s="23" t="n"/>
      <x:c r="G248" s="23" t="n"/>
      <x:c r="H248" s="23" t="n"/>
      <x:c r="I248" s="23" t="n"/>
    </x:row>
    <x:row r="249">
      <x:c r="A249" s="6" t="n"/>
      <x:c r="B249" s="23" t="n"/>
      <x:c r="C249" s="23" t="n"/>
      <x:c r="D249" s="23" t="n"/>
      <x:c r="E249" s="23" t="n"/>
      <x:c r="F249" s="23" t="n"/>
      <x:c r="G249" s="23" t="n"/>
      <x:c r="H249" s="23" t="n"/>
      <x:c r="I249" s="23" t="n"/>
    </x:row>
    <x:row r="250">
      <x:c r="A250" s="6" t="n"/>
      <x:c r="B250" s="23" t="n"/>
      <x:c r="C250" s="23" t="n"/>
      <x:c r="D250" s="23" t="n"/>
      <x:c r="E250" s="23" t="n"/>
      <x:c r="F250" s="23" t="n"/>
      <x:c r="G250" s="23" t="n"/>
      <x:c r="H250" s="23" t="n"/>
      <x:c r="I250" s="23" t="n"/>
    </x:row>
    <x:row r="251">
      <x:c r="A251" s="6" t="n"/>
      <x:c r="B251" s="23" t="n"/>
      <x:c r="C251" s="23" t="n"/>
      <x:c r="D251" s="23" t="n"/>
      <x:c r="E251" s="23" t="n"/>
      <x:c r="F251" s="23" t="n"/>
      <x:c r="G251" s="23" t="n"/>
      <x:c r="H251" s="23" t="n"/>
      <x:c r="I251" s="23" t="n"/>
    </x:row>
    <x:row r="252">
      <x:c r="A252" s="6" t="n"/>
      <x:c r="B252" s="23" t="n"/>
      <x:c r="C252" s="23" t="n"/>
      <x:c r="D252" s="23" t="n"/>
      <x:c r="E252" s="23" t="n"/>
      <x:c r="F252" s="23" t="n"/>
      <x:c r="G252" s="23" t="n"/>
      <x:c r="H252" s="23" t="n"/>
      <x:c r="I252" s="23" t="n"/>
    </x:row>
    <x:row r="253">
      <x:c r="A253" s="6" t="n"/>
      <x:c r="B253" s="23" t="n"/>
      <x:c r="C253" s="23" t="n"/>
      <x:c r="D253" s="23" t="n"/>
      <x:c r="E253" s="23" t="n"/>
      <x:c r="F253" s="23" t="n"/>
      <x:c r="G253" s="23" t="n"/>
      <x:c r="H253" s="23" t="n"/>
      <x:c r="I253" s="23" t="n"/>
    </x:row>
    <x:row r="254">
      <x:c r="A254" s="6" t="n"/>
      <x:c r="B254" s="23" t="n"/>
      <x:c r="C254" s="23" t="n"/>
      <x:c r="D254" s="23" t="n"/>
      <x:c r="E254" s="23" t="n"/>
      <x:c r="F254" s="23" t="n"/>
      <x:c r="G254" s="23" t="n"/>
      <x:c r="H254" s="23" t="n"/>
      <x:c r="I254" s="23" t="n"/>
    </x:row>
    <x:row r="255">
      <x:c r="A255" s="6" t="n"/>
      <x:c r="B255" s="23" t="n"/>
      <x:c r="C255" s="23" t="n"/>
      <x:c r="D255" s="23" t="n"/>
      <x:c r="E255" s="23" t="n"/>
      <x:c r="F255" s="23" t="n"/>
      <x:c r="G255" s="23" t="n"/>
      <x:c r="H255" s="23" t="n"/>
      <x:c r="I255" s="23" t="n"/>
    </x:row>
    <x:row r="256">
      <x:c r="A256" s="6" t="n"/>
      <x:c r="B256" s="23" t="n"/>
      <x:c r="C256" s="23" t="n"/>
      <x:c r="D256" s="23" t="n"/>
      <x:c r="E256" s="23" t="n"/>
      <x:c r="F256" s="23" t="n"/>
      <x:c r="G256" s="23" t="n"/>
      <x:c r="H256" s="23" t="n"/>
      <x:c r="I256" s="23" t="n"/>
    </x:row>
    <x:row r="257">
      <x:c r="A257" s="6" t="n"/>
      <x:c r="B257" s="23" t="n"/>
      <x:c r="C257" s="23" t="n"/>
      <x:c r="D257" s="23" t="n"/>
      <x:c r="E257" s="23" t="n"/>
      <x:c r="F257" s="23" t="n"/>
      <x:c r="G257" s="23" t="n"/>
      <x:c r="H257" s="23" t="n"/>
      <x:c r="I257" s="23" t="n"/>
    </x:row>
    <x:row r="258">
      <x:c r="A258" s="6" t="n"/>
      <x:c r="B258" s="23" t="n"/>
      <x:c r="C258" s="23" t="n"/>
      <x:c r="D258" s="23" t="n"/>
      <x:c r="E258" s="23" t="n"/>
      <x:c r="F258" s="23" t="n"/>
      <x:c r="G258" s="23" t="n"/>
      <x:c r="H258" s="23" t="n"/>
      <x:c r="I258" s="23" t="n"/>
    </x:row>
    <x:row r="259">
      <x:c r="A259" s="6" t="n"/>
      <x:c r="B259" s="23" t="n"/>
      <x:c r="C259" s="23" t="n"/>
      <x:c r="D259" s="23" t="n"/>
      <x:c r="E259" s="23" t="n"/>
      <x:c r="F259" s="23" t="n"/>
      <x:c r="G259" s="23" t="n"/>
      <x:c r="H259" s="23" t="n"/>
      <x:c r="I259" s="23" t="n"/>
    </x:row>
    <x:row r="260">
      <x:c r="A260" s="6" t="n"/>
      <x:c r="B260" s="23" t="n"/>
      <x:c r="C260" s="23" t="n"/>
      <x:c r="D260" s="23" t="n"/>
      <x:c r="E260" s="23" t="n"/>
      <x:c r="F260" s="23" t="n"/>
      <x:c r="G260" s="23" t="n"/>
      <x:c r="H260" s="23" t="n"/>
      <x:c r="I260" s="23" t="n"/>
    </x:row>
    <x:row r="261">
      <x:c r="A261" s="6" t="n"/>
      <x:c r="B261" s="23" t="n"/>
      <x:c r="C261" s="23" t="n"/>
      <x:c r="D261" s="23" t="n"/>
      <x:c r="E261" s="23" t="n"/>
      <x:c r="F261" s="23" t="n"/>
      <x:c r="G261" s="23" t="n"/>
      <x:c r="H261" s="23" t="n"/>
      <x:c r="I261" s="23" t="n"/>
    </x:row>
    <x:row r="262">
      <x:c r="A262" s="6" t="n"/>
      <x:c r="B262" s="23" t="n"/>
      <x:c r="C262" s="23" t="n"/>
      <x:c r="D262" s="23" t="n"/>
      <x:c r="E262" s="23" t="n"/>
      <x:c r="F262" s="23" t="n"/>
      <x:c r="G262" s="23" t="n"/>
      <x:c r="H262" s="23" t="n"/>
      <x:c r="I262" s="23" t="n"/>
    </x:row>
    <x:row r="263">
      <x:c r="A263" s="6" t="n"/>
      <x:c r="B263" s="23" t="n"/>
      <x:c r="C263" s="23" t="n"/>
      <x:c r="D263" s="23" t="n"/>
      <x:c r="E263" s="23" t="n"/>
      <x:c r="F263" s="23" t="n"/>
      <x:c r="G263" s="23" t="n"/>
      <x:c r="H263" s="23" t="n"/>
      <x:c r="I263" s="23" t="n"/>
    </x:row>
    <x:row r="264">
      <x:c r="A264" s="6" t="n"/>
      <x:c r="B264" s="23" t="n"/>
      <x:c r="C264" s="23" t="n"/>
      <x:c r="D264" s="23" t="n"/>
      <x:c r="E264" s="23" t="n"/>
      <x:c r="F264" s="23" t="n"/>
      <x:c r="G264" s="23" t="n"/>
      <x:c r="H264" s="23" t="n"/>
      <x:c r="I264" s="23" t="n"/>
    </x:row>
    <x:row r="265">
      <x:c r="A265" s="6" t="n"/>
      <x:c r="B265" s="23" t="n"/>
      <x:c r="C265" s="23" t="n"/>
      <x:c r="D265" s="23" t="n"/>
      <x:c r="E265" s="23" t="n"/>
      <x:c r="F265" s="23" t="n"/>
      <x:c r="G265" s="23" t="n"/>
      <x:c r="H265" s="23" t="n"/>
      <x:c r="I265" s="23" t="n"/>
    </x:row>
    <x:row r="266">
      <x:c r="A266" s="6" t="n"/>
      <x:c r="B266" s="23" t="n"/>
      <x:c r="C266" s="23" t="n"/>
      <x:c r="D266" s="23" t="n"/>
      <x:c r="E266" s="23" t="n"/>
      <x:c r="F266" s="23" t="n"/>
      <x:c r="G266" s="23" t="n"/>
      <x:c r="H266" s="23" t="n"/>
      <x:c r="I266" s="23" t="n"/>
    </x:row>
    <x:row r="267">
      <x:c r="A267" s="6" t="n"/>
      <x:c r="B267" s="23" t="n"/>
      <x:c r="C267" s="23" t="n"/>
      <x:c r="D267" s="23" t="n"/>
      <x:c r="E267" s="23" t="n"/>
      <x:c r="F267" s="23" t="n"/>
      <x:c r="G267" s="23" t="n"/>
      <x:c r="H267" s="23" t="n"/>
      <x:c r="I267" s="23" t="n"/>
    </x:row>
    <x:row r="268">
      <x:c r="A268" s="6" t="n"/>
      <x:c r="B268" s="23" t="n"/>
      <x:c r="C268" s="23" t="n"/>
      <x:c r="D268" s="23" t="n"/>
      <x:c r="E268" s="23" t="n"/>
      <x:c r="F268" s="23" t="n"/>
      <x:c r="G268" s="23" t="n"/>
      <x:c r="H268" s="23" t="n"/>
      <x:c r="I268" s="23" t="n"/>
    </x:row>
    <x:row r="269">
      <x:c r="A269" s="6" t="n"/>
      <x:c r="B269" s="23" t="n"/>
      <x:c r="C269" s="23" t="n"/>
      <x:c r="D269" s="23" t="n"/>
      <x:c r="E269" s="23" t="n"/>
      <x:c r="F269" s="23" t="n"/>
      <x:c r="G269" s="23" t="n"/>
      <x:c r="H269" s="23" t="n"/>
      <x:c r="I269" s="23" t="n"/>
    </x:row>
    <x:row r="270">
      <x:c r="A270" s="6" t="n"/>
      <x:c r="B270" s="23" t="n"/>
      <x:c r="C270" s="23" t="n"/>
      <x:c r="D270" s="23" t="n"/>
      <x:c r="E270" s="23" t="n"/>
      <x:c r="F270" s="23" t="n"/>
      <x:c r="G270" s="23" t="n"/>
      <x:c r="H270" s="23" t="n"/>
      <x:c r="I270" s="23" t="n"/>
    </x:row>
    <x:row r="271">
      <x:c r="A271" s="6" t="n"/>
      <x:c r="B271" s="23" t="n"/>
      <x:c r="C271" s="23" t="n"/>
      <x:c r="D271" s="23" t="n"/>
      <x:c r="E271" s="23" t="n"/>
      <x:c r="F271" s="23" t="n"/>
      <x:c r="G271" s="23" t="n"/>
      <x:c r="H271" s="23" t="n"/>
      <x:c r="I271" s="23" t="n"/>
    </x:row>
    <x:row r="272">
      <x:c r="A272" s="6" t="n"/>
      <x:c r="B272" s="23" t="n"/>
      <x:c r="C272" s="23" t="n"/>
      <x:c r="D272" s="23" t="n"/>
      <x:c r="E272" s="23" t="n"/>
      <x:c r="F272" s="23" t="n"/>
      <x:c r="G272" s="23" t="n"/>
      <x:c r="H272" s="23" t="n"/>
      <x:c r="I272" s="23" t="n"/>
    </x:row>
    <x:row r="273">
      <x:c r="A273" s="6" t="n"/>
      <x:c r="B273" s="23" t="n"/>
      <x:c r="C273" s="23" t="n"/>
      <x:c r="D273" s="23" t="n"/>
      <x:c r="E273" s="23" t="n"/>
      <x:c r="F273" s="23" t="n"/>
      <x:c r="G273" s="23" t="n"/>
      <x:c r="H273" s="23" t="n"/>
      <x:c r="I273" s="23" t="n"/>
    </x:row>
    <x:row r="274">
      <x:c r="A274" s="6" t="n"/>
      <x:c r="B274" s="23" t="n"/>
      <x:c r="C274" s="23" t="n"/>
      <x:c r="D274" s="23" t="n"/>
      <x:c r="E274" s="23" t="n"/>
      <x:c r="F274" s="23" t="n"/>
      <x:c r="G274" s="23" t="n"/>
      <x:c r="H274" s="23" t="n"/>
      <x:c r="I274" s="23" t="n"/>
    </x:row>
    <x:row r="275">
      <x:c r="A275" s="6" t="n"/>
      <x:c r="B275" s="23" t="n"/>
      <x:c r="C275" s="23" t="n"/>
      <x:c r="D275" s="23" t="n"/>
      <x:c r="E275" s="23" t="n"/>
      <x:c r="F275" s="23" t="n"/>
      <x:c r="G275" s="23" t="n"/>
      <x:c r="H275" s="23" t="n"/>
      <x:c r="I275" s="23" t="n"/>
    </x:row>
    <x:row r="276">
      <x:c r="A276" s="6" t="n"/>
      <x:c r="B276" s="23" t="n"/>
      <x:c r="C276" s="23" t="n"/>
      <x:c r="D276" s="23" t="n"/>
      <x:c r="E276" s="23" t="n"/>
      <x:c r="F276" s="23" t="n"/>
      <x:c r="G276" s="23" t="n"/>
      <x:c r="H276" s="23" t="n"/>
      <x:c r="I276" s="23" t="n"/>
    </x:row>
    <x:row r="277">
      <x:c r="A277" s="6" t="n"/>
      <x:c r="B277" s="23" t="n"/>
      <x:c r="C277" s="23" t="n"/>
      <x:c r="D277" s="23" t="n"/>
      <x:c r="E277" s="23" t="n"/>
      <x:c r="F277" s="23" t="n"/>
      <x:c r="G277" s="23" t="n"/>
      <x:c r="H277" s="23" t="n"/>
      <x:c r="I277" s="23" t="n"/>
    </x:row>
    <x:row r="278">
      <x:c r="A278" s="6" t="n"/>
      <x:c r="B278" s="23" t="n"/>
      <x:c r="C278" s="23" t="n"/>
      <x:c r="D278" s="23" t="n"/>
      <x:c r="E278" s="23" t="n"/>
      <x:c r="F278" s="23" t="n"/>
      <x:c r="G278" s="23" t="n"/>
      <x:c r="H278" s="23" t="n"/>
      <x:c r="I278" s="23" t="n"/>
    </x:row>
    <x:row r="279">
      <x:c r="A279" s="6" t="n"/>
      <x:c r="B279" s="23" t="n"/>
      <x:c r="C279" s="23" t="n"/>
      <x:c r="D279" s="23" t="n"/>
      <x:c r="E279" s="23" t="n"/>
      <x:c r="F279" s="23" t="n"/>
      <x:c r="G279" s="23" t="n"/>
      <x:c r="H279" s="23" t="n"/>
      <x:c r="I279" s="23" t="n"/>
    </x:row>
    <x:row r="280">
      <x:c r="A280" s="6" t="n"/>
      <x:c r="B280" s="23" t="n"/>
      <x:c r="C280" s="23" t="n"/>
      <x:c r="D280" s="23" t="n"/>
      <x:c r="E280" s="23" t="n"/>
      <x:c r="F280" s="23" t="n"/>
      <x:c r="G280" s="23" t="n"/>
      <x:c r="H280" s="23" t="n"/>
      <x:c r="I280" s="23" t="n"/>
    </x:row>
    <x:row r="281">
      <x:c r="A281" s="6" t="n"/>
      <x:c r="B281" s="23" t="n"/>
      <x:c r="C281" s="23" t="n"/>
      <x:c r="D281" s="23" t="n"/>
      <x:c r="E281" s="23" t="n"/>
      <x:c r="F281" s="23" t="n"/>
      <x:c r="G281" s="23" t="n"/>
      <x:c r="H281" s="23" t="n"/>
      <x:c r="I281" s="23" t="n"/>
    </x:row>
    <x:row r="282">
      <x:c r="A282" s="6" t="n"/>
      <x:c r="B282" s="23" t="n"/>
      <x:c r="C282" s="23" t="n"/>
      <x:c r="D282" s="23" t="n"/>
      <x:c r="E282" s="23" t="n"/>
      <x:c r="F282" s="23" t="n"/>
      <x:c r="G282" s="23" t="n"/>
      <x:c r="H282" s="23" t="n"/>
      <x:c r="I282" s="23" t="n"/>
    </x:row>
    <x:row r="283">
      <x:c r="A283" s="6" t="n"/>
      <x:c r="B283" s="23" t="n"/>
      <x:c r="C283" s="23" t="n"/>
      <x:c r="D283" s="23" t="n"/>
      <x:c r="E283" s="23" t="n"/>
      <x:c r="F283" s="23" t="n"/>
      <x:c r="G283" s="23" t="n"/>
      <x:c r="H283" s="23" t="n"/>
      <x:c r="I283" s="23" t="n"/>
    </x:row>
    <x:row r="284">
      <x:c r="A284" s="6" t="n"/>
      <x:c r="B284" s="23" t="n"/>
      <x:c r="C284" s="23" t="n"/>
      <x:c r="D284" s="23" t="n"/>
      <x:c r="E284" s="23" t="n"/>
      <x:c r="F284" s="23" t="n"/>
      <x:c r="G284" s="23" t="n"/>
      <x:c r="H284" s="23" t="n"/>
      <x:c r="I284" s="23" t="n"/>
    </x:row>
    <x:row r="285">
      <x:c r="A285" s="6" t="n"/>
      <x:c r="B285" s="23" t="n"/>
      <x:c r="C285" s="23" t="n"/>
      <x:c r="D285" s="23" t="n"/>
      <x:c r="E285" s="23" t="n"/>
      <x:c r="F285" s="23" t="n"/>
      <x:c r="G285" s="23" t="n"/>
      <x:c r="H285" s="23" t="n"/>
      <x:c r="I285" s="23" t="n"/>
    </x:row>
    <x:row r="286">
      <x:c r="A286" s="6" t="n"/>
      <x:c r="B286" s="23" t="n"/>
      <x:c r="C286" s="23" t="n"/>
      <x:c r="D286" s="23" t="n"/>
      <x:c r="E286" s="23" t="n"/>
      <x:c r="F286" s="23" t="n"/>
      <x:c r="G286" s="23" t="n"/>
      <x:c r="H286" s="23" t="n"/>
      <x:c r="I286" s="23" t="n"/>
    </x:row>
    <x:row r="287">
      <x:c r="A287" s="6" t="n"/>
      <x:c r="B287" s="23" t="n"/>
      <x:c r="C287" s="23" t="n"/>
      <x:c r="D287" s="23" t="n"/>
      <x:c r="E287" s="23" t="n"/>
      <x:c r="F287" s="23" t="n"/>
      <x:c r="G287" s="23" t="n"/>
      <x:c r="H287" s="23" t="n"/>
      <x:c r="I287" s="23" t="n"/>
    </x:row>
    <x:row r="288">
      <x:c r="A288" s="6" t="n"/>
      <x:c r="B288" s="23" t="n"/>
      <x:c r="C288" s="23" t="n"/>
      <x:c r="D288" s="23" t="n"/>
      <x:c r="E288" s="23" t="n"/>
      <x:c r="F288" s="23" t="n"/>
      <x:c r="G288" s="23" t="n"/>
      <x:c r="H288" s="23" t="n"/>
      <x:c r="I288" s="23" t="n"/>
    </x:row>
    <x:row r="289">
      <x:c r="A289" s="6" t="n"/>
      <x:c r="B289" s="23" t="n"/>
      <x:c r="C289" s="23" t="n"/>
      <x:c r="D289" s="23" t="n"/>
      <x:c r="E289" s="23" t="n"/>
      <x:c r="F289" s="23" t="n"/>
      <x:c r="G289" s="23" t="n"/>
      <x:c r="H289" s="23" t="n"/>
      <x:c r="I289" s="23" t="n"/>
    </x:row>
    <x:row r="290">
      <x:c r="A290" s="6" t="n"/>
      <x:c r="B290" s="23" t="n"/>
      <x:c r="C290" s="23" t="n"/>
      <x:c r="D290" s="23" t="n"/>
      <x:c r="E290" s="23" t="n"/>
      <x:c r="F290" s="23" t="n"/>
      <x:c r="G290" s="23" t="n"/>
      <x:c r="H290" s="23" t="n"/>
      <x:c r="I290" s="23" t="n"/>
    </x:row>
    <x:row r="291">
      <x:c r="A291" s="6" t="n"/>
      <x:c r="B291" s="23" t="n"/>
      <x:c r="C291" s="23" t="n"/>
      <x:c r="D291" s="23" t="n"/>
      <x:c r="E291" s="23" t="n"/>
      <x:c r="F291" s="23" t="n"/>
      <x:c r="G291" s="23" t="n"/>
      <x:c r="H291" s="23" t="n"/>
      <x:c r="I291" s="23" t="n"/>
    </x:row>
    <x:row r="292">
      <x:c r="A292" s="6" t="n"/>
      <x:c r="B292" s="23" t="n"/>
      <x:c r="C292" s="23" t="n"/>
      <x:c r="D292" s="23" t="n"/>
      <x:c r="E292" s="23" t="n"/>
      <x:c r="F292" s="23" t="n"/>
      <x:c r="G292" s="23" t="n"/>
      <x:c r="H292" s="23" t="n"/>
      <x:c r="I292" s="23" t="n"/>
    </x:row>
    <x:row r="293">
      <x:c r="A293" s="6" t="n"/>
      <x:c r="B293" s="23" t="n"/>
      <x:c r="C293" s="23" t="n"/>
      <x:c r="D293" s="23" t="n"/>
      <x:c r="E293" s="23" t="n"/>
      <x:c r="F293" s="23" t="n"/>
      <x:c r="G293" s="23" t="n"/>
      <x:c r="H293" s="23" t="n"/>
      <x:c r="I293" s="23" t="n"/>
    </x:row>
    <x:row r="294">
      <x:c r="A294" s="6" t="n"/>
      <x:c r="B294" s="23" t="n"/>
      <x:c r="C294" s="23" t="n"/>
      <x:c r="D294" s="23" t="n"/>
      <x:c r="E294" s="23" t="n"/>
      <x:c r="F294" s="23" t="n"/>
      <x:c r="G294" s="23" t="n"/>
      <x:c r="H294" s="23" t="n"/>
      <x:c r="I294" s="23" t="n"/>
    </x:row>
    <x:row r="295">
      <x:c r="A295" s="6" t="n"/>
      <x:c r="B295" s="23" t="n"/>
      <x:c r="C295" s="23" t="n"/>
      <x:c r="D295" s="23" t="n"/>
      <x:c r="E295" s="23" t="n"/>
      <x:c r="F295" s="23" t="n"/>
      <x:c r="G295" s="23" t="n"/>
      <x:c r="H295" s="23" t="n"/>
      <x:c r="I295" s="23" t="n"/>
    </x:row>
    <x:row r="296">
      <x:c r="A296" s="6" t="n"/>
      <x:c r="B296" s="23" t="n"/>
      <x:c r="C296" s="23" t="n"/>
      <x:c r="D296" s="23" t="n"/>
      <x:c r="E296" s="23" t="n"/>
      <x:c r="F296" s="23" t="n"/>
      <x:c r="G296" s="23" t="n"/>
      <x:c r="H296" s="23" t="n"/>
      <x:c r="I296" s="23" t="n"/>
    </x:row>
    <x:row r="297">
      <x:c r="A297" s="6" t="n"/>
      <x:c r="B297" s="23" t="n"/>
      <x:c r="C297" s="23" t="n"/>
      <x:c r="D297" s="23" t="n"/>
      <x:c r="E297" s="23" t="n"/>
      <x:c r="F297" s="23" t="n"/>
      <x:c r="G297" s="23" t="n"/>
      <x:c r="H297" s="23" t="n"/>
      <x:c r="I297" s="23" t="n"/>
    </x:row>
    <x:row r="298">
      <x:c r="A298" s="6" t="n"/>
      <x:c r="B298" s="23" t="n"/>
      <x:c r="C298" s="23" t="n"/>
      <x:c r="D298" s="23" t="n"/>
      <x:c r="E298" s="23" t="n"/>
      <x:c r="F298" s="23" t="n"/>
      <x:c r="G298" s="23" t="n"/>
      <x:c r="H298" s="23" t="n"/>
      <x:c r="I298" s="23" t="n"/>
    </x:row>
    <x:row r="299">
      <x:c r="A299" s="6" t="n"/>
      <x:c r="B299" s="23" t="n"/>
      <x:c r="C299" s="23" t="n"/>
      <x:c r="D299" s="23" t="n"/>
      <x:c r="E299" s="23" t="n"/>
      <x:c r="F299" s="23" t="n"/>
      <x:c r="G299" s="23" t="n"/>
      <x:c r="H299" s="23" t="n"/>
      <x:c r="I299" s="23" t="n"/>
    </x:row>
    <x:row r="300">
      <x:c r="A300" s="6" t="n"/>
      <x:c r="B300" s="23" t="n"/>
      <x:c r="C300" s="23" t="n"/>
      <x:c r="D300" s="23" t="n"/>
      <x:c r="E300" s="23" t="n"/>
      <x:c r="F300" s="23" t="n"/>
      <x:c r="G300" s="23" t="n"/>
      <x:c r="H300" s="23" t="n"/>
      <x:c r="I300" s="23" t="n"/>
    </x:row>
    <x:row r="301">
      <x:c r="A301" s="6" t="n"/>
      <x:c r="B301" s="23" t="n"/>
      <x:c r="C301" s="23" t="n"/>
      <x:c r="D301" s="23" t="n"/>
      <x:c r="E301" s="23" t="n"/>
      <x:c r="F301" s="23" t="n"/>
      <x:c r="G301" s="23" t="n"/>
      <x:c r="H301" s="23" t="n"/>
      <x:c r="I301" s="23" t="n"/>
    </x:row>
    <x:row r="302">
      <x:c r="A302" s="6" t="n"/>
      <x:c r="B302" s="23" t="n"/>
      <x:c r="C302" s="23" t="n"/>
      <x:c r="D302" s="23" t="n"/>
      <x:c r="E302" s="23" t="n"/>
      <x:c r="F302" s="23" t="n"/>
      <x:c r="G302" s="23" t="n"/>
      <x:c r="H302" s="23" t="n"/>
      <x:c r="I302" s="23" t="n"/>
    </x:row>
    <x:row r="303">
      <x:c r="A303" s="6" t="n"/>
      <x:c r="B303" s="23" t="n"/>
      <x:c r="C303" s="23" t="n"/>
      <x:c r="D303" s="23" t="n"/>
      <x:c r="E303" s="23" t="n"/>
      <x:c r="F303" s="23" t="n"/>
      <x:c r="G303" s="23" t="n"/>
      <x:c r="H303" s="23" t="n"/>
      <x:c r="I303" s="23" t="n"/>
    </x:row>
    <x:row r="304">
      <x:c r="A304" s="6" t="n"/>
      <x:c r="B304" s="23" t="n"/>
      <x:c r="C304" s="23" t="n"/>
      <x:c r="D304" s="23" t="n"/>
      <x:c r="E304" s="23" t="n"/>
      <x:c r="F304" s="23" t="n"/>
      <x:c r="G304" s="23" t="n"/>
      <x:c r="H304" s="23" t="n"/>
      <x:c r="I304" s="23" t="n"/>
    </x:row>
    <x:row r="305">
      <x:c r="A305" s="6" t="n"/>
      <x:c r="B305" s="23" t="n"/>
      <x:c r="C305" s="23" t="n"/>
      <x:c r="D305" s="23" t="n"/>
      <x:c r="E305" s="23" t="n"/>
      <x:c r="F305" s="23" t="n"/>
      <x:c r="G305" s="23" t="n"/>
      <x:c r="H305" s="23" t="n"/>
      <x:c r="I305" s="23" t="n"/>
    </x:row>
    <x:row r="306">
      <x:c r="A306" s="6" t="n"/>
      <x:c r="B306" s="23" t="n"/>
      <x:c r="C306" s="23" t="n"/>
      <x:c r="D306" s="23" t="n"/>
      <x:c r="E306" s="23" t="n"/>
      <x:c r="F306" s="23" t="n"/>
      <x:c r="G306" s="23" t="n"/>
      <x:c r="H306" s="23" t="n"/>
      <x:c r="I306" s="23" t="n"/>
    </x:row>
    <x:row r="307">
      <x:c r="A307" s="6" t="n"/>
      <x:c r="B307" s="23" t="n"/>
      <x:c r="C307" s="23" t="n"/>
      <x:c r="D307" s="23" t="n"/>
      <x:c r="E307" s="23" t="n"/>
      <x:c r="F307" s="23" t="n"/>
      <x:c r="G307" s="23" t="n"/>
      <x:c r="H307" s="23" t="n"/>
      <x:c r="I307" s="23" t="n"/>
    </x:row>
    <x:row r="308">
      <x:c r="A308" s="6" t="n"/>
      <x:c r="B308" s="23" t="n"/>
      <x:c r="C308" s="23" t="n"/>
      <x:c r="D308" s="23" t="n"/>
      <x:c r="E308" s="23" t="n"/>
      <x:c r="F308" s="23" t="n"/>
      <x:c r="G308" s="23" t="n"/>
      <x:c r="H308" s="23" t="n"/>
      <x:c r="I308" s="23" t="n"/>
    </x:row>
    <x:row r="309">
      <x:c r="A309" s="6" t="n"/>
      <x:c r="B309" s="23" t="n"/>
      <x:c r="C309" s="23" t="n"/>
      <x:c r="D309" s="23" t="n"/>
      <x:c r="E309" s="23" t="n"/>
      <x:c r="F309" s="23" t="n"/>
      <x:c r="G309" s="23" t="n"/>
      <x:c r="H309" s="23" t="n"/>
      <x:c r="I309" s="23" t="n"/>
    </x:row>
    <x:row r="310">
      <x:c r="A310" s="6" t="n"/>
      <x:c r="B310" s="23" t="n"/>
      <x:c r="C310" s="23" t="n"/>
      <x:c r="D310" s="23" t="n"/>
      <x:c r="E310" s="23" t="n"/>
      <x:c r="F310" s="23" t="n"/>
      <x:c r="G310" s="23" t="n"/>
      <x:c r="H310" s="23" t="n"/>
      <x:c r="I310" s="23" t="n"/>
    </x:row>
    <x:row r="311">
      <x:c r="A311" s="6" t="n"/>
      <x:c r="B311" s="23" t="n"/>
      <x:c r="C311" s="23" t="n"/>
      <x:c r="D311" s="23" t="n"/>
      <x:c r="E311" s="23" t="n"/>
      <x:c r="F311" s="23" t="n"/>
      <x:c r="G311" s="23" t="n"/>
      <x:c r="H311" s="23" t="n"/>
      <x:c r="I311" s="23" t="n"/>
    </x:row>
    <x:row r="312">
      <x:c r="A312" s="6" t="n"/>
      <x:c r="B312" s="23" t="n"/>
      <x:c r="C312" s="23" t="n"/>
      <x:c r="D312" s="23" t="n"/>
      <x:c r="E312" s="23" t="n"/>
      <x:c r="F312" s="23" t="n"/>
      <x:c r="G312" s="23" t="n"/>
      <x:c r="H312" s="23" t="n"/>
      <x:c r="I312" s="23" t="n"/>
    </x:row>
    <x:row r="313">
      <x:c r="A313" s="6" t="n"/>
      <x:c r="B313" s="23" t="n"/>
      <x:c r="C313" s="23" t="n"/>
      <x:c r="D313" s="23" t="n"/>
      <x:c r="E313" s="23" t="n"/>
      <x:c r="F313" s="23" t="n"/>
      <x:c r="G313" s="23" t="n"/>
      <x:c r="H313" s="23" t="n"/>
      <x:c r="I313" s="23" t="n"/>
    </x:row>
    <x:row r="314">
      <x:c r="A314" s="6" t="n"/>
      <x:c r="B314" s="23" t="n"/>
      <x:c r="C314" s="23" t="n"/>
      <x:c r="D314" s="23" t="n"/>
      <x:c r="E314" s="23" t="n"/>
      <x:c r="F314" s="23" t="n"/>
      <x:c r="G314" s="23" t="n"/>
      <x:c r="H314" s="23" t="n"/>
      <x:c r="I314" s="23" t="n"/>
    </x:row>
    <x:row r="315">
      <x:c r="A315" s="6" t="n"/>
      <x:c r="B315" s="23" t="n"/>
      <x:c r="C315" s="23" t="n"/>
      <x:c r="D315" s="23" t="n"/>
      <x:c r="E315" s="23" t="n"/>
      <x:c r="F315" s="23" t="n"/>
      <x:c r="G315" s="23" t="n"/>
      <x:c r="H315" s="23" t="n"/>
      <x:c r="I315" s="23" t="n"/>
    </x:row>
    <x:row r="316">
      <x:c r="A316" s="6" t="n"/>
      <x:c r="B316" s="23" t="n"/>
      <x:c r="C316" s="23" t="n"/>
      <x:c r="D316" s="23" t="n"/>
      <x:c r="E316" s="23" t="n"/>
      <x:c r="F316" s="23" t="n"/>
      <x:c r="G316" s="23" t="n"/>
      <x:c r="H316" s="23" t="n"/>
      <x:c r="I316" s="23" t="n"/>
    </x:row>
    <x:row r="317">
      <x:c r="A317" s="6" t="n"/>
      <x:c r="B317" s="23" t="n"/>
      <x:c r="C317" s="23" t="n"/>
      <x:c r="D317" s="23" t="n"/>
      <x:c r="E317" s="23" t="n"/>
      <x:c r="F317" s="23" t="n"/>
      <x:c r="G317" s="23" t="n"/>
      <x:c r="H317" s="23" t="n"/>
      <x:c r="I317" s="23" t="n"/>
    </x:row>
    <x:row r="318">
      <x:c r="A318" s="6" t="n"/>
      <x:c r="B318" s="23" t="n"/>
      <x:c r="C318" s="23" t="n"/>
      <x:c r="D318" s="23" t="n"/>
      <x:c r="E318" s="23" t="n"/>
      <x:c r="F318" s="23" t="n"/>
      <x:c r="G318" s="23" t="n"/>
      <x:c r="H318" s="23" t="n"/>
      <x:c r="I318" s="23" t="n"/>
    </x:row>
    <x:row r="319">
      <x:c r="A319" s="6" t="n"/>
      <x:c r="B319" s="23" t="n"/>
      <x:c r="C319" s="23" t="n"/>
      <x:c r="D319" s="23" t="n"/>
      <x:c r="E319" s="23" t="n"/>
      <x:c r="F319" s="23" t="n"/>
      <x:c r="G319" s="23" t="n"/>
      <x:c r="H319" s="23" t="n"/>
      <x:c r="I319" s="23" t="n"/>
    </x:row>
    <x:row r="320">
      <x:c r="A320" s="6" t="n"/>
      <x:c r="B320" s="23" t="n"/>
      <x:c r="C320" s="23" t="n"/>
      <x:c r="D320" s="23" t="n"/>
      <x:c r="E320" s="23" t="n"/>
      <x:c r="F320" s="23" t="n"/>
      <x:c r="G320" s="23" t="n"/>
      <x:c r="H320" s="23" t="n"/>
      <x:c r="I320" s="23" t="n"/>
    </x:row>
    <x:row r="321">
      <x:c r="A321" s="6" t="n"/>
      <x:c r="B321" s="23" t="n"/>
      <x:c r="C321" s="23" t="n"/>
      <x:c r="D321" s="23" t="n"/>
      <x:c r="E321" s="23" t="n"/>
      <x:c r="F321" s="23" t="n"/>
      <x:c r="G321" s="23" t="n"/>
      <x:c r="H321" s="23" t="n"/>
      <x:c r="I321" s="23" t="n"/>
    </x:row>
    <x:row r="322">
      <x:c r="A322" s="6" t="n"/>
      <x:c r="B322" s="23" t="n"/>
      <x:c r="C322" s="23" t="n"/>
      <x:c r="D322" s="23" t="n"/>
      <x:c r="E322" s="23" t="n"/>
      <x:c r="F322" s="23" t="n"/>
      <x:c r="G322" s="23" t="n"/>
      <x:c r="H322" s="23" t="n"/>
      <x:c r="I322" s="23" t="n"/>
    </x:row>
    <x:row r="323">
      <x:c r="A323" s="6" t="n"/>
      <x:c r="B323" s="23" t="n"/>
      <x:c r="C323" s="23" t="n"/>
      <x:c r="D323" s="23" t="n"/>
      <x:c r="E323" s="23" t="n"/>
      <x:c r="F323" s="23" t="n"/>
      <x:c r="G323" s="23" t="n"/>
      <x:c r="H323" s="23" t="n"/>
      <x:c r="I323" s="23" t="n"/>
    </x:row>
    <x:row r="324">
      <x:c r="A324" s="6" t="n"/>
      <x:c r="B324" s="23" t="n"/>
      <x:c r="C324" s="23" t="n"/>
      <x:c r="D324" s="23" t="n"/>
      <x:c r="E324" s="23" t="n"/>
      <x:c r="F324" s="23" t="n"/>
      <x:c r="G324" s="23" t="n"/>
      <x:c r="H324" s="23" t="n"/>
      <x:c r="I324" s="23" t="n"/>
    </x:row>
    <x:row r="325">
      <x:c r="A325" s="6" t="n"/>
      <x:c r="B325" s="23" t="n"/>
      <x:c r="C325" s="23" t="n"/>
      <x:c r="D325" s="23" t="n"/>
      <x:c r="E325" s="23" t="n"/>
      <x:c r="F325" s="23" t="n"/>
      <x:c r="G325" s="23" t="n"/>
      <x:c r="H325" s="23" t="n"/>
      <x:c r="I325" s="23" t="n"/>
    </x:row>
    <x:row r="326">
      <x:c r="A326" s="6" t="n"/>
      <x:c r="B326" s="23" t="n"/>
      <x:c r="C326" s="23" t="n"/>
      <x:c r="D326" s="23" t="n"/>
      <x:c r="E326" s="23" t="n"/>
      <x:c r="F326" s="23" t="n"/>
      <x:c r="G326" s="23" t="n"/>
      <x:c r="H326" s="23" t="n"/>
      <x:c r="I326" s="23" t="n"/>
    </x:row>
    <x:row r="327">
      <x:c r="A327" s="6" t="n"/>
      <x:c r="B327" s="23" t="n"/>
      <x:c r="C327" s="23" t="n"/>
      <x:c r="D327" s="23" t="n"/>
      <x:c r="E327" s="23" t="n"/>
      <x:c r="F327" s="23" t="n"/>
      <x:c r="G327" s="23" t="n"/>
      <x:c r="H327" s="23" t="n"/>
      <x:c r="I327" s="23" t="n"/>
    </x:row>
    <x:row r="328">
      <x:c r="A328" s="6" t="n"/>
      <x:c r="B328" s="23" t="n"/>
      <x:c r="C328" s="23" t="n"/>
      <x:c r="D328" s="23" t="n"/>
      <x:c r="E328" s="23" t="n"/>
      <x:c r="F328" s="23" t="n"/>
      <x:c r="G328" s="23" t="n"/>
      <x:c r="H328" s="23" t="n"/>
      <x:c r="I328" s="23" t="n"/>
    </x:row>
    <x:row r="329">
      <x:c r="A329" s="6" t="n"/>
      <x:c r="B329" s="23" t="n"/>
      <x:c r="C329" s="23" t="n"/>
      <x:c r="D329" s="23" t="n"/>
      <x:c r="E329" s="23" t="n"/>
      <x:c r="F329" s="23" t="n"/>
      <x:c r="G329" s="23" t="n"/>
      <x:c r="H329" s="23" t="n"/>
      <x:c r="I329" s="23" t="n"/>
    </x:row>
    <x:row r="330">
      <x:c r="A330" s="6" t="n"/>
      <x:c r="B330" s="23" t="n"/>
      <x:c r="C330" s="23" t="n"/>
      <x:c r="D330" s="23" t="n"/>
      <x:c r="E330" s="23" t="n"/>
      <x:c r="F330" s="23" t="n"/>
      <x:c r="G330" s="23" t="n"/>
      <x:c r="H330" s="23" t="n"/>
      <x:c r="I330" s="23" t="n"/>
    </x:row>
    <x:row r="331">
      <x:c r="A331" s="6" t="n"/>
      <x:c r="B331" s="23" t="n"/>
      <x:c r="C331" s="23" t="n"/>
      <x:c r="D331" s="23" t="n"/>
      <x:c r="E331" s="23" t="n"/>
      <x:c r="F331" s="23" t="n"/>
      <x:c r="G331" s="23" t="n"/>
      <x:c r="H331" s="23" t="n"/>
      <x:c r="I331" s="23" t="n"/>
    </x:row>
    <x:row r="332">
      <x:c r="A332" s="6" t="n"/>
      <x:c r="B332" s="23" t="n"/>
      <x:c r="C332" s="23" t="n"/>
      <x:c r="D332" s="23" t="n"/>
      <x:c r="E332" s="23" t="n"/>
      <x:c r="F332" s="23" t="n"/>
      <x:c r="G332" s="23" t="n"/>
      <x:c r="H332" s="23" t="n"/>
      <x:c r="I332" s="23" t="n"/>
    </x:row>
    <x:row r="333">
      <x:c r="A333" s="6" t="n"/>
      <x:c r="B333" s="23" t="n"/>
      <x:c r="C333" s="23" t="n"/>
      <x:c r="D333" s="23" t="n"/>
      <x:c r="E333" s="23" t="n"/>
      <x:c r="F333" s="23" t="n"/>
      <x:c r="G333" s="23" t="n"/>
      <x:c r="H333" s="23" t="n"/>
      <x:c r="I333" s="23" t="n"/>
    </x:row>
    <x:row r="334">
      <x:c r="A334" s="6" t="n"/>
      <x:c r="B334" s="23" t="n"/>
      <x:c r="C334" s="23" t="n"/>
      <x:c r="D334" s="23" t="n"/>
      <x:c r="E334" s="23" t="n"/>
      <x:c r="F334" s="23" t="n"/>
      <x:c r="G334" s="23" t="n"/>
      <x:c r="H334" s="23" t="n"/>
      <x:c r="I334" s="23" t="n"/>
    </x:row>
    <x:row r="335">
      <x:c r="A335" s="6" t="n"/>
      <x:c r="B335" s="23" t="n"/>
      <x:c r="C335" s="23" t="n"/>
      <x:c r="D335" s="23" t="n"/>
      <x:c r="E335" s="23" t="n"/>
      <x:c r="F335" s="23" t="n"/>
      <x:c r="G335" s="23" t="n"/>
      <x:c r="H335" s="23" t="n"/>
      <x:c r="I335" s="23" t="n"/>
    </x:row>
    <x:row r="336">
      <x:c r="A336" s="6" t="n"/>
      <x:c r="B336" s="23" t="n"/>
      <x:c r="C336" s="23" t="n"/>
      <x:c r="D336" s="23" t="n"/>
      <x:c r="E336" s="23" t="n"/>
      <x:c r="F336" s="23" t="n"/>
      <x:c r="G336" s="23" t="n"/>
      <x:c r="H336" s="23" t="n"/>
      <x:c r="I336" s="23" t="n"/>
    </x:row>
    <x:row r="337">
      <x:c r="A337" s="6" t="n"/>
      <x:c r="B337" s="23" t="n"/>
      <x:c r="C337" s="23" t="n"/>
      <x:c r="D337" s="23" t="n"/>
      <x:c r="E337" s="23" t="n"/>
      <x:c r="F337" s="23" t="n"/>
      <x:c r="G337" s="23" t="n"/>
      <x:c r="H337" s="23" t="n"/>
      <x:c r="I337" s="23" t="n"/>
    </x:row>
    <x:row r="338">
      <x:c r="A338" s="6" t="n"/>
      <x:c r="B338" s="23" t="n"/>
      <x:c r="C338" s="23" t="n"/>
      <x:c r="D338" s="23" t="n"/>
      <x:c r="E338" s="23" t="n"/>
      <x:c r="F338" s="23" t="n"/>
      <x:c r="G338" s="23" t="n"/>
      <x:c r="H338" s="23" t="n"/>
      <x:c r="I338" s="23" t="n"/>
    </x:row>
    <x:row r="339">
      <x:c r="A339" s="6" t="n"/>
      <x:c r="B339" s="23" t="n"/>
      <x:c r="C339" s="23" t="n"/>
      <x:c r="D339" s="23" t="n"/>
      <x:c r="E339" s="23" t="n"/>
      <x:c r="F339" s="23" t="n"/>
      <x:c r="G339" s="23" t="n"/>
      <x:c r="H339" s="23" t="n"/>
      <x:c r="I339" s="23" t="n"/>
    </x:row>
    <x:row r="340">
      <x:c r="A340" s="6" t="n"/>
      <x:c r="B340" s="23" t="n"/>
      <x:c r="C340" s="23" t="n"/>
      <x:c r="D340" s="23" t="n"/>
      <x:c r="E340" s="23" t="n"/>
      <x:c r="F340" s="23" t="n"/>
      <x:c r="G340" s="23" t="n"/>
      <x:c r="H340" s="23" t="n"/>
      <x:c r="I340" s="23" t="n"/>
    </x:row>
    <x:row r="341">
      <x:c r="A341" s="6" t="n"/>
      <x:c r="B341" s="23" t="n"/>
      <x:c r="C341" s="23" t="n"/>
      <x:c r="D341" s="23" t="n"/>
      <x:c r="E341" s="23" t="n"/>
      <x:c r="F341" s="23" t="n"/>
      <x:c r="G341" s="23" t="n"/>
      <x:c r="H341" s="23" t="n"/>
      <x:c r="I341" s="23" t="n"/>
    </x:row>
    <x:row r="342">
      <x:c r="A342" s="6" t="n"/>
      <x:c r="B342" s="23" t="n"/>
      <x:c r="C342" s="23" t="n"/>
      <x:c r="D342" s="23" t="n"/>
      <x:c r="E342" s="23" t="n"/>
      <x:c r="F342" s="23" t="n"/>
      <x:c r="G342" s="23" t="n"/>
      <x:c r="H342" s="23" t="n"/>
      <x:c r="I342" s="23" t="n"/>
    </x:row>
    <x:row r="343">
      <x:c r="A343" s="6" t="n"/>
      <x:c r="B343" s="23" t="n"/>
      <x:c r="C343" s="23" t="n"/>
      <x:c r="D343" s="23" t="n"/>
      <x:c r="E343" s="23" t="n"/>
      <x:c r="F343" s="23" t="n"/>
      <x:c r="G343" s="23" t="n"/>
      <x:c r="H343" s="23" t="n"/>
      <x:c r="I343" s="23" t="n"/>
    </x:row>
    <x:row r="344">
      <x:c r="A344" s="6" t="n"/>
      <x:c r="B344" s="23" t="n"/>
      <x:c r="C344" s="23" t="n"/>
      <x:c r="D344" s="23" t="n"/>
      <x:c r="E344" s="23" t="n"/>
      <x:c r="F344" s="23" t="n"/>
      <x:c r="G344" s="23" t="n"/>
      <x:c r="H344" s="23" t="n"/>
      <x:c r="I344" s="23" t="n"/>
    </x:row>
    <x:row r="345">
      <x:c r="A345" s="6" t="n"/>
      <x:c r="B345" s="23" t="n"/>
      <x:c r="C345" s="23" t="n"/>
      <x:c r="D345" s="23" t="n"/>
      <x:c r="E345" s="23" t="n"/>
      <x:c r="F345" s="23" t="n"/>
      <x:c r="G345" s="23" t="n"/>
      <x:c r="H345" s="23" t="n"/>
      <x:c r="I345" s="23" t="n"/>
    </x:row>
    <x:row r="346">
      <x:c r="A346" s="6" t="n"/>
      <x:c r="B346" s="23" t="n"/>
      <x:c r="C346" s="23" t="n"/>
      <x:c r="D346" s="23" t="n"/>
      <x:c r="E346" s="23" t="n"/>
      <x:c r="F346" s="23" t="n"/>
      <x:c r="G346" s="23" t="n"/>
      <x:c r="H346" s="23" t="n"/>
      <x:c r="I346" s="23" t="n"/>
    </x:row>
    <x:row r="347">
      <x:c r="A347" s="6" t="n"/>
      <x:c r="B347" s="23" t="n"/>
      <x:c r="C347" s="23" t="n"/>
      <x:c r="D347" s="23" t="n"/>
      <x:c r="E347" s="23" t="n"/>
      <x:c r="F347" s="23" t="n"/>
      <x:c r="G347" s="23" t="n"/>
      <x:c r="H347" s="23" t="n"/>
      <x:c r="I347" s="23" t="n"/>
    </x:row>
    <x:row r="348">
      <x:c r="A348" s="6" t="n"/>
      <x:c r="B348" s="23" t="n"/>
      <x:c r="C348" s="23" t="n"/>
      <x:c r="D348" s="23" t="n"/>
      <x:c r="E348" s="23" t="n"/>
      <x:c r="F348" s="23" t="n"/>
      <x:c r="G348" s="23" t="n"/>
      <x:c r="H348" s="23" t="n"/>
      <x:c r="I348" s="23" t="n"/>
    </x:row>
    <x:row r="349">
      <x:c r="A349" s="6" t="n"/>
      <x:c r="B349" s="23" t="n"/>
      <x:c r="C349" s="23" t="n"/>
      <x:c r="D349" s="23" t="n"/>
      <x:c r="E349" s="23" t="n"/>
      <x:c r="F349" s="23" t="n"/>
      <x:c r="G349" s="23" t="n"/>
      <x:c r="H349" s="23" t="n"/>
      <x:c r="I349" s="23" t="n"/>
    </x:row>
    <x:row r="350">
      <x:c r="A350" s="6" t="n"/>
      <x:c r="B350" s="23" t="n"/>
      <x:c r="C350" s="23" t="n"/>
      <x:c r="D350" s="23" t="n"/>
      <x:c r="E350" s="23" t="n"/>
      <x:c r="F350" s="23" t="n"/>
      <x:c r="G350" s="23" t="n"/>
      <x:c r="H350" s="23" t="n"/>
      <x:c r="I350" s="23" t="n"/>
    </x:row>
    <x:row r="351">
      <x:c r="A351" s="6" t="n"/>
      <x:c r="B351" s="23" t="n"/>
      <x:c r="C351" s="23" t="n"/>
      <x:c r="D351" s="23" t="n"/>
      <x:c r="E351" s="23" t="n"/>
      <x:c r="F351" s="23" t="n"/>
      <x:c r="G351" s="23" t="n"/>
      <x:c r="H351" s="23" t="n"/>
      <x:c r="I351" s="23" t="n"/>
    </x:row>
    <x:row r="352">
      <x:c r="A352" s="6" t="n"/>
      <x:c r="B352" s="23" t="n"/>
      <x:c r="C352" s="23" t="n"/>
      <x:c r="D352" s="23" t="n"/>
      <x:c r="E352" s="23" t="n"/>
      <x:c r="F352" s="23" t="n"/>
      <x:c r="G352" s="23" t="n"/>
      <x:c r="H352" s="23" t="n"/>
      <x:c r="I352" s="23" t="n"/>
    </x:row>
    <x:row r="353">
      <x:c r="A353" s="6" t="n"/>
      <x:c r="B353" s="23" t="n"/>
      <x:c r="C353" s="23" t="n"/>
      <x:c r="D353" s="23" t="n"/>
      <x:c r="E353" s="23" t="n"/>
      <x:c r="F353" s="23" t="n"/>
      <x:c r="G353" s="23" t="n"/>
      <x:c r="H353" s="23" t="n"/>
      <x:c r="I353" s="23" t="n"/>
    </x:row>
    <x:row r="354">
      <x:c r="A354" s="6" t="n"/>
      <x:c r="B354" s="23" t="n"/>
      <x:c r="C354" s="23" t="n"/>
      <x:c r="D354" s="23" t="n"/>
      <x:c r="E354" s="23" t="n"/>
      <x:c r="F354" s="23" t="n"/>
      <x:c r="G354" s="23" t="n"/>
      <x:c r="H354" s="23" t="n"/>
      <x:c r="I354" s="23" t="n"/>
    </x:row>
    <x:row r="355">
      <x:c r="A355" s="6" t="n"/>
      <x:c r="B355" s="23" t="n"/>
      <x:c r="C355" s="23" t="n"/>
      <x:c r="D355" s="23" t="n"/>
      <x:c r="E355" s="23" t="n"/>
      <x:c r="F355" s="23" t="n"/>
      <x:c r="G355" s="23" t="n"/>
      <x:c r="H355" s="23" t="n"/>
      <x:c r="I355" s="23" t="n"/>
    </x:row>
    <x:row r="356">
      <x:c r="A356" s="6" t="n"/>
      <x:c r="B356" s="23" t="n"/>
      <x:c r="C356" s="23" t="n"/>
      <x:c r="D356" s="23" t="n"/>
      <x:c r="E356" s="23" t="n"/>
      <x:c r="F356" s="23" t="n"/>
      <x:c r="G356" s="23" t="n"/>
      <x:c r="H356" s="23" t="n"/>
      <x:c r="I356" s="23" t="n"/>
    </x:row>
    <x:row r="357">
      <x:c r="A357" s="6" t="n"/>
      <x:c r="B357" s="23" t="n"/>
      <x:c r="C357" s="23" t="n"/>
      <x:c r="D357" s="23" t="n"/>
      <x:c r="E357" s="23" t="n"/>
      <x:c r="F357" s="23" t="n"/>
      <x:c r="G357" s="23" t="n"/>
      <x:c r="H357" s="23" t="n"/>
      <x:c r="I357" s="23" t="n"/>
    </x:row>
    <x:row r="358">
      <x:c r="A358" s="6" t="n"/>
      <x:c r="B358" s="23" t="n"/>
      <x:c r="C358" s="23" t="n"/>
      <x:c r="D358" s="23" t="n"/>
      <x:c r="E358" s="23" t="n"/>
      <x:c r="F358" s="23" t="n"/>
      <x:c r="G358" s="23" t="n"/>
      <x:c r="H358" s="23" t="n"/>
      <x:c r="I358" s="23" t="n"/>
    </x:row>
    <x:row r="359">
      <x:c r="A359" s="6" t="n"/>
      <x:c r="B359" s="23" t="n"/>
      <x:c r="C359" s="23" t="n"/>
      <x:c r="D359" s="23" t="n"/>
      <x:c r="E359" s="23" t="n"/>
      <x:c r="F359" s="23" t="n"/>
      <x:c r="G359" s="23" t="n"/>
      <x:c r="H359" s="23" t="n"/>
      <x:c r="I359" s="23" t="n"/>
    </x:row>
    <x:row r="360">
      <x:c r="A360" s="6" t="n"/>
      <x:c r="B360" s="23" t="n"/>
      <x:c r="C360" s="23" t="n"/>
      <x:c r="D360" s="23" t="n"/>
      <x:c r="E360" s="23" t="n"/>
      <x:c r="F360" s="23" t="n"/>
      <x:c r="G360" s="23" t="n"/>
      <x:c r="H360" s="23" t="n"/>
      <x:c r="I360" s="23" t="n"/>
    </x:row>
    <x:row r="361">
      <x:c r="A361" s="6" t="n"/>
      <x:c r="B361" s="23" t="n"/>
      <x:c r="C361" s="23" t="n"/>
      <x:c r="D361" s="23" t="n"/>
      <x:c r="E361" s="23" t="n"/>
      <x:c r="F361" s="23" t="n"/>
      <x:c r="G361" s="23" t="n"/>
      <x:c r="H361" s="23" t="n"/>
      <x:c r="I361" s="23" t="n"/>
    </x:row>
    <x:row r="362">
      <x:c r="A362" s="6" t="n"/>
      <x:c r="B362" s="23" t="n"/>
      <x:c r="C362" s="23" t="n"/>
      <x:c r="D362" s="23" t="n"/>
      <x:c r="E362" s="23" t="n"/>
      <x:c r="F362" s="23" t="n"/>
      <x:c r="G362" s="23" t="n"/>
      <x:c r="H362" s="23" t="n"/>
      <x:c r="I362" s="23" t="n"/>
    </x:row>
    <x:row r="363">
      <x:c r="A363" s="6" t="n"/>
      <x:c r="B363" s="23" t="n"/>
      <x:c r="C363" s="23" t="n"/>
      <x:c r="D363" s="23" t="n"/>
      <x:c r="E363" s="23" t="n"/>
      <x:c r="F363" s="23" t="n"/>
      <x:c r="G363" s="23" t="n"/>
      <x:c r="H363" s="23" t="n"/>
      <x:c r="I363" s="23" t="n"/>
    </x:row>
    <x:row r="364">
      <x:c r="A364" s="6" t="n"/>
      <x:c r="B364" s="23" t="n"/>
      <x:c r="C364" s="23" t="n"/>
      <x:c r="D364" s="23" t="n"/>
      <x:c r="E364" s="23" t="n"/>
      <x:c r="F364" s="23" t="n"/>
      <x:c r="G364" s="23" t="n"/>
      <x:c r="H364" s="23" t="n"/>
      <x:c r="I364" s="23" t="n"/>
    </x:row>
    <x:row r="365">
      <x:c r="A365" s="6" t="n"/>
      <x:c r="B365" s="23" t="n"/>
      <x:c r="C365" s="23" t="n"/>
      <x:c r="D365" s="23" t="n"/>
      <x:c r="E365" s="23" t="n"/>
      <x:c r="F365" s="23" t="n"/>
      <x:c r="G365" s="23" t="n"/>
      <x:c r="H365" s="23" t="n"/>
      <x:c r="I365" s="23" t="n"/>
    </x:row>
    <x:row r="366">
      <x:c r="A366" s="6" t="n"/>
      <x:c r="B366" s="23" t="n"/>
      <x:c r="C366" s="23" t="n"/>
      <x:c r="D366" s="23" t="n"/>
      <x:c r="E366" s="23" t="n"/>
      <x:c r="F366" s="23" t="n"/>
      <x:c r="G366" s="23" t="n"/>
      <x:c r="H366" s="23" t="n"/>
      <x:c r="I366" s="23" t="n"/>
    </x:row>
    <x:row r="367">
      <x:c r="A367" s="6" t="n"/>
      <x:c r="B367" s="23" t="n"/>
      <x:c r="C367" s="23" t="n"/>
      <x:c r="D367" s="23" t="n"/>
      <x:c r="E367" s="23" t="n"/>
      <x:c r="F367" s="23" t="n"/>
      <x:c r="G367" s="23" t="n"/>
      <x:c r="H367" s="23" t="n"/>
      <x:c r="I367" s="23" t="n"/>
    </x:row>
    <x:row r="368">
      <x:c r="A368" s="6" t="n"/>
      <x:c r="B368" s="23" t="n"/>
      <x:c r="C368" s="23" t="n"/>
      <x:c r="D368" s="23" t="n"/>
      <x:c r="E368" s="23" t="n"/>
      <x:c r="F368" s="23" t="n"/>
      <x:c r="G368" s="23" t="n"/>
      <x:c r="H368" s="23" t="n"/>
      <x:c r="I368" s="23" t="n"/>
    </x:row>
    <x:row r="369">
      <x:c r="A369" s="6" t="n"/>
      <x:c r="B369" s="23" t="n"/>
      <x:c r="C369" s="23" t="n"/>
      <x:c r="D369" s="23" t="n"/>
      <x:c r="E369" s="23" t="n"/>
      <x:c r="F369" s="23" t="n"/>
      <x:c r="G369" s="23" t="n"/>
      <x:c r="H369" s="23" t="n"/>
      <x:c r="I369" s="23" t="n"/>
    </x:row>
    <x:row r="370">
      <x:c r="A370" s="6" t="n"/>
      <x:c r="B370" s="23" t="n"/>
      <x:c r="C370" s="23" t="n"/>
      <x:c r="D370" s="23" t="n"/>
      <x:c r="E370" s="23" t="n"/>
      <x:c r="F370" s="23" t="n"/>
      <x:c r="G370" s="23" t="n"/>
      <x:c r="H370" s="23" t="n"/>
      <x:c r="I370" s="23" t="n"/>
    </x:row>
    <x:row r="371">
      <x:c r="A371" s="6" t="n"/>
      <x:c r="B371" s="23" t="n"/>
      <x:c r="C371" s="23" t="n"/>
      <x:c r="D371" s="23" t="n"/>
      <x:c r="E371" s="23" t="n"/>
      <x:c r="F371" s="23" t="n"/>
      <x:c r="G371" s="23" t="n"/>
      <x:c r="H371" s="23" t="n"/>
      <x:c r="I371" s="23" t="n"/>
    </x:row>
    <x:row r="372">
      <x:c r="A372" s="6" t="n"/>
      <x:c r="B372" s="23" t="n"/>
      <x:c r="C372" s="23" t="n"/>
      <x:c r="D372" s="23" t="n"/>
      <x:c r="E372" s="23" t="n"/>
      <x:c r="F372" s="23" t="n"/>
      <x:c r="G372" s="23" t="n"/>
      <x:c r="H372" s="23" t="n"/>
      <x:c r="I372" s="23" t="n"/>
    </x:row>
    <x:row r="373">
      <x:c r="A373" s="6" t="n"/>
      <x:c r="B373" s="23" t="n"/>
      <x:c r="C373" s="23" t="n"/>
      <x:c r="D373" s="23" t="n"/>
      <x:c r="E373" s="23" t="n"/>
      <x:c r="F373" s="23" t="n"/>
      <x:c r="G373" s="23" t="n"/>
      <x:c r="H373" s="23" t="n"/>
      <x:c r="I373" s="23" t="n"/>
    </x:row>
    <x:row r="374">
      <x:c r="A374" s="6" t="n"/>
      <x:c r="B374" s="23" t="n"/>
      <x:c r="C374" s="23" t="n"/>
      <x:c r="D374" s="23" t="n"/>
      <x:c r="E374" s="23" t="n"/>
      <x:c r="F374" s="23" t="n"/>
      <x:c r="G374" s="23" t="n"/>
      <x:c r="H374" s="23" t="n"/>
      <x:c r="I374" s="23" t="n"/>
    </x:row>
    <x:row r="375">
      <x:c r="A375" s="6" t="n"/>
      <x:c r="B375" s="23" t="n"/>
      <x:c r="C375" s="23" t="n"/>
      <x:c r="D375" s="23" t="n"/>
      <x:c r="E375" s="23" t="n"/>
      <x:c r="F375" s="23" t="n"/>
      <x:c r="G375" s="23" t="n"/>
      <x:c r="H375" s="23" t="n"/>
      <x:c r="I375" s="23" t="n"/>
    </x:row>
    <x:row r="376">
      <x:c r="A376" s="6" t="n"/>
      <x:c r="B376" s="23" t="n"/>
      <x:c r="C376" s="23" t="n"/>
      <x:c r="D376" s="23" t="n"/>
      <x:c r="E376" s="23" t="n"/>
      <x:c r="F376" s="23" t="n"/>
      <x:c r="G376" s="23" t="n"/>
      <x:c r="H376" s="23" t="n"/>
      <x:c r="I376" s="23" t="n"/>
    </x:row>
    <x:row r="377">
      <x:c r="A377" s="6" t="n"/>
      <x:c r="B377" s="23" t="n"/>
      <x:c r="C377" s="23" t="n"/>
      <x:c r="D377" s="23" t="n"/>
      <x:c r="E377" s="23" t="n"/>
      <x:c r="F377" s="23" t="n"/>
      <x:c r="G377" s="23" t="n"/>
      <x:c r="H377" s="23" t="n"/>
      <x:c r="I377" s="23" t="n"/>
    </x:row>
    <x:row r="378">
      <x:c r="A378" s="6" t="n"/>
      <x:c r="B378" s="23" t="n"/>
      <x:c r="C378" s="23" t="n"/>
      <x:c r="D378" s="23" t="n"/>
      <x:c r="E378" s="23" t="n"/>
      <x:c r="F378" s="23" t="n"/>
      <x:c r="G378" s="23" t="n"/>
      <x:c r="H378" s="23" t="n"/>
      <x:c r="I378" s="23" t="n"/>
    </x:row>
    <x:row r="379">
      <x:c r="A379" s="6" t="n"/>
      <x:c r="B379" s="23" t="n"/>
      <x:c r="C379" s="23" t="n"/>
      <x:c r="D379" s="23" t="n"/>
      <x:c r="E379" s="23" t="n"/>
      <x:c r="F379" s="23" t="n"/>
      <x:c r="G379" s="23" t="n"/>
      <x:c r="H379" s="23" t="n"/>
      <x:c r="I379" s="23" t="n"/>
    </x:row>
    <x:row r="380">
      <x:c r="A380" s="6" t="n"/>
      <x:c r="B380" s="23" t="n"/>
      <x:c r="C380" s="23" t="n"/>
      <x:c r="D380" s="23" t="n"/>
      <x:c r="E380" s="23" t="n"/>
      <x:c r="F380" s="23" t="n"/>
      <x:c r="G380" s="23" t="n"/>
      <x:c r="H380" s="23" t="n"/>
      <x:c r="I380" s="23" t="n"/>
    </x:row>
    <x:row r="381">
      <x:c r="A381" s="6" t="n"/>
      <x:c r="B381" s="23" t="n"/>
      <x:c r="C381" s="23" t="n"/>
      <x:c r="D381" s="23" t="n"/>
      <x:c r="E381" s="23" t="n"/>
      <x:c r="F381" s="23" t="n"/>
      <x:c r="G381" s="23" t="n"/>
      <x:c r="H381" s="23" t="n"/>
      <x:c r="I381" s="23" t="n"/>
    </x:row>
    <x:row r="382">
      <x:c r="A382" s="6" t="n"/>
      <x:c r="B382" s="23" t="n"/>
      <x:c r="C382" s="23" t="n"/>
      <x:c r="D382" s="23" t="n"/>
      <x:c r="E382" s="23" t="n"/>
      <x:c r="F382" s="23" t="n"/>
      <x:c r="G382" s="23" t="n"/>
      <x:c r="H382" s="23" t="n"/>
      <x:c r="I382" s="23" t="n"/>
    </x:row>
    <x:row r="383">
      <x:c r="A383" s="6" t="n"/>
      <x:c r="B383" s="23" t="n"/>
      <x:c r="C383" s="23" t="n"/>
      <x:c r="D383" s="23" t="n"/>
      <x:c r="E383" s="23" t="n"/>
      <x:c r="F383" s="23" t="n"/>
      <x:c r="G383" s="23" t="n"/>
      <x:c r="H383" s="23" t="n"/>
      <x:c r="I383" s="23" t="n"/>
    </x:row>
    <x:row r="384">
      <x:c r="A384" s="6" t="n"/>
      <x:c r="B384" s="23" t="n"/>
      <x:c r="C384" s="23" t="n"/>
      <x:c r="D384" s="23" t="n"/>
      <x:c r="E384" s="23" t="n"/>
      <x:c r="F384" s="23" t="n"/>
      <x:c r="G384" s="23" t="n"/>
      <x:c r="H384" s="23" t="n"/>
      <x:c r="I384" s="23" t="n"/>
    </x:row>
    <x:row r="385">
      <x:c r="A385" s="6" t="n"/>
      <x:c r="B385" s="23" t="n"/>
      <x:c r="C385" s="23" t="n"/>
      <x:c r="D385" s="23" t="n"/>
      <x:c r="E385" s="23" t="n"/>
      <x:c r="F385" s="23" t="n"/>
      <x:c r="G385" s="23" t="n"/>
      <x:c r="H385" s="23" t="n"/>
      <x:c r="I385" s="23" t="n"/>
    </x:row>
    <x:row r="386">
      <x:c r="A386" s="6" t="n"/>
      <x:c r="B386" s="23" t="n"/>
      <x:c r="C386" s="23" t="n"/>
      <x:c r="D386" s="23" t="n"/>
      <x:c r="E386" s="23" t="n"/>
      <x:c r="F386" s="23" t="n"/>
      <x:c r="G386" s="23" t="n"/>
      <x:c r="H386" s="23" t="n"/>
      <x:c r="I386" s="23" t="n"/>
    </x:row>
    <x:row r="387">
      <x:c r="A387" s="6" t="n"/>
      <x:c r="B387" s="23" t="n"/>
      <x:c r="C387" s="23" t="n"/>
      <x:c r="D387" s="23" t="n"/>
      <x:c r="E387" s="23" t="n"/>
      <x:c r="F387" s="23" t="n"/>
      <x:c r="G387" s="23" t="n"/>
      <x:c r="H387" s="23" t="n"/>
      <x:c r="I387" s="23" t="n"/>
    </x:row>
    <x:row r="388">
      <x:c r="A388" s="6" t="n"/>
      <x:c r="B388" s="23" t="n"/>
      <x:c r="C388" s="23" t="n"/>
      <x:c r="D388" s="23" t="n"/>
      <x:c r="E388" s="23" t="n"/>
      <x:c r="F388" s="23" t="n"/>
      <x:c r="G388" s="23" t="n"/>
      <x:c r="H388" s="23" t="n"/>
      <x:c r="I388" s="23" t="n"/>
    </x:row>
    <x:row r="389">
      <x:c r="A389" s="6" t="n"/>
      <x:c r="B389" s="23" t="n"/>
      <x:c r="C389" s="23" t="n"/>
      <x:c r="D389" s="23" t="n"/>
      <x:c r="E389" s="23" t="n"/>
      <x:c r="F389" s="23" t="n"/>
      <x:c r="G389" s="23" t="n"/>
      <x:c r="H389" s="23" t="n"/>
      <x:c r="I389" s="23" t="n"/>
    </x:row>
    <x:row r="390">
      <x:c r="A390" s="6" t="n"/>
      <x:c r="B390" s="23" t="n"/>
      <x:c r="C390" s="23" t="n"/>
      <x:c r="D390" s="23" t="n"/>
      <x:c r="E390" s="23" t="n"/>
      <x:c r="F390" s="23" t="n"/>
      <x:c r="G390" s="23" t="n"/>
      <x:c r="H390" s="23" t="n"/>
      <x:c r="I390" s="23" t="n"/>
    </x:row>
    <x:row r="391">
      <x:c r="A391" s="6" t="n"/>
      <x:c r="B391" s="23" t="n"/>
      <x:c r="C391" s="23" t="n"/>
      <x:c r="D391" s="23" t="n"/>
      <x:c r="E391" s="23" t="n"/>
      <x:c r="F391" s="23" t="n"/>
      <x:c r="G391" s="23" t="n"/>
      <x:c r="H391" s="23" t="n"/>
      <x:c r="I391" s="23" t="n"/>
    </x:row>
    <x:row r="392">
      <x:c r="A392" s="6" t="n"/>
      <x:c r="B392" s="23" t="n"/>
      <x:c r="C392" s="23" t="n"/>
      <x:c r="D392" s="23" t="n"/>
      <x:c r="E392" s="23" t="n"/>
      <x:c r="F392" s="23" t="n"/>
      <x:c r="G392" s="23" t="n"/>
      <x:c r="H392" s="23" t="n"/>
      <x:c r="I392" s="23" t="n"/>
    </x:row>
    <x:row r="393">
      <x:c r="A393" s="6" t="n"/>
      <x:c r="B393" s="23" t="n"/>
      <x:c r="C393" s="23" t="n"/>
      <x:c r="D393" s="23" t="n"/>
      <x:c r="E393" s="23" t="n"/>
      <x:c r="F393" s="23" t="n"/>
      <x:c r="G393" s="23" t="n"/>
      <x:c r="H393" s="23" t="n"/>
      <x:c r="I393" s="23" t="n"/>
    </x:row>
    <x:row r="394">
      <x:c r="A394" s="6" t="n"/>
      <x:c r="B394" s="23" t="n"/>
      <x:c r="C394" s="23" t="n"/>
      <x:c r="D394" s="23" t="n"/>
      <x:c r="E394" s="23" t="n"/>
      <x:c r="F394" s="23" t="n"/>
      <x:c r="G394" s="23" t="n"/>
      <x:c r="H394" s="23" t="n"/>
      <x:c r="I394" s="23" t="n"/>
    </x:row>
    <x:row r="395">
      <x:c r="A395" s="6" t="n"/>
      <x:c r="B395" s="23" t="n"/>
      <x:c r="C395" s="23" t="n"/>
      <x:c r="D395" s="23" t="n"/>
      <x:c r="E395" s="23" t="n"/>
      <x:c r="F395" s="23" t="n"/>
      <x:c r="G395" s="23" t="n"/>
      <x:c r="H395" s="23" t="n"/>
      <x:c r="I395" s="23" t="n"/>
    </x:row>
    <x:row r="396">
      <x:c r="A396" s="6" t="n"/>
      <x:c r="B396" s="23" t="n"/>
      <x:c r="C396" s="23" t="n"/>
      <x:c r="D396" s="23" t="n"/>
      <x:c r="E396" s="23" t="n"/>
      <x:c r="F396" s="23" t="n"/>
      <x:c r="G396" s="23" t="n"/>
      <x:c r="H396" s="23" t="n"/>
      <x:c r="I396" s="23" t="n"/>
    </x:row>
    <x:row r="397">
      <x:c r="A397" s="6" t="n"/>
      <x:c r="B397" s="23" t="n"/>
      <x:c r="C397" s="23" t="n"/>
      <x:c r="D397" s="23" t="n"/>
      <x:c r="E397" s="23" t="n"/>
      <x:c r="F397" s="23" t="n"/>
      <x:c r="G397" s="23" t="n"/>
      <x:c r="H397" s="23" t="n"/>
      <x:c r="I397" s="23" t="n"/>
    </x:row>
    <x:row r="398">
      <x:c r="A398" s="6" t="n"/>
      <x:c r="B398" s="23" t="n"/>
      <x:c r="C398" s="23" t="n"/>
      <x:c r="D398" s="23" t="n"/>
      <x:c r="E398" s="23" t="n"/>
      <x:c r="F398" s="23" t="n"/>
      <x:c r="G398" s="23" t="n"/>
      <x:c r="H398" s="23" t="n"/>
      <x:c r="I398" s="23" t="n"/>
    </x:row>
    <x:row r="399">
      <x:c r="A399" s="6" t="n"/>
      <x:c r="B399" s="23" t="n"/>
      <x:c r="C399" s="23" t="n"/>
      <x:c r="D399" s="23" t="n"/>
      <x:c r="E399" s="23" t="n"/>
      <x:c r="F399" s="23" t="n"/>
      <x:c r="G399" s="23" t="n"/>
      <x:c r="H399" s="23" t="n"/>
      <x:c r="I399" s="23" t="n"/>
    </x:row>
    <x:row r="400">
      <x:c r="A400" s="6" t="n"/>
      <x:c r="B400" s="23" t="n"/>
      <x:c r="C400" s="23" t="n"/>
      <x:c r="D400" s="23" t="n"/>
      <x:c r="E400" s="23" t="n"/>
      <x:c r="F400" s="23" t="n"/>
      <x:c r="G400" s="23" t="n"/>
      <x:c r="H400" s="23" t="n"/>
      <x:c r="I400" s="23" t="n"/>
    </x:row>
    <x:row r="401">
      <x:c r="A401" s="6" t="n"/>
      <x:c r="B401" s="23" t="n"/>
      <x:c r="C401" s="23" t="n"/>
      <x:c r="D401" s="23" t="n"/>
      <x:c r="E401" s="23" t="n"/>
      <x:c r="F401" s="23" t="n"/>
      <x:c r="G401" s="23" t="n"/>
      <x:c r="H401" s="23" t="n"/>
      <x:c r="I401" s="23" t="n"/>
    </x:row>
    <x:row r="402">
      <x:c r="A402" s="6" t="n"/>
      <x:c r="B402" s="23" t="n"/>
      <x:c r="C402" s="23" t="n"/>
      <x:c r="D402" s="23" t="n"/>
      <x:c r="E402" s="23" t="n"/>
      <x:c r="F402" s="23" t="n"/>
      <x:c r="G402" s="23" t="n"/>
      <x:c r="H402" s="23" t="n"/>
      <x:c r="I402" s="23" t="n"/>
    </x:row>
    <x:row r="403">
      <x:c r="A403" s="6" t="n"/>
      <x:c r="B403" s="23" t="n"/>
      <x:c r="C403" s="23" t="n"/>
      <x:c r="D403" s="23" t="n"/>
      <x:c r="E403" s="23" t="n"/>
      <x:c r="F403" s="23" t="n"/>
      <x:c r="G403" s="23" t="n"/>
      <x:c r="H403" s="23" t="n"/>
      <x:c r="I403" s="23" t="n"/>
    </x:row>
    <x:row r="404">
      <x:c r="A404" s="6" t="n"/>
      <x:c r="B404" s="23" t="n"/>
      <x:c r="C404" s="23" t="n"/>
      <x:c r="D404" s="23" t="n"/>
      <x:c r="E404" s="23" t="n"/>
      <x:c r="F404" s="23" t="n"/>
      <x:c r="G404" s="23" t="n"/>
      <x:c r="H404" s="23" t="n"/>
      <x:c r="I404" s="23" t="n"/>
    </x:row>
    <x:row r="405">
      <x:c r="A405" s="6" t="n"/>
      <x:c r="B405" s="23" t="n"/>
      <x:c r="C405" s="23" t="n"/>
      <x:c r="D405" s="23" t="n"/>
      <x:c r="E405" s="23" t="n"/>
      <x:c r="F405" s="23" t="n"/>
      <x:c r="G405" s="23" t="n"/>
      <x:c r="H405" s="23" t="n"/>
      <x:c r="I405" s="23" t="n"/>
    </x:row>
    <x:row r="406">
      <x:c r="A406" s="6" t="n"/>
      <x:c r="B406" s="23" t="n"/>
      <x:c r="C406" s="23" t="n"/>
      <x:c r="D406" s="23" t="n"/>
      <x:c r="E406" s="23" t="n"/>
      <x:c r="F406" s="23" t="n"/>
      <x:c r="G406" s="23" t="n"/>
      <x:c r="H406" s="23" t="n"/>
      <x:c r="I406" s="23" t="n"/>
    </x:row>
    <x:row r="407">
      <x:c r="A407" s="6" t="n"/>
      <x:c r="B407" s="23" t="n"/>
      <x:c r="C407" s="23" t="n"/>
      <x:c r="D407" s="23" t="n"/>
      <x:c r="E407" s="23" t="n"/>
      <x:c r="F407" s="23" t="n"/>
      <x:c r="G407" s="23" t="n"/>
      <x:c r="H407" s="23" t="n"/>
      <x:c r="I407" s="23" t="n"/>
    </x:row>
    <x:row r="408">
      <x:c r="A408" s="6" t="n"/>
      <x:c r="B408" s="23" t="n"/>
      <x:c r="C408" s="23" t="n"/>
      <x:c r="D408" s="23" t="n"/>
      <x:c r="E408" s="23" t="n"/>
      <x:c r="F408" s="23" t="n"/>
      <x:c r="G408" s="23" t="n"/>
      <x:c r="H408" s="23" t="n"/>
      <x:c r="I408" s="23" t="n"/>
    </x:row>
    <x:row r="409">
      <x:c r="A409" s="6" t="n"/>
      <x:c r="B409" s="23" t="n"/>
      <x:c r="C409" s="23" t="n"/>
      <x:c r="D409" s="23" t="n"/>
      <x:c r="E409" s="23" t="n"/>
      <x:c r="F409" s="23" t="n"/>
      <x:c r="G409" s="23" t="n"/>
      <x:c r="H409" s="23" t="n"/>
      <x:c r="I409" s="23" t="n"/>
    </x:row>
    <x:row r="410">
      <x:c r="A410" s="6" t="n"/>
      <x:c r="B410" s="23" t="n"/>
      <x:c r="C410" s="23" t="n"/>
      <x:c r="D410" s="23" t="n"/>
      <x:c r="E410" s="23" t="n"/>
      <x:c r="F410" s="23" t="n"/>
      <x:c r="G410" s="23" t="n"/>
      <x:c r="H410" s="23" t="n"/>
      <x:c r="I410" s="23" t="n"/>
    </x:row>
    <x:row r="411">
      <x:c r="A411" s="6" t="n"/>
      <x:c r="B411" s="23" t="n"/>
      <x:c r="C411" s="23" t="n"/>
      <x:c r="D411" s="23" t="n"/>
      <x:c r="E411" s="23" t="n"/>
      <x:c r="F411" s="23" t="n"/>
      <x:c r="G411" s="23" t="n"/>
      <x:c r="H411" s="23" t="n"/>
      <x:c r="I411" s="23" t="n"/>
    </x:row>
    <x:row r="412">
      <x:c r="A412" s="6" t="n"/>
      <x:c r="B412" s="23" t="n"/>
      <x:c r="C412" s="23" t="n"/>
      <x:c r="D412" s="23" t="n"/>
      <x:c r="E412" s="23" t="n"/>
      <x:c r="F412" s="23" t="n"/>
      <x:c r="G412" s="23" t="n"/>
      <x:c r="H412" s="23" t="n"/>
      <x:c r="I412" s="23" t="n"/>
    </x:row>
    <x:row r="413">
      <x:c r="A413" s="6" t="n"/>
      <x:c r="B413" s="23" t="n"/>
      <x:c r="C413" s="23" t="n"/>
      <x:c r="D413" s="23" t="n"/>
      <x:c r="E413" s="23" t="n"/>
      <x:c r="F413" s="23" t="n"/>
      <x:c r="G413" s="23" t="n"/>
      <x:c r="H413" s="23" t="n"/>
      <x:c r="I413" s="23" t="n"/>
    </x:row>
    <x:row r="414">
      <x:c r="A414" s="6" t="n"/>
      <x:c r="B414" s="23" t="n"/>
      <x:c r="C414" s="23" t="n"/>
      <x:c r="D414" s="23" t="n"/>
      <x:c r="E414" s="23" t="n"/>
      <x:c r="F414" s="23" t="n"/>
      <x:c r="G414" s="23" t="n"/>
      <x:c r="H414" s="23" t="n"/>
      <x:c r="I414" s="23" t="n"/>
    </x:row>
    <x:row r="415">
      <x:c r="A415" s="6" t="n"/>
      <x:c r="B415" s="23" t="n"/>
      <x:c r="C415" s="23" t="n"/>
      <x:c r="D415" s="23" t="n"/>
      <x:c r="E415" s="23" t="n"/>
      <x:c r="F415" s="23" t="n"/>
      <x:c r="G415" s="23" t="n"/>
      <x:c r="H415" s="23" t="n"/>
      <x:c r="I415" s="23" t="n"/>
    </x:row>
    <x:row r="416">
      <x:c r="A416" s="6" t="n"/>
      <x:c r="B416" s="23" t="n"/>
      <x:c r="C416" s="23" t="n"/>
      <x:c r="D416" s="23" t="n"/>
      <x:c r="E416" s="23" t="n"/>
      <x:c r="F416" s="23" t="n"/>
      <x:c r="G416" s="23" t="n"/>
      <x:c r="H416" s="23" t="n"/>
      <x:c r="I416" s="23" t="n"/>
    </x:row>
    <x:row r="417">
      <x:c r="A417" s="6" t="n"/>
      <x:c r="B417" s="23" t="n"/>
      <x:c r="C417" s="23" t="n"/>
      <x:c r="D417" s="23" t="n"/>
      <x:c r="E417" s="23" t="n"/>
      <x:c r="F417" s="23" t="n"/>
      <x:c r="G417" s="23" t="n"/>
      <x:c r="H417" s="23" t="n"/>
      <x:c r="I417" s="23" t="n"/>
    </x:row>
    <x:row r="418">
      <x:c r="A418" s="6" t="n"/>
      <x:c r="B418" s="23" t="n"/>
      <x:c r="C418" s="23" t="n"/>
      <x:c r="D418" s="23" t="n"/>
      <x:c r="E418" s="23" t="n"/>
      <x:c r="F418" s="23" t="n"/>
      <x:c r="G418" s="23" t="n"/>
      <x:c r="H418" s="23" t="n"/>
      <x:c r="I418" s="23" t="n"/>
    </x:row>
    <x:row r="419">
      <x:c r="A419" s="6" t="n"/>
      <x:c r="B419" s="23" t="n"/>
      <x:c r="C419" s="23" t="n"/>
      <x:c r="D419" s="23" t="n"/>
      <x:c r="E419" s="23" t="n"/>
      <x:c r="F419" s="23" t="n"/>
      <x:c r="G419" s="23" t="n"/>
      <x:c r="H419" s="23" t="n"/>
      <x:c r="I419" s="23" t="n"/>
    </x:row>
    <x:row r="420">
      <x:c r="A420" s="6" t="n"/>
      <x:c r="B420" s="23" t="n"/>
      <x:c r="C420" s="23" t="n"/>
      <x:c r="D420" s="23" t="n"/>
      <x:c r="E420" s="23" t="n"/>
      <x:c r="F420" s="23" t="n"/>
      <x:c r="G420" s="23" t="n"/>
      <x:c r="H420" s="23" t="n"/>
      <x:c r="I420" s="23" t="n"/>
    </x:row>
    <x:row r="421">
      <x:c r="A421" s="6" t="n"/>
      <x:c r="B421" s="23" t="n"/>
      <x:c r="C421" s="23" t="n"/>
      <x:c r="D421" s="23" t="n"/>
      <x:c r="E421" s="23" t="n"/>
      <x:c r="F421" s="23" t="n"/>
      <x:c r="G421" s="23" t="n"/>
      <x:c r="H421" s="23" t="n"/>
      <x:c r="I421" s="23" t="n"/>
    </x:row>
    <x:row r="422">
      <x:c r="A422" s="6" t="n"/>
      <x:c r="B422" s="23" t="n"/>
      <x:c r="C422" s="23" t="n"/>
      <x:c r="D422" s="23" t="n"/>
      <x:c r="E422" s="23" t="n"/>
      <x:c r="F422" s="23" t="n"/>
      <x:c r="G422" s="23" t="n"/>
      <x:c r="H422" s="23" t="n"/>
      <x:c r="I422" s="23" t="n"/>
    </x:row>
    <x:row r="423">
      <x:c r="A423" s="6" t="n"/>
      <x:c r="B423" s="23" t="n"/>
      <x:c r="C423" s="23" t="n"/>
      <x:c r="D423" s="23" t="n"/>
      <x:c r="E423" s="23" t="n"/>
      <x:c r="F423" s="23" t="n"/>
      <x:c r="G423" s="23" t="n"/>
      <x:c r="H423" s="23" t="n"/>
      <x:c r="I423" s="23" t="n"/>
    </x:row>
    <x:row r="424">
      <x:c r="A424" s="6" t="n"/>
      <x:c r="B424" s="23" t="n"/>
      <x:c r="C424" s="23" t="n"/>
      <x:c r="D424" s="23" t="n"/>
      <x:c r="E424" s="23" t="n"/>
      <x:c r="F424" s="23" t="n"/>
      <x:c r="G424" s="23" t="n"/>
      <x:c r="H424" s="23" t="n"/>
      <x:c r="I424" s="23" t="n"/>
    </x:row>
    <x:row r="425">
      <x:c r="A425" s="6" t="n"/>
      <x:c r="B425" s="23" t="n"/>
      <x:c r="C425" s="23" t="n"/>
      <x:c r="D425" s="23" t="n"/>
      <x:c r="E425" s="23" t="n"/>
      <x:c r="F425" s="23" t="n"/>
      <x:c r="G425" s="23" t="n"/>
      <x:c r="H425" s="23" t="n"/>
      <x:c r="I425" s="23" t="n"/>
    </x:row>
    <x:row r="426">
      <x:c r="A426" s="6" t="n"/>
      <x:c r="B426" s="23" t="n"/>
      <x:c r="C426" s="23" t="n"/>
      <x:c r="D426" s="23" t="n"/>
      <x:c r="E426" s="23" t="n"/>
      <x:c r="F426" s="23" t="n"/>
      <x:c r="G426" s="23" t="n"/>
      <x:c r="H426" s="23" t="n"/>
      <x:c r="I426" s="23" t="n"/>
    </x:row>
    <x:row r="427">
      <x:c r="A427" s="6" t="n"/>
      <x:c r="B427" s="23" t="n"/>
      <x:c r="C427" s="23" t="n"/>
      <x:c r="D427" s="23" t="n"/>
      <x:c r="E427" s="23" t="n"/>
      <x:c r="F427" s="23" t="n"/>
      <x:c r="G427" s="23" t="n"/>
      <x:c r="H427" s="23" t="n"/>
      <x:c r="I427" s="23" t="n"/>
    </x:row>
    <x:row r="428">
      <x:c r="A428" s="6" t="n"/>
      <x:c r="B428" s="23" t="n"/>
      <x:c r="C428" s="23" t="n"/>
      <x:c r="D428" s="23" t="n"/>
      <x:c r="E428" s="23" t="n"/>
      <x:c r="F428" s="23" t="n"/>
      <x:c r="G428" s="23" t="n"/>
      <x:c r="H428" s="23" t="n"/>
      <x:c r="I428" s="23" t="n"/>
    </x:row>
    <x:row r="429">
      <x:c r="A429" s="6" t="n"/>
      <x:c r="B429" s="23" t="n"/>
      <x:c r="C429" s="23" t="n"/>
      <x:c r="D429" s="23" t="n"/>
      <x:c r="E429" s="23" t="n"/>
      <x:c r="F429" s="23" t="n"/>
      <x:c r="G429" s="23" t="n"/>
      <x:c r="H429" s="23" t="n"/>
      <x:c r="I429" s="23" t="n"/>
    </x:row>
    <x:row r="430">
      <x:c r="A430" s="6" t="n"/>
      <x:c r="B430" s="23" t="n"/>
      <x:c r="C430" s="23" t="n"/>
      <x:c r="D430" s="23" t="n"/>
      <x:c r="E430" s="23" t="n"/>
      <x:c r="F430" s="23" t="n"/>
      <x:c r="G430" s="23" t="n"/>
      <x:c r="H430" s="23" t="n"/>
      <x:c r="I430" s="23" t="n"/>
    </x:row>
    <x:row r="431">
      <x:c r="A431" s="6" t="n"/>
      <x:c r="B431" s="23" t="n"/>
      <x:c r="C431" s="23" t="n"/>
      <x:c r="D431" s="23" t="n"/>
      <x:c r="E431" s="23" t="n"/>
      <x:c r="F431" s="23" t="n"/>
      <x:c r="G431" s="23" t="n"/>
      <x:c r="H431" s="23" t="n"/>
      <x:c r="I431" s="23" t="n"/>
    </x:row>
    <x:row r="432">
      <x:c r="A432" s="6" t="n"/>
      <x:c r="B432" s="23" t="n"/>
      <x:c r="C432" s="23" t="n"/>
      <x:c r="D432" s="23" t="n"/>
      <x:c r="E432" s="23" t="n"/>
      <x:c r="F432" s="23" t="n"/>
      <x:c r="G432" s="23" t="n"/>
      <x:c r="H432" s="23" t="n"/>
      <x:c r="I432" s="23" t="n"/>
    </x:row>
    <x:row r="433">
      <x:c r="A433" s="6" t="n"/>
      <x:c r="B433" s="23" t="n"/>
      <x:c r="C433" s="23" t="n"/>
      <x:c r="D433" s="23" t="n"/>
      <x:c r="E433" s="23" t="n"/>
      <x:c r="F433" s="23" t="n"/>
      <x:c r="G433" s="23" t="n"/>
      <x:c r="H433" s="23" t="n"/>
      <x:c r="I433" s="23" t="n"/>
    </x:row>
    <x:row r="434">
      <x:c r="A434" s="6" t="n"/>
      <x:c r="B434" s="23" t="n"/>
      <x:c r="C434" s="23" t="n"/>
      <x:c r="D434" s="23" t="n"/>
      <x:c r="E434" s="23" t="n"/>
      <x:c r="F434" s="23" t="n"/>
      <x:c r="G434" s="23" t="n"/>
      <x:c r="H434" s="23" t="n"/>
      <x:c r="I434" s="23" t="n"/>
    </x:row>
    <x:row r="435">
      <x:c r="A435" s="6" t="n"/>
      <x:c r="B435" s="23" t="n"/>
      <x:c r="C435" s="23" t="n"/>
      <x:c r="D435" s="23" t="n"/>
      <x:c r="E435" s="23" t="n"/>
      <x:c r="F435" s="23" t="n"/>
      <x:c r="G435" s="23" t="n"/>
      <x:c r="H435" s="23" t="n"/>
      <x:c r="I435" s="23" t="n"/>
    </x:row>
    <x:row r="436">
      <x:c r="A436" s="6" t="n"/>
      <x:c r="B436" s="23" t="n"/>
      <x:c r="C436" s="23" t="n"/>
      <x:c r="D436" s="23" t="n"/>
      <x:c r="E436" s="23" t="n"/>
      <x:c r="F436" s="23" t="n"/>
      <x:c r="G436" s="23" t="n"/>
      <x:c r="H436" s="23" t="n"/>
      <x:c r="I436" s="23" t="n"/>
    </x:row>
    <x:row r="437">
      <x:c r="A437" s="6" t="n"/>
      <x:c r="B437" s="23" t="n"/>
      <x:c r="C437" s="23" t="n"/>
      <x:c r="D437" s="23" t="n"/>
      <x:c r="E437" s="23" t="n"/>
      <x:c r="F437" s="23" t="n"/>
      <x:c r="G437" s="23" t="n"/>
      <x:c r="H437" s="23" t="n"/>
      <x:c r="I437" s="23" t="n"/>
    </x:row>
    <x:row r="438">
      <x:c r="A438" s="6" t="n"/>
      <x:c r="B438" s="23" t="n"/>
      <x:c r="C438" s="23" t="n"/>
      <x:c r="D438" s="23" t="n"/>
      <x:c r="E438" s="23" t="n"/>
      <x:c r="F438" s="23" t="n"/>
      <x:c r="G438" s="23" t="n"/>
      <x:c r="H438" s="23" t="n"/>
      <x:c r="I438" s="23" t="n"/>
    </x:row>
    <x:row r="439">
      <x:c r="A439" s="6" t="n"/>
      <x:c r="B439" s="23" t="n"/>
      <x:c r="C439" s="23" t="n"/>
      <x:c r="D439" s="23" t="n"/>
      <x:c r="E439" s="23" t="n"/>
      <x:c r="F439" s="23" t="n"/>
      <x:c r="G439" s="23" t="n"/>
      <x:c r="H439" s="23" t="n"/>
      <x:c r="I439" s="23" t="n"/>
    </x:row>
    <x:row r="440">
      <x:c r="A440" s="6" t="n"/>
      <x:c r="B440" s="23" t="n"/>
      <x:c r="C440" s="23" t="n"/>
      <x:c r="D440" s="23" t="n"/>
      <x:c r="E440" s="23" t="n"/>
      <x:c r="F440" s="23" t="n"/>
      <x:c r="G440" s="23" t="n"/>
      <x:c r="H440" s="23" t="n"/>
      <x:c r="I440" s="23" t="n"/>
    </x:row>
    <x:row r="441">
      <x:c r="A441" s="6" t="n"/>
      <x:c r="B441" s="23" t="n"/>
      <x:c r="C441" s="23" t="n"/>
      <x:c r="D441" s="23" t="n"/>
      <x:c r="E441" s="23" t="n"/>
      <x:c r="F441" s="23" t="n"/>
      <x:c r="G441" s="23" t="n"/>
      <x:c r="H441" s="23" t="n"/>
      <x:c r="I441" s="23" t="n"/>
    </x:row>
    <x:row r="442">
      <x:c r="A442" s="6" t="n"/>
      <x:c r="B442" s="23" t="n"/>
      <x:c r="C442" s="23" t="n"/>
      <x:c r="D442" s="23" t="n"/>
      <x:c r="E442" s="23" t="n"/>
      <x:c r="F442" s="23" t="n"/>
      <x:c r="G442" s="23" t="n"/>
      <x:c r="H442" s="23" t="n"/>
      <x:c r="I442" s="23" t="n"/>
    </x:row>
    <x:row r="443">
      <x:c r="A443" s="6" t="n"/>
      <x:c r="B443" s="23" t="n"/>
      <x:c r="C443" s="23" t="n"/>
      <x:c r="D443" s="23" t="n"/>
      <x:c r="E443" s="23" t="n"/>
      <x:c r="F443" s="23" t="n"/>
      <x:c r="G443" s="23" t="n"/>
      <x:c r="H443" s="23" t="n"/>
      <x:c r="I443" s="23" t="n"/>
    </x:row>
    <x:row r="444">
      <x:c r="A444" s="6" t="n"/>
      <x:c r="B444" s="23" t="n"/>
      <x:c r="C444" s="23" t="n"/>
      <x:c r="D444" s="23" t="n"/>
      <x:c r="E444" s="23" t="n"/>
      <x:c r="F444" s="23" t="n"/>
      <x:c r="G444" s="23" t="n"/>
      <x:c r="H444" s="23" t="n"/>
      <x:c r="I444" s="23" t="n"/>
    </x:row>
    <x:row r="445">
      <x:c r="A445" s="6" t="n"/>
      <x:c r="B445" s="23" t="n"/>
      <x:c r="C445" s="23" t="n"/>
      <x:c r="D445" s="23" t="n"/>
      <x:c r="E445" s="23" t="n"/>
      <x:c r="F445" s="23" t="n"/>
      <x:c r="G445" s="23" t="n"/>
      <x:c r="H445" s="23" t="n"/>
      <x:c r="I445" s="23" t="n"/>
    </x:row>
    <x:row r="446">
      <x:c r="A446" s="6" t="n"/>
      <x:c r="B446" s="23" t="n"/>
      <x:c r="C446" s="23" t="n"/>
      <x:c r="D446" s="23" t="n"/>
      <x:c r="E446" s="23" t="n"/>
      <x:c r="F446" s="23" t="n"/>
      <x:c r="G446" s="23" t="n"/>
      <x:c r="H446" s="23" t="n"/>
      <x:c r="I446" s="23" t="n"/>
    </x:row>
    <x:row r="447">
      <x:c r="A447" s="6" t="n"/>
      <x:c r="B447" s="23" t="n"/>
      <x:c r="C447" s="23" t="n"/>
      <x:c r="D447" s="23" t="n"/>
      <x:c r="E447" s="23" t="n"/>
      <x:c r="F447" s="23" t="n"/>
      <x:c r="G447" s="23" t="n"/>
      <x:c r="H447" s="23" t="n"/>
      <x:c r="I447" s="23" t="n"/>
    </x:row>
    <x:row r="448">
      <x:c r="A448" s="6" t="n"/>
      <x:c r="B448" s="23" t="n"/>
      <x:c r="C448" s="23" t="n"/>
      <x:c r="D448" s="23" t="n"/>
      <x:c r="E448" s="23" t="n"/>
      <x:c r="F448" s="23" t="n"/>
      <x:c r="G448" s="23" t="n"/>
      <x:c r="H448" s="23" t="n"/>
      <x:c r="I448" s="23" t="n"/>
    </x:row>
    <x:row r="449">
      <x:c r="A449" s="6" t="n"/>
      <x:c r="B449" s="23" t="n"/>
      <x:c r="C449" s="23" t="n"/>
      <x:c r="D449" s="23" t="n"/>
      <x:c r="E449" s="23" t="n"/>
      <x:c r="F449" s="23" t="n"/>
      <x:c r="G449" s="23" t="n"/>
      <x:c r="H449" s="23" t="n"/>
      <x:c r="I449" s="23" t="n"/>
    </x:row>
    <x:row r="450">
      <x:c r="A450" s="6" t="n"/>
      <x:c r="B450" s="23" t="n"/>
      <x:c r="C450" s="23" t="n"/>
      <x:c r="D450" s="23" t="n"/>
      <x:c r="E450" s="23" t="n"/>
      <x:c r="F450" s="23" t="n"/>
      <x:c r="G450" s="23" t="n"/>
      <x:c r="H450" s="23" t="n"/>
      <x:c r="I450" s="23" t="n"/>
    </x:row>
    <x:row r="451">
      <x:c r="A451" s="6" t="n"/>
      <x:c r="B451" s="23" t="n"/>
      <x:c r="C451" s="23" t="n"/>
      <x:c r="D451" s="23" t="n"/>
      <x:c r="E451" s="23" t="n"/>
      <x:c r="F451" s="23" t="n"/>
      <x:c r="G451" s="23" t="n"/>
      <x:c r="H451" s="23" t="n"/>
      <x:c r="I451" s="23" t="n"/>
    </x:row>
    <x:row r="452">
      <x:c r="A452" s="6" t="n"/>
      <x:c r="B452" s="23" t="n"/>
      <x:c r="C452" s="23" t="n"/>
      <x:c r="D452" s="23" t="n"/>
      <x:c r="E452" s="23" t="n"/>
      <x:c r="F452" s="23" t="n"/>
      <x:c r="G452" s="23" t="n"/>
      <x:c r="H452" s="23" t="n"/>
      <x:c r="I452" s="23" t="n"/>
    </x:row>
    <x:row r="453">
      <x:c r="A453" s="6" t="n"/>
      <x:c r="B453" s="23" t="n"/>
      <x:c r="C453" s="23" t="n"/>
      <x:c r="D453" s="23" t="n"/>
      <x:c r="E453" s="23" t="n"/>
      <x:c r="F453" s="23" t="n"/>
      <x:c r="G453" s="23" t="n"/>
      <x:c r="H453" s="23" t="n"/>
      <x:c r="I453" s="23" t="n"/>
    </x:row>
    <x:row r="454">
      <x:c r="A454" s="6" t="n"/>
      <x:c r="B454" s="23" t="n"/>
      <x:c r="C454" s="23" t="n"/>
      <x:c r="D454" s="23" t="n"/>
      <x:c r="E454" s="23" t="n"/>
      <x:c r="F454" s="23" t="n"/>
      <x:c r="G454" s="23" t="n"/>
      <x:c r="H454" s="23" t="n"/>
      <x:c r="I454" s="23" t="n"/>
    </x:row>
    <x:row r="455">
      <x:c r="A455" s="6" t="n"/>
      <x:c r="B455" s="23" t="n"/>
      <x:c r="C455" s="23" t="n"/>
      <x:c r="D455" s="23" t="n"/>
      <x:c r="E455" s="23" t="n"/>
      <x:c r="F455" s="23" t="n"/>
      <x:c r="G455" s="23" t="n"/>
      <x:c r="H455" s="23" t="n"/>
      <x:c r="I455" s="23" t="n"/>
    </x:row>
    <x:row r="456">
      <x:c r="A456" s="6" t="n"/>
      <x:c r="B456" s="23" t="n"/>
      <x:c r="C456" s="23" t="n"/>
      <x:c r="D456" s="23" t="n"/>
      <x:c r="E456" s="23" t="n"/>
      <x:c r="F456" s="23" t="n"/>
      <x:c r="G456" s="23" t="n"/>
      <x:c r="H456" s="23" t="n"/>
      <x:c r="I456" s="23" t="n"/>
    </x:row>
    <x:row r="457">
      <x:c r="A457" s="6" t="n"/>
      <x:c r="B457" s="23" t="n"/>
      <x:c r="C457" s="23" t="n"/>
      <x:c r="D457" s="23" t="n"/>
      <x:c r="E457" s="23" t="n"/>
      <x:c r="F457" s="23" t="n"/>
      <x:c r="G457" s="23" t="n"/>
      <x:c r="H457" s="23" t="n"/>
      <x:c r="I457" s="23" t="n"/>
    </x:row>
    <x:row r="458">
      <x:c r="A458" s="6" t="n"/>
      <x:c r="B458" s="23" t="n"/>
      <x:c r="C458" s="23" t="n"/>
      <x:c r="D458" s="23" t="n"/>
      <x:c r="E458" s="23" t="n"/>
      <x:c r="F458" s="23" t="n"/>
      <x:c r="G458" s="23" t="n"/>
      <x:c r="H458" s="23" t="n"/>
      <x:c r="I458" s="23" t="n"/>
    </x:row>
    <x:row r="459">
      <x:c r="A459" s="6" t="n"/>
      <x:c r="B459" s="23" t="n"/>
      <x:c r="C459" s="23" t="n"/>
      <x:c r="D459" s="23" t="n"/>
      <x:c r="E459" s="23" t="n"/>
      <x:c r="F459" s="23" t="n"/>
      <x:c r="G459" s="23" t="n"/>
      <x:c r="H459" s="23" t="n"/>
      <x:c r="I459" s="23" t="n"/>
    </x:row>
    <x:row r="460">
      <x:c r="A460" s="6" t="n"/>
      <x:c r="B460" s="23" t="n"/>
      <x:c r="C460" s="23" t="n"/>
      <x:c r="D460" s="23" t="n"/>
      <x:c r="E460" s="23" t="n"/>
      <x:c r="F460" s="23" t="n"/>
      <x:c r="G460" s="23" t="n"/>
      <x:c r="H460" s="23" t="n"/>
      <x:c r="I460" s="23" t="n"/>
    </x:row>
    <x:row r="461">
      <x:c r="A461" s="6" t="n"/>
      <x:c r="B461" s="23" t="n"/>
      <x:c r="C461" s="23" t="n"/>
      <x:c r="D461" s="23" t="n"/>
      <x:c r="E461" s="23" t="n"/>
      <x:c r="F461" s="23" t="n"/>
      <x:c r="G461" s="23" t="n"/>
      <x:c r="H461" s="23" t="n"/>
      <x:c r="I461" s="23" t="n"/>
    </x:row>
    <x:row r="462">
      <x:c r="A462" s="6" t="n"/>
      <x:c r="B462" s="23" t="n"/>
      <x:c r="C462" s="23" t="n"/>
      <x:c r="D462" s="23" t="n"/>
      <x:c r="E462" s="23" t="n"/>
      <x:c r="F462" s="23" t="n"/>
      <x:c r="G462" s="23" t="n"/>
      <x:c r="H462" s="23" t="n"/>
      <x:c r="I462" s="23" t="n"/>
    </x:row>
    <x:row r="463">
      <x:c r="A463" s="6" t="n"/>
      <x:c r="B463" s="23" t="n"/>
      <x:c r="C463" s="23" t="n"/>
      <x:c r="D463" s="23" t="n"/>
      <x:c r="E463" s="23" t="n"/>
      <x:c r="F463" s="23" t="n"/>
      <x:c r="G463" s="23" t="n"/>
      <x:c r="H463" s="23" t="n"/>
      <x:c r="I463" s="23" t="n"/>
    </x:row>
    <x:row r="464">
      <x:c r="A464" s="6" t="n"/>
      <x:c r="B464" s="23" t="n"/>
      <x:c r="C464" s="23" t="n"/>
      <x:c r="D464" s="23" t="n"/>
      <x:c r="E464" s="23" t="n"/>
      <x:c r="F464" s="23" t="n"/>
      <x:c r="G464" s="23" t="n"/>
      <x:c r="H464" s="23" t="n"/>
      <x:c r="I464" s="23" t="n"/>
    </x:row>
    <x:row r="465">
      <x:c r="A465" s="6" t="n"/>
      <x:c r="B465" s="23" t="n"/>
      <x:c r="C465" s="23" t="n"/>
      <x:c r="D465" s="23" t="n"/>
      <x:c r="E465" s="23" t="n"/>
      <x:c r="F465" s="23" t="n"/>
      <x:c r="G465" s="23" t="n"/>
      <x:c r="H465" s="23" t="n"/>
      <x:c r="I465" s="23" t="n"/>
    </x:row>
    <x:row r="466">
      <x:c r="A466" s="6" t="n"/>
      <x:c r="B466" s="23" t="n"/>
      <x:c r="C466" s="23" t="n"/>
      <x:c r="D466" s="23" t="n"/>
      <x:c r="E466" s="23" t="n"/>
      <x:c r="F466" s="23" t="n"/>
      <x:c r="G466" s="23" t="n"/>
      <x:c r="H466" s="23" t="n"/>
      <x:c r="I466" s="23" t="n"/>
    </x:row>
    <x:row r="467">
      <x:c r="A467" s="6" t="n"/>
      <x:c r="B467" s="23" t="n"/>
      <x:c r="C467" s="23" t="n"/>
      <x:c r="D467" s="23" t="n"/>
      <x:c r="E467" s="23" t="n"/>
      <x:c r="F467" s="23" t="n"/>
      <x:c r="G467" s="23" t="n"/>
      <x:c r="H467" s="23" t="n"/>
      <x:c r="I467" s="23" t="n"/>
    </x:row>
    <x:row r="468">
      <x:c r="A468" s="6" t="n"/>
      <x:c r="B468" s="23" t="n"/>
      <x:c r="C468" s="23" t="n"/>
      <x:c r="D468" s="23" t="n"/>
      <x:c r="E468" s="23" t="n"/>
      <x:c r="F468" s="23" t="n"/>
      <x:c r="G468" s="23" t="n"/>
      <x:c r="H468" s="23" t="n"/>
      <x:c r="I468" s="23" t="n"/>
    </x:row>
    <x:row r="469">
      <x:c r="A469" s="6" t="n"/>
      <x:c r="B469" s="23" t="n"/>
      <x:c r="C469" s="23" t="n"/>
      <x:c r="D469" s="23" t="n"/>
      <x:c r="E469" s="23" t="n"/>
      <x:c r="F469" s="23" t="n"/>
      <x:c r="G469" s="23" t="n"/>
      <x:c r="H469" s="23" t="n"/>
      <x:c r="I469" s="23" t="n"/>
    </x:row>
    <x:row r="470">
      <x:c r="A470" s="6" t="n"/>
      <x:c r="B470" s="23" t="n"/>
      <x:c r="C470" s="23" t="n"/>
      <x:c r="D470" s="23" t="n"/>
      <x:c r="E470" s="23" t="n"/>
      <x:c r="F470" s="23" t="n"/>
      <x:c r="G470" s="23" t="n"/>
      <x:c r="H470" s="23" t="n"/>
      <x:c r="I470" s="23" t="n"/>
    </x:row>
    <x:row r="471">
      <x:c r="A471" s="6" t="n"/>
      <x:c r="B471" s="23" t="n"/>
      <x:c r="C471" s="23" t="n"/>
      <x:c r="D471" s="23" t="n"/>
      <x:c r="E471" s="23" t="n"/>
      <x:c r="F471" s="23" t="n"/>
      <x:c r="G471" s="23" t="n"/>
      <x:c r="H471" s="23" t="n"/>
      <x:c r="I471" s="23" t="n"/>
    </x:row>
    <x:row r="472">
      <x:c r="A472" s="6" t="n"/>
      <x:c r="B472" s="23" t="n"/>
      <x:c r="C472" s="23" t="n"/>
      <x:c r="D472" s="23" t="n"/>
      <x:c r="E472" s="23" t="n"/>
      <x:c r="F472" s="23" t="n"/>
      <x:c r="G472" s="23" t="n"/>
      <x:c r="H472" s="23" t="n"/>
      <x:c r="I472" s="23" t="n"/>
    </x:row>
    <x:row r="473">
      <x:c r="A473" s="6" t="n"/>
      <x:c r="B473" s="23" t="n"/>
      <x:c r="C473" s="23" t="n"/>
      <x:c r="D473" s="23" t="n"/>
      <x:c r="E473" s="23" t="n"/>
      <x:c r="F473" s="23" t="n"/>
      <x:c r="G473" s="23" t="n"/>
      <x:c r="H473" s="23" t="n"/>
      <x:c r="I473" s="23" t="n"/>
    </x:row>
    <x:row r="474">
      <x:c r="A474" s="6" t="n"/>
      <x:c r="B474" s="23" t="n"/>
      <x:c r="C474" s="23" t="n"/>
      <x:c r="D474" s="23" t="n"/>
      <x:c r="E474" s="23" t="n"/>
      <x:c r="F474" s="23" t="n"/>
      <x:c r="G474" s="23" t="n"/>
      <x:c r="H474" s="23" t="n"/>
      <x:c r="I474" s="23" t="n"/>
    </x:row>
    <x:row r="475">
      <x:c r="A475" s="6" t="n"/>
      <x:c r="B475" s="23" t="n"/>
      <x:c r="C475" s="23" t="n"/>
      <x:c r="D475" s="23" t="n"/>
      <x:c r="E475" s="23" t="n"/>
      <x:c r="F475" s="23" t="n"/>
      <x:c r="G475" s="23" t="n"/>
      <x:c r="H475" s="23" t="n"/>
      <x:c r="I475" s="23" t="n"/>
    </x:row>
    <x:row r="476">
      <x:c r="A476" s="6" t="n"/>
      <x:c r="B476" s="23" t="n"/>
      <x:c r="C476" s="23" t="n"/>
      <x:c r="D476" s="23" t="n"/>
      <x:c r="E476" s="23" t="n"/>
      <x:c r="F476" s="23" t="n"/>
      <x:c r="G476" s="23" t="n"/>
      <x:c r="H476" s="23" t="n"/>
      <x:c r="I476" s="23" t="n"/>
    </x:row>
    <x:row r="477">
      <x:c r="A477" s="6" t="n"/>
      <x:c r="B477" s="23" t="n"/>
      <x:c r="C477" s="23" t="n"/>
      <x:c r="D477" s="23" t="n"/>
      <x:c r="E477" s="23" t="n"/>
      <x:c r="F477" s="23" t="n"/>
      <x:c r="G477" s="23" t="n"/>
      <x:c r="H477" s="23" t="n"/>
      <x:c r="I477" s="23" t="n"/>
    </x:row>
    <x:row r="478">
      <x:c r="A478" s="6" t="n"/>
      <x:c r="B478" s="23" t="n"/>
      <x:c r="C478" s="23" t="n"/>
      <x:c r="D478" s="23" t="n"/>
      <x:c r="E478" s="23" t="n"/>
      <x:c r="F478" s="23" t="n"/>
      <x:c r="G478" s="23" t="n"/>
      <x:c r="H478" s="23" t="n"/>
      <x:c r="I478" s="23" t="n"/>
    </x:row>
    <x:row r="479">
      <x:c r="A479" s="6" t="n"/>
      <x:c r="B479" s="23" t="n"/>
      <x:c r="C479" s="23" t="n"/>
      <x:c r="D479" s="23" t="n"/>
      <x:c r="E479" s="23" t="n"/>
      <x:c r="F479" s="23" t="n"/>
      <x:c r="G479" s="23" t="n"/>
      <x:c r="H479" s="23" t="n"/>
      <x:c r="I479" s="23" t="n"/>
    </x:row>
    <x:row r="480">
      <x:c r="A480" s="6" t="n"/>
      <x:c r="B480" s="23" t="n"/>
      <x:c r="C480" s="23" t="n"/>
      <x:c r="D480" s="23" t="n"/>
      <x:c r="E480" s="23" t="n"/>
      <x:c r="F480" s="23" t="n"/>
      <x:c r="G480" s="23" t="n"/>
      <x:c r="H480" s="23" t="n"/>
      <x:c r="I480" s="23" t="n"/>
    </x:row>
    <x:row r="481">
      <x:c r="A481" s="6" t="n"/>
      <x:c r="B481" s="23" t="n"/>
      <x:c r="C481" s="23" t="n"/>
      <x:c r="D481" s="23" t="n"/>
      <x:c r="E481" s="23" t="n"/>
      <x:c r="F481" s="23" t="n"/>
      <x:c r="G481" s="23" t="n"/>
      <x:c r="H481" s="23" t="n"/>
      <x:c r="I481" s="23" t="n"/>
    </x:row>
    <x:row r="482">
      <x:c r="A482" s="6" t="n"/>
      <x:c r="B482" s="23" t="n"/>
      <x:c r="C482" s="23" t="n"/>
      <x:c r="D482" s="23" t="n"/>
      <x:c r="E482" s="23" t="n"/>
      <x:c r="F482" s="23" t="n"/>
      <x:c r="G482" s="23" t="n"/>
      <x:c r="H482" s="23" t="n"/>
      <x:c r="I482" s="23" t="n"/>
    </x:row>
    <x:row r="483">
      <x:c r="A483" s="6" t="n"/>
      <x:c r="B483" s="23" t="n"/>
      <x:c r="C483" s="23" t="n"/>
      <x:c r="D483" s="23" t="n"/>
      <x:c r="E483" s="23" t="n"/>
      <x:c r="F483" s="23" t="n"/>
      <x:c r="G483" s="23" t="n"/>
      <x:c r="H483" s="23" t="n"/>
      <x:c r="I483" s="23" t="n"/>
    </x:row>
    <x:row r="484">
      <x:c r="A484" s="6" t="n"/>
      <x:c r="B484" s="23" t="n"/>
      <x:c r="C484" s="23" t="n"/>
      <x:c r="D484" s="23" t="n"/>
      <x:c r="E484" s="23" t="n"/>
      <x:c r="F484" s="23" t="n"/>
      <x:c r="G484" s="23" t="n"/>
      <x:c r="H484" s="23" t="n"/>
      <x:c r="I484" s="23" t="n"/>
    </x:row>
    <x:row r="485">
      <x:c r="A485" s="6" t="n"/>
      <x:c r="B485" s="23" t="n"/>
      <x:c r="C485" s="23" t="n"/>
      <x:c r="D485" s="23" t="n"/>
      <x:c r="E485" s="23" t="n"/>
      <x:c r="F485" s="23" t="n"/>
      <x:c r="G485" s="23" t="n"/>
      <x:c r="H485" s="23" t="n"/>
      <x:c r="I485" s="23" t="n"/>
    </x:row>
    <x:row r="486">
      <x:c r="A486" s="6" t="n"/>
      <x:c r="B486" s="23" t="n"/>
      <x:c r="C486" s="23" t="n"/>
      <x:c r="D486" s="23" t="n"/>
      <x:c r="E486" s="23" t="n"/>
      <x:c r="F486" s="23" t="n"/>
      <x:c r="G486" s="23" t="n"/>
      <x:c r="H486" s="23" t="n"/>
      <x:c r="I486" s="23" t="n"/>
    </x:row>
    <x:row r="487">
      <x:c r="A487" s="6" t="n"/>
      <x:c r="B487" s="23" t="n"/>
      <x:c r="C487" s="23" t="n"/>
      <x:c r="D487" s="23" t="n"/>
      <x:c r="E487" s="23" t="n"/>
      <x:c r="F487" s="23" t="n"/>
      <x:c r="G487" s="23" t="n"/>
      <x:c r="H487" s="23" t="n"/>
      <x:c r="I487" s="23" t="n"/>
    </x:row>
    <x:row r="488">
      <x:c r="A488" s="6" t="n"/>
      <x:c r="B488" s="23" t="n"/>
      <x:c r="C488" s="23" t="n"/>
      <x:c r="D488" s="23" t="n"/>
      <x:c r="E488" s="23" t="n"/>
      <x:c r="F488" s="23" t="n"/>
      <x:c r="G488" s="23" t="n"/>
      <x:c r="H488" s="23" t="n"/>
      <x:c r="I488" s="23" t="n"/>
    </x:row>
    <x:row r="489">
      <x:c r="A489" s="6" t="n"/>
      <x:c r="B489" s="23" t="n"/>
      <x:c r="C489" s="23" t="n"/>
      <x:c r="D489" s="23" t="n"/>
      <x:c r="E489" s="23" t="n"/>
      <x:c r="F489" s="23" t="n"/>
      <x:c r="G489" s="23" t="n"/>
      <x:c r="H489" s="23" t="n"/>
      <x:c r="I489" s="23" t="n"/>
    </x:row>
    <x:row r="490">
      <x:c r="A490" s="6" t="n"/>
      <x:c r="B490" s="23" t="n"/>
      <x:c r="C490" s="23" t="n"/>
      <x:c r="D490" s="23" t="n"/>
      <x:c r="E490" s="23" t="n"/>
      <x:c r="F490" s="23" t="n"/>
      <x:c r="G490" s="23" t="n"/>
      <x:c r="H490" s="23" t="n"/>
      <x:c r="I490" s="23" t="n"/>
    </x:row>
    <x:row r="491">
      <x:c r="A491" s="6" t="n"/>
      <x:c r="B491" s="23" t="n"/>
      <x:c r="C491" s="23" t="n"/>
      <x:c r="D491" s="23" t="n"/>
      <x:c r="E491" s="23" t="n"/>
      <x:c r="F491" s="23" t="n"/>
      <x:c r="G491" s="23" t="n"/>
      <x:c r="H491" s="23" t="n"/>
      <x:c r="I491" s="23" t="n"/>
    </x:row>
    <x:row r="492">
      <x:c r="A492" s="6" t="n"/>
      <x:c r="B492" s="23" t="n"/>
      <x:c r="C492" s="23" t="n"/>
      <x:c r="D492" s="23" t="n"/>
      <x:c r="E492" s="23" t="n"/>
      <x:c r="F492" s="23" t="n"/>
      <x:c r="G492" s="23" t="n"/>
      <x:c r="H492" s="23" t="n"/>
      <x:c r="I492" s="23" t="n"/>
    </x:row>
    <x:row r="493">
      <x:c r="A493" s="6" t="n"/>
      <x:c r="B493" s="23" t="n"/>
      <x:c r="C493" s="23" t="n"/>
      <x:c r="D493" s="23" t="n"/>
      <x:c r="E493" s="23" t="n"/>
      <x:c r="F493" s="23" t="n"/>
      <x:c r="G493" s="23" t="n"/>
      <x:c r="H493" s="23" t="n"/>
      <x:c r="I493" s="23" t="n"/>
    </x:row>
    <x:row r="494">
      <x:c r="A494" s="6" t="n"/>
      <x:c r="B494" s="23" t="n"/>
      <x:c r="C494" s="23" t="n"/>
      <x:c r="D494" s="23" t="n"/>
      <x:c r="E494" s="23" t="n"/>
      <x:c r="F494" s="23" t="n"/>
      <x:c r="G494" s="23" t="n"/>
      <x:c r="H494" s="23" t="n"/>
      <x:c r="I494" s="23" t="n"/>
    </x:row>
    <x:row r="495">
      <x:c r="A495" s="6" t="n"/>
      <x:c r="B495" s="23" t="n"/>
      <x:c r="C495" s="23" t="n"/>
      <x:c r="D495" s="23" t="n"/>
      <x:c r="E495" s="23" t="n"/>
      <x:c r="F495" s="23" t="n"/>
      <x:c r="G495" s="23" t="n"/>
      <x:c r="H495" s="23" t="n"/>
      <x:c r="I495" s="23" t="n"/>
    </x:row>
    <x:row r="496">
      <x:c r="A496" s="6" t="n"/>
      <x:c r="B496" s="23" t="n"/>
      <x:c r="C496" s="23" t="n"/>
      <x:c r="D496" s="23" t="n"/>
      <x:c r="E496" s="23" t="n"/>
      <x:c r="F496" s="23" t="n"/>
      <x:c r="G496" s="23" t="n"/>
      <x:c r="H496" s="23" t="n"/>
      <x:c r="I496" s="23" t="n"/>
    </x:row>
    <x:row r="497">
      <x:c r="A497" s="6" t="n"/>
      <x:c r="B497" s="23" t="n"/>
      <x:c r="C497" s="23" t="n"/>
      <x:c r="D497" s="23" t="n"/>
      <x:c r="E497" s="23" t="n"/>
      <x:c r="F497" s="23" t="n"/>
      <x:c r="G497" s="23" t="n"/>
      <x:c r="H497" s="23" t="n"/>
      <x:c r="I497" s="23" t="n"/>
    </x:row>
    <x:row r="498">
      <x:c r="A498" s="23" t="n"/>
      <x:c r="B498" s="23" t="n"/>
      <x:c r="C498" s="23" t="n"/>
      <x:c r="D498" s="23" t="n"/>
      <x:c r="E498" s="23" t="n"/>
      <x:c r="F498" s="23" t="n"/>
      <x:c r="G498" s="23" t="n"/>
      <x:c r="H498" s="23" t="n"/>
      <x:c r="I498" s="23" t="n"/>
    </x:row>
    <x:row r="499">
      <x:c r="A499" s="23" t="n"/>
      <x:c r="B499" s="23" t="n"/>
      <x:c r="C499" s="23" t="n"/>
      <x:c r="D499" s="23" t="n"/>
      <x:c r="E499" s="23" t="n"/>
      <x:c r="F499" s="23" t="n"/>
      <x:c r="G499" s="23" t="n"/>
      <x:c r="H499" s="23" t="n"/>
      <x:c r="I499" s="23" t="n"/>
    </x:row>
    <x:row r="500">
      <x:c r="A500" s="23" t="n"/>
      <x:c r="B500" s="23" t="n"/>
      <x:c r="C500" s="23" t="n"/>
      <x:c r="D500" s="23" t="n"/>
      <x:c r="E500" s="23" t="n"/>
      <x:c r="F500" s="23" t="n"/>
      <x:c r="G500" s="23" t="n"/>
      <x:c r="H500" s="23" t="n"/>
      <x:c r="I500" s="23" t="n"/>
    </x:row>
  </x:sheetData>
  <x:dataValidations count="2">
    <x:dataValidation type="list" allowBlank="0" showDropDown="0" showInputMessage="0" showErrorMessage="0" sqref="G2:G497">
      <x:formula1>"Positivo,Neutro,Negativo"</x:formula1>
    </x:dataValidation>
    <x:dataValidation type="list" allowBlank="0" showDropDown="0" showInputMessage="0" showErrorMessage="0" sqref="H2:H497">
      <x:formula1>"Baixo,Médio,Alto"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96d8c260d834e4f"/>
  </x:tableParts>
</x:worksheet>
</file>

<file path=xl/worksheets/sheet7.xml><?xml version="1.0" encoding="utf-8"?>
<x:worksheet xmlns:x="http://schemas.openxmlformats.org/spreadsheetml/2006/main">
  <x:sheetFormatPr baseColWidth="8" defaultRowHeight="14.25"/>
  <x:cols>
    <x:col min="1" max="8" width="16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Latitude</x:t>
        </x:is>
      </x:c>
      <x:c r="D1" s="4" t="inlineStr">
        <x:is>
          <x:t xml:space="preserve">Longitude</x:t>
        </x:is>
      </x:c>
      <x:c r="E1" s="4" t="inlineStr">
        <x:is>
          <x:t xml:space="preserve">IAC</x:t>
        </x:is>
      </x:c>
      <x:c r="F1" s="4" t="inlineStr">
        <x:is>
          <x:t xml:space="preserve">INP</x:t>
        </x:is>
      </x:c>
      <x:c r="G1" s="4" t="inlineStr">
        <x:is>
          <x:t xml:space="preserve">Eventos</x:t>
        </x:is>
      </x:c>
      <x:c r="H1" s="4" t="inlineStr">
        <x:is>
          <x:t xml:space="preserve">Público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14" t="n">
        <x:v>-22.9068</x:v>
      </x:c>
      <x:c r="D2" s="14" t="n">
        <x:v>-43.1729</x:v>
      </x:c>
      <x:c r="E2" s="14" t="e">
        <x:f>_xludf.XLOOKUP(A2,'04_Radar_IAC'!A:A,'04_Radar_IAC'!J:J,0)</x:f>
        <x:v>#NAME?</x:v>
      </x:c>
      <x:c r="F2" s="14" t="e">
        <x:f>_xludf.XLOOKUP(A2,'05_Radar_INP'!A:A,'05_Radar_INP'!J:J,0)</x:f>
        <x:v>#NAME?</x:v>
      </x:c>
      <x:c r="G2" s="23" t="n">
        <x:f>COUNTIF('02_Eventos'!E:E,A2)</x:f>
        <x:v>14</x:v>
      </x:c>
      <x:c r="H2" s="23" t="n">
        <x:f>SUMIF('02_Eventos'!E:E,A2,'02_Eventos'!H:H)</x:f>
        <x:v>500</x:v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14" t="n">
        <x:v>-23.5505</x:v>
      </x:c>
      <x:c r="D3" s="14" t="n">
        <x:v>-46.6333</x:v>
      </x:c>
      <x:c r="E3" s="14" t="e">
        <x:f>_xludf.XLOOKUP(A3,'04_Radar_IAC'!A:A,'04_Radar_IAC'!J:J,0)</x:f>
        <x:v>#NAME?</x:v>
      </x:c>
      <x:c r="F3" s="14" t="e">
        <x:f>_xludf.XLOOKUP(A3,'05_Radar_INP'!A:A,'05_Radar_INP'!J:J,0)</x:f>
        <x:v>#NAME?</x:v>
      </x:c>
      <x:c r="G3" s="23" t="n">
        <x:f>COUNTIF('02_Eventos'!E:E,A3)</x:f>
        <x:v>13</x:v>
      </x:c>
      <x:c r="H3" s="23" t="n">
        <x:f>SUMIF('02_Eventos'!E:E,A3,'02_Eventos'!H:H)</x:f>
        <x:v>70000</x:v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14" t="n">
        <x:v>-19.9167</x:v>
      </x:c>
      <x:c r="D4" s="14" t="n">
        <x:v>-43.9345</x:v>
      </x:c>
      <x:c r="E4" s="14" t="e">
        <x:f>_xludf.XLOOKUP(A4,'04_Radar_IAC'!A:A,'04_Radar_IAC'!J:J,0)</x:f>
        <x:v>#NAME?</x:v>
      </x:c>
      <x:c r="F4" s="14" t="e">
        <x:f>_xludf.XLOOKUP(A4,'05_Radar_INP'!A:A,'05_Radar_INP'!J:J,0)</x:f>
        <x:v>#NAME?</x:v>
      </x:c>
      <x:c r="G4" s="23" t="n">
        <x:f>COUNTIF('02_Eventos'!E:E,A4)</x:f>
        <x:v>2</x:v>
      </x:c>
      <x:c r="H4" s="23" t="n">
        <x:f>SUMIF('02_Eventos'!E:E,A4,'02_Eventos'!H:H)</x:f>
        <x:v>0</x:v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14" t="n">
        <x:v>-12.9777</x:v>
      </x:c>
      <x:c r="D5" s="14" t="n">
        <x:v>-38.5016</x:v>
      </x:c>
      <x:c r="E5" s="14" t="e">
        <x:f>_xludf.XLOOKUP(A5,'04_Radar_IAC'!A:A,'04_Radar_IAC'!J:J,0)</x:f>
        <x:v>#NAME?</x:v>
      </x:c>
      <x:c r="F5" s="14" t="e">
        <x:f>_xludf.XLOOKUP(A5,'05_Radar_INP'!A:A,'05_Radar_INP'!J:J,0)</x:f>
        <x:v>#NAME?</x:v>
      </x:c>
      <x:c r="G5" s="23" t="n">
        <x:f>COUNTIF('02_Eventos'!E:E,A5)</x:f>
        <x:v>6</x:v>
      </x:c>
      <x:c r="H5" s="23" t="n">
        <x:f>SUMIF('02_Eventos'!E:E,A5,'02_Eventos'!H:H)</x:f>
        <x:v>0</x:v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14" t="n">
        <x:v>-8.047599999999999</x:v>
      </x:c>
      <x:c r="D6" s="14" t="n">
        <x:v>-34.877</x:v>
      </x:c>
      <x:c r="E6" s="14" t="e">
        <x:f>_xludf.XLOOKUP(A6,'04_Radar_IAC'!A:A,'04_Radar_IAC'!J:J,0)</x:f>
        <x:v>#NAME?</x:v>
      </x:c>
      <x:c r="F6" s="14" t="e">
        <x:f>_xludf.XLOOKUP(A6,'05_Radar_INP'!A:A,'05_Radar_INP'!J:J,0)</x:f>
        <x:v>#NAME?</x:v>
      </x:c>
      <x:c r="G6" s="23" t="n">
        <x:f>COUNTIF('02_Eventos'!E:E,A6)</x:f>
        <x:v>4</x:v>
      </x:c>
      <x:c r="H6" s="23" t="n">
        <x:f>SUMIF('02_Eventos'!E:E,A6,'02_Eventos'!H:H)</x:f>
        <x:v>0</x:v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14" t="n">
        <x:v>-3.7319</x:v>
      </x:c>
      <x:c r="D7" s="14" t="n">
        <x:v>-38.5267</x:v>
      </x:c>
      <x:c r="E7" s="14" t="e">
        <x:f>_xludf.XLOOKUP(A7,'04_Radar_IAC'!A:A,'04_Radar_IAC'!J:J,0)</x:f>
        <x:v>#NAME?</x:v>
      </x:c>
      <x:c r="F7" s="14" t="e">
        <x:f>_xludf.XLOOKUP(A7,'05_Radar_INP'!A:A,'05_Radar_INP'!J:J,0)</x:f>
        <x:v>#NAME?</x:v>
      </x:c>
      <x:c r="G7" s="23" t="n">
        <x:f>COUNTIF('02_Eventos'!E:E,A7)</x:f>
        <x:v>8</x:v>
      </x:c>
      <x:c r="H7" s="23" t="n">
        <x:f>SUMIF('02_Eventos'!E:E,A7,'02_Eventos'!H:H)</x:f>
        <x:v>56044</x:v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14" t="n">
        <x:v>-15.7939</x:v>
      </x:c>
      <x:c r="D8" s="14" t="n">
        <x:v>-47.8828</x:v>
      </x:c>
      <x:c r="E8" s="14" t="e">
        <x:f>_xludf.XLOOKUP(A8,'04_Radar_IAC'!A:A,'04_Radar_IAC'!J:J,0)</x:f>
        <x:v>#NAME?</x:v>
      </x:c>
      <x:c r="F8" s="14" t="e">
        <x:f>_xludf.XLOOKUP(A8,'05_Radar_INP'!A:A,'05_Radar_INP'!J:J,0)</x:f>
        <x:v>#NAME?</x:v>
      </x:c>
      <x:c r="G8" s="23" t="n">
        <x:f>COUNTIF('02_Eventos'!E:E,A8)</x:f>
        <x:v>5</x:v>
      </x:c>
      <x:c r="H8" s="23" t="n">
        <x:f>SUMIF('02_Eventos'!E:E,A8,'02_Eventos'!H:H)</x:f>
        <x:v>700</x:v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14" t="n">
        <x:v>-30.0346</x:v>
      </x:c>
      <x:c r="D9" s="14" t="n">
        <x:v>-51.2177</x:v>
      </x:c>
      <x:c r="E9" s="14" t="e">
        <x:f>_xludf.XLOOKUP(A9,'04_Radar_IAC'!A:A,'04_Radar_IAC'!J:J,0)</x:f>
        <x:v>#NAME?</x:v>
      </x:c>
      <x:c r="F9" s="14" t="e">
        <x:f>_xludf.XLOOKUP(A9,'05_Radar_INP'!A:A,'05_Radar_INP'!J:J,0)</x:f>
        <x:v>#NAME?</x:v>
      </x:c>
      <x:c r="G9" s="23" t="n">
        <x:f>COUNTIF('02_Eventos'!E:E,A9)</x:f>
        <x:v>9</x:v>
      </x:c>
      <x:c r="H9" s="23" t="n">
        <x:f>SUMIF('02_Eventos'!E:E,A9,'02_Eventos'!H:H)</x:f>
        <x:v>0</x:v>
      </x:c>
    </x:row>
    <x:row r="10">
      <x:c r="A10" s="23" t="n"/>
      <x:c r="B10" s="23" t="n"/>
      <x:c r="C10" s="14" t="n"/>
      <x:c r="D10" s="14" t="n"/>
      <x:c r="E10" s="14" t="n"/>
      <x:c r="F10" s="14" t="n"/>
      <x:c r="G10" s="23" t="n"/>
      <x:c r="H10" s="23" t="n"/>
    </x:row>
    <x:row r="11">
      <x:c r="A11" s="23" t="n"/>
      <x:c r="B11" s="23" t="n"/>
      <x:c r="C11" s="14" t="n"/>
      <x:c r="D11" s="14" t="n"/>
      <x:c r="E11" s="14" t="n"/>
      <x:c r="F11" s="14" t="n"/>
      <x:c r="G11" s="23" t="n"/>
      <x:c r="H11" s="23" t="n"/>
    </x:row>
    <x:row r="12">
      <x:c r="A12" s="23" t="n"/>
      <x:c r="B12" s="23" t="n"/>
      <x:c r="C12" s="14" t="n"/>
      <x:c r="D12" s="14" t="n"/>
      <x:c r="E12" s="14" t="n"/>
      <x:c r="F12" s="14" t="n"/>
      <x:c r="G12" s="23" t="n"/>
      <x:c r="H12" s="23" t="n"/>
    </x:row>
    <x:row r="13">
      <x:c r="A13" s="23" t="n"/>
      <x:c r="B13" s="23" t="n"/>
      <x:c r="C13" s="14" t="n"/>
      <x:c r="D13" s="14" t="n"/>
      <x:c r="E13" s="14" t="n"/>
      <x:c r="F13" s="14" t="n"/>
      <x:c r="G13" s="23" t="n"/>
      <x:c r="H13" s="23" t="n"/>
    </x:row>
    <x:row r="14">
      <x:c r="A14" s="23" t="n"/>
      <x:c r="B14" s="23" t="n"/>
      <x:c r="C14" s="14" t="n"/>
      <x:c r="D14" s="14" t="n"/>
      <x:c r="E14" s="14" t="n"/>
      <x:c r="F14" s="14" t="n"/>
      <x:c r="G14" s="23" t="n"/>
      <x:c r="H14" s="23" t="n"/>
    </x:row>
    <x:row r="15">
      <x:c r="A15" s="23" t="n"/>
      <x:c r="B15" s="23" t="n"/>
      <x:c r="C15" s="14" t="n"/>
      <x:c r="D15" s="14" t="n"/>
      <x:c r="E15" s="14" t="n"/>
      <x:c r="F15" s="14" t="n"/>
      <x:c r="G15" s="23" t="n"/>
      <x:c r="H15" s="23" t="n"/>
    </x:row>
    <x:row r="16">
      <x:c r="A16" s="23" t="n"/>
      <x:c r="B16" s="23" t="n"/>
      <x:c r="C16" s="14" t="n"/>
      <x:c r="D16" s="14" t="n"/>
      <x:c r="E16" s="14" t="n"/>
      <x:c r="F16" s="14" t="n"/>
      <x:c r="G16" s="23" t="n"/>
      <x:c r="H16" s="23" t="n"/>
    </x:row>
    <x:row r="17">
      <x:c r="C17" s="14" t="n"/>
      <x:c r="D17" s="14" t="n"/>
      <x:c r="E17" s="14" t="n"/>
      <x:c r="F17" s="14" t="n"/>
    </x:row>
    <x:row r="18">
      <x:c r="C18" s="14" t="n"/>
      <x:c r="D18" s="14" t="n"/>
      <x:c r="E18" s="14" t="n"/>
      <x:c r="F18" s="14" t="n"/>
    </x:row>
    <x:row r="19">
      <x:c r="C19" s="14" t="n"/>
      <x:c r="D19" s="14" t="n"/>
      <x:c r="E19" s="14" t="n"/>
      <x:c r="F19" s="14" t="n"/>
    </x:row>
    <x:row r="20">
      <x:c r="C20" s="14" t="n"/>
      <x:c r="D20" s="14" t="n"/>
      <x:c r="E20" s="14" t="n"/>
      <x:c r="F20" s="14" t="n"/>
    </x:row>
    <x:row r="21">
      <x:c r="C21" s="14" t="n"/>
      <x:c r="D21" s="14" t="n"/>
      <x:c r="E21" s="14" t="n"/>
      <x:c r="F21" s="14" t="n"/>
    </x:row>
    <x:row r="22">
      <x:c r="C22" s="14" t="n"/>
      <x:c r="D22" s="14" t="n"/>
      <x:c r="E22" s="14" t="n"/>
      <x:c r="F22" s="14" t="n"/>
    </x:row>
    <x:row r="23">
      <x:c r="C23" s="14" t="n"/>
      <x:c r="D23" s="14" t="n"/>
      <x:c r="E23" s="14" t="n"/>
      <x:c r="F23" s="14" t="n"/>
    </x:row>
    <x:row r="24">
      <x:c r="C24" s="14" t="n"/>
      <x:c r="D24" s="14" t="n"/>
      <x:c r="E24" s="14" t="n"/>
      <x:c r="F24" s="14" t="n"/>
    </x:row>
    <x:row r="25">
      <x:c r="C25" s="14" t="n"/>
      <x:c r="D25" s="14" t="n"/>
      <x:c r="E25" s="14" t="n"/>
      <x:c r="F25" s="14" t="n"/>
    </x:row>
    <x:row r="26">
      <x:c r="C26" s="14" t="n"/>
      <x:c r="D26" s="14" t="n"/>
      <x:c r="E26" s="14" t="n"/>
      <x:c r="F26" s="14" t="n"/>
    </x:row>
    <x:row r="27">
      <x:c r="C27" s="14" t="n"/>
      <x:c r="D27" s="14" t="n"/>
      <x:c r="E27" s="14" t="n"/>
      <x:c r="F27" s="14" t="n"/>
    </x:row>
    <x:row r="28">
      <x:c r="C28" s="14" t="n"/>
      <x:c r="D28" s="14" t="n"/>
      <x:c r="E28" s="14" t="n"/>
      <x:c r="F28" s="14" t="n"/>
    </x:row>
    <x:row r="29">
      <x:c r="C29" s="14" t="n"/>
      <x:c r="D29" s="14" t="n"/>
      <x:c r="E29" s="14" t="n"/>
      <x:c r="F29" s="14" t="n"/>
    </x:row>
    <x:row r="30">
      <x:c r="C30" s="14" t="n"/>
      <x:c r="D30" s="14" t="n"/>
      <x:c r="E30" s="14" t="n"/>
      <x:c r="F30" s="14" t="n"/>
    </x:row>
    <x:row r="31">
      <x:c r="C31" s="14" t="n"/>
      <x:c r="D31" s="14" t="n"/>
      <x:c r="E31" s="14" t="n"/>
      <x:c r="F31" s="14" t="n"/>
    </x:row>
    <x:row r="32">
      <x:c r="C32" s="14" t="n"/>
      <x:c r="D32" s="14" t="n"/>
      <x:c r="E32" s="14" t="n"/>
      <x:c r="F32" s="14" t="n"/>
    </x:row>
    <x:row r="33">
      <x:c r="C33" s="14" t="n"/>
      <x:c r="D33" s="14" t="n"/>
      <x:c r="E33" s="14" t="n"/>
      <x:c r="F33" s="14" t="n"/>
    </x:row>
    <x:row r="34">
      <x:c r="C34" s="14" t="n"/>
      <x:c r="D34" s="14" t="n"/>
      <x:c r="E34" s="14" t="n"/>
      <x:c r="F34" s="14" t="n"/>
    </x:row>
    <x:row r="35">
      <x:c r="C35" s="14" t="n"/>
      <x:c r="D35" s="14" t="n"/>
      <x:c r="E35" s="14" t="n"/>
      <x:c r="F35" s="14" t="n"/>
    </x:row>
    <x:row r="36">
      <x:c r="C36" s="14" t="n"/>
      <x:c r="D36" s="14" t="n"/>
      <x:c r="E36" s="14" t="n"/>
      <x:c r="F36" s="14" t="n"/>
    </x:row>
    <x:row r="37">
      <x:c r="C37" s="14" t="n"/>
      <x:c r="D37" s="14" t="n"/>
      <x:c r="E37" s="14" t="n"/>
      <x:c r="F37" s="14" t="n"/>
    </x:row>
    <x:row r="38">
      <x:c r="C38" s="14" t="n"/>
      <x:c r="D38" s="14" t="n"/>
      <x:c r="E38" s="14" t="n"/>
      <x:c r="F38" s="14" t="n"/>
    </x:row>
    <x:row r="39">
      <x:c r="C39" s="14" t="n"/>
      <x:c r="D39" s="14" t="n"/>
      <x:c r="E39" s="14" t="n"/>
      <x:c r="F39" s="14" t="n"/>
    </x:row>
    <x:row r="40">
      <x:c r="C40" s="14" t="n"/>
      <x:c r="D40" s="14" t="n"/>
      <x:c r="E40" s="14" t="n"/>
      <x:c r="F40" s="14" t="n"/>
    </x:row>
    <x:row r="41">
      <x:c r="C41" s="14" t="n"/>
      <x:c r="D41" s="14" t="n"/>
      <x:c r="E41" s="14" t="n"/>
      <x:c r="F41" s="14" t="n"/>
    </x:row>
    <x:row r="42">
      <x:c r="C42" s="14" t="n"/>
      <x:c r="D42" s="14" t="n"/>
      <x:c r="E42" s="14" t="n"/>
      <x:c r="F42" s="14" t="n"/>
    </x:row>
    <x:row r="43">
      <x:c r="C43" s="14" t="n"/>
      <x:c r="D43" s="14" t="n"/>
      <x:c r="E43" s="14" t="n"/>
      <x:c r="F43" s="14" t="n"/>
    </x:row>
    <x:row r="44">
      <x:c r="C44" s="14" t="n"/>
      <x:c r="D44" s="14" t="n"/>
      <x:c r="E44" s="14" t="n"/>
      <x:c r="F44" s="14" t="n"/>
    </x:row>
    <x:row r="45">
      <x:c r="C45" s="14" t="n"/>
      <x:c r="D45" s="14" t="n"/>
      <x:c r="E45" s="14" t="n"/>
      <x:c r="F45" s="14" t="n"/>
    </x:row>
    <x:row r="46">
      <x:c r="C46" s="14" t="n"/>
      <x:c r="D46" s="14" t="n"/>
      <x:c r="E46" s="14" t="n"/>
      <x:c r="F46" s="14" t="n"/>
    </x:row>
    <x:row r="47">
      <x:c r="C47" s="14" t="n"/>
      <x:c r="D47" s="14" t="n"/>
      <x:c r="E47" s="14" t="n"/>
      <x:c r="F47" s="14" t="n"/>
    </x:row>
    <x:row r="48">
      <x:c r="C48" s="14" t="n"/>
      <x:c r="D48" s="14" t="n"/>
      <x:c r="E48" s="14" t="n"/>
      <x:c r="F48" s="14" t="n"/>
    </x:row>
    <x:row r="49">
      <x:c r="C49" s="14" t="n"/>
      <x:c r="D49" s="14" t="n"/>
      <x:c r="E49" s="14" t="n"/>
      <x:c r="F49" s="14" t="n"/>
    </x:row>
    <x:row r="50">
      <x:c r="C50" s="14" t="n"/>
      <x:c r="D50" s="14" t="n"/>
      <x:c r="E50" s="14" t="n"/>
      <x:c r="F50" s="14" t="n"/>
    </x:row>
    <x:row r="51">
      <x:c r="C51" s="14" t="n"/>
      <x:c r="D51" s="14" t="n"/>
      <x:c r="E51" s="14" t="n"/>
      <x:c r="F51" s="14" t="n"/>
    </x:row>
    <x:row r="52">
      <x:c r="C52" s="14" t="n"/>
      <x:c r="D52" s="14" t="n"/>
      <x:c r="E52" s="14" t="n"/>
      <x:c r="F52" s="14" t="n"/>
    </x:row>
    <x:row r="53">
      <x:c r="C53" s="14" t="n"/>
      <x:c r="D53" s="14" t="n"/>
      <x:c r="E53" s="14" t="n"/>
      <x:c r="F53" s="14" t="n"/>
    </x:row>
    <x:row r="54">
      <x:c r="C54" s="14" t="n"/>
      <x:c r="D54" s="14" t="n"/>
      <x:c r="E54" s="14" t="n"/>
      <x:c r="F54" s="14" t="n"/>
    </x:row>
    <x:row r="55">
      <x:c r="C55" s="14" t="n"/>
      <x:c r="D55" s="14" t="n"/>
      <x:c r="E55" s="14" t="n"/>
      <x:c r="F55" s="14" t="n"/>
    </x:row>
    <x:row r="56">
      <x:c r="C56" s="14" t="n"/>
      <x:c r="D56" s="14" t="n"/>
      <x:c r="E56" s="14" t="n"/>
      <x:c r="F56" s="14" t="n"/>
    </x:row>
    <x:row r="57">
      <x:c r="C57" s="14" t="n"/>
      <x:c r="D57" s="14" t="n"/>
      <x:c r="E57" s="14" t="n"/>
      <x:c r="F57" s="14" t="n"/>
    </x:row>
    <x:row r="58">
      <x:c r="C58" s="14" t="n"/>
      <x:c r="D58" s="14" t="n"/>
      <x:c r="E58" s="14" t="n"/>
      <x:c r="F58" s="14" t="n"/>
    </x:row>
    <x:row r="59">
      <x:c r="C59" s="14" t="n"/>
      <x:c r="D59" s="14" t="n"/>
      <x:c r="E59" s="14" t="n"/>
      <x:c r="F59" s="14" t="n"/>
    </x:row>
    <x:row r="60">
      <x:c r="C60" s="14" t="n"/>
      <x:c r="D60" s="14" t="n"/>
      <x:c r="E60" s="14" t="n"/>
      <x:c r="F60" s="14" t="n"/>
    </x:row>
    <x:row r="61">
      <x:c r="C61" s="14" t="n"/>
      <x:c r="D61" s="14" t="n"/>
      <x:c r="E61" s="14" t="n"/>
      <x:c r="F61" s="14" t="n"/>
    </x:row>
    <x:row r="62">
      <x:c r="C62" s="14" t="n"/>
      <x:c r="D62" s="14" t="n"/>
      <x:c r="E62" s="14" t="n"/>
      <x:c r="F62" s="14" t="n"/>
    </x:row>
    <x:row r="63">
      <x:c r="C63" s="14" t="n"/>
      <x:c r="D63" s="14" t="n"/>
      <x:c r="E63" s="14" t="n"/>
      <x:c r="F63" s="14" t="n"/>
    </x:row>
    <x:row r="64">
      <x:c r="C64" s="14" t="n"/>
      <x:c r="D64" s="14" t="n"/>
      <x:c r="E64" s="14" t="n"/>
      <x:c r="F64" s="14" t="n"/>
    </x:row>
    <x:row r="65">
      <x:c r="C65" s="14" t="n"/>
      <x:c r="D65" s="14" t="n"/>
      <x:c r="E65" s="14" t="n"/>
      <x:c r="F65" s="14" t="n"/>
    </x:row>
    <x:row r="66">
      <x:c r="C66" s="14" t="n"/>
      <x:c r="D66" s="14" t="n"/>
      <x:c r="E66" s="14" t="n"/>
      <x:c r="F66" s="14" t="n"/>
    </x:row>
    <x:row r="67">
      <x:c r="C67" s="14" t="n"/>
      <x:c r="D67" s="14" t="n"/>
      <x:c r="E67" s="14" t="n"/>
      <x:c r="F67" s="14" t="n"/>
    </x:row>
    <x:row r="68">
      <x:c r="C68" s="14" t="n"/>
      <x:c r="D68" s="14" t="n"/>
      <x:c r="E68" s="14" t="n"/>
      <x:c r="F68" s="14" t="n"/>
    </x:row>
    <x:row r="69">
      <x:c r="C69" s="14" t="n"/>
      <x:c r="D69" s="14" t="n"/>
      <x:c r="E69" s="14" t="n"/>
      <x:c r="F69" s="14" t="n"/>
    </x:row>
    <x:row r="70">
      <x:c r="C70" s="14" t="n"/>
      <x:c r="D70" s="14" t="n"/>
      <x:c r="E70" s="14" t="n"/>
      <x:c r="F70" s="14" t="n"/>
    </x:row>
    <x:row r="71">
      <x:c r="C71" s="14" t="n"/>
      <x:c r="D71" s="14" t="n"/>
      <x:c r="E71" s="14" t="n"/>
      <x:c r="F71" s="14" t="n"/>
    </x:row>
    <x:row r="72">
      <x:c r="C72" s="14" t="n"/>
      <x:c r="D72" s="14" t="n"/>
      <x:c r="E72" s="14" t="n"/>
      <x:c r="F72" s="14" t="n"/>
    </x:row>
    <x:row r="73">
      <x:c r="C73" s="14" t="n"/>
      <x:c r="D73" s="14" t="n"/>
      <x:c r="E73" s="14" t="n"/>
      <x:c r="F73" s="14" t="n"/>
    </x:row>
    <x:row r="74">
      <x:c r="C74" s="14" t="n"/>
      <x:c r="D74" s="14" t="n"/>
      <x:c r="E74" s="14" t="n"/>
      <x:c r="F74" s="14" t="n"/>
    </x:row>
    <x:row r="75">
      <x:c r="C75" s="14" t="n"/>
      <x:c r="D75" s="14" t="n"/>
      <x:c r="E75" s="14" t="n"/>
      <x:c r="F75" s="14" t="n"/>
    </x:row>
    <x:row r="76">
      <x:c r="C76" s="14" t="n"/>
      <x:c r="D76" s="14" t="n"/>
      <x:c r="E76" s="14" t="n"/>
      <x:c r="F76" s="14" t="n"/>
    </x:row>
    <x:row r="77">
      <x:c r="C77" s="14" t="n"/>
      <x:c r="D77" s="14" t="n"/>
      <x:c r="E77" s="14" t="n"/>
      <x:c r="F77" s="14" t="n"/>
    </x:row>
    <x:row r="78">
      <x:c r="C78" s="14" t="n"/>
      <x:c r="D78" s="14" t="n"/>
      <x:c r="E78" s="14" t="n"/>
      <x:c r="F78" s="14" t="n"/>
    </x:row>
    <x:row r="79">
      <x:c r="C79" s="14" t="n"/>
      <x:c r="D79" s="14" t="n"/>
      <x:c r="E79" s="14" t="n"/>
      <x:c r="F79" s="14" t="n"/>
    </x:row>
    <x:row r="80">
      <x:c r="C80" s="14" t="n"/>
      <x:c r="D80" s="14" t="n"/>
      <x:c r="E80" s="14" t="n"/>
      <x:c r="F80" s="14" t="n"/>
    </x:row>
    <x:row r="81">
      <x:c r="C81" s="14" t="n"/>
      <x:c r="D81" s="14" t="n"/>
      <x:c r="E81" s="14" t="n"/>
      <x:c r="F81" s="14" t="n"/>
    </x:row>
    <x:row r="82">
      <x:c r="C82" s="14" t="n"/>
      <x:c r="D82" s="14" t="n"/>
      <x:c r="E82" s="14" t="n"/>
      <x:c r="F82" s="14" t="n"/>
    </x:row>
    <x:row r="83">
      <x:c r="C83" s="14" t="n"/>
      <x:c r="D83" s="14" t="n"/>
      <x:c r="E83" s="14" t="n"/>
      <x:c r="F83" s="14" t="n"/>
    </x:row>
    <x:row r="84">
      <x:c r="C84" s="14" t="n"/>
      <x:c r="D84" s="14" t="n"/>
      <x:c r="E84" s="14" t="n"/>
      <x:c r="F84" s="14" t="n"/>
    </x:row>
    <x:row r="85">
      <x:c r="C85" s="14" t="n"/>
      <x:c r="D85" s="14" t="n"/>
      <x:c r="E85" s="14" t="n"/>
      <x:c r="F85" s="14" t="n"/>
    </x:row>
    <x:row r="86">
      <x:c r="C86" s="14" t="n"/>
      <x:c r="D86" s="14" t="n"/>
      <x:c r="E86" s="14" t="n"/>
      <x:c r="F86" s="14" t="n"/>
    </x:row>
    <x:row r="87">
      <x:c r="C87" s="14" t="n"/>
      <x:c r="D87" s="14" t="n"/>
      <x:c r="E87" s="14" t="n"/>
      <x:c r="F87" s="14" t="n"/>
    </x:row>
    <x:row r="88">
      <x:c r="C88" s="14" t="n"/>
      <x:c r="D88" s="14" t="n"/>
      <x:c r="E88" s="14" t="n"/>
      <x:c r="F88" s="14" t="n"/>
    </x:row>
    <x:row r="89">
      <x:c r="C89" s="14" t="n"/>
      <x:c r="D89" s="14" t="n"/>
      <x:c r="E89" s="14" t="n"/>
      <x:c r="F89" s="14" t="n"/>
    </x:row>
    <x:row r="90">
      <x:c r="C90" s="14" t="n"/>
      <x:c r="D90" s="14" t="n"/>
      <x:c r="E90" s="14" t="n"/>
      <x:c r="F90" s="14" t="n"/>
    </x:row>
    <x:row r="91">
      <x:c r="C91" s="14" t="n"/>
      <x:c r="D91" s="14" t="n"/>
      <x:c r="E91" s="14" t="n"/>
      <x:c r="F91" s="14" t="n"/>
    </x:row>
    <x:row r="92">
      <x:c r="C92" s="14" t="n"/>
      <x:c r="D92" s="14" t="n"/>
      <x:c r="E92" s="14" t="n"/>
      <x:c r="F92" s="14" t="n"/>
    </x:row>
    <x:row r="93">
      <x:c r="C93" s="14" t="n"/>
      <x:c r="D93" s="14" t="n"/>
      <x:c r="E93" s="14" t="n"/>
      <x:c r="F93" s="14" t="n"/>
    </x:row>
    <x:row r="94">
      <x:c r="C94" s="14" t="n"/>
      <x:c r="D94" s="14" t="n"/>
      <x:c r="E94" s="14" t="n"/>
      <x:c r="F94" s="14" t="n"/>
    </x:row>
    <x:row r="95">
      <x:c r="C95" s="14" t="n"/>
      <x:c r="D95" s="14" t="n"/>
      <x:c r="E95" s="14" t="n"/>
      <x:c r="F95" s="14" t="n"/>
    </x:row>
    <x:row r="96">
      <x:c r="C96" s="14" t="n"/>
      <x:c r="D96" s="14" t="n"/>
      <x:c r="E96" s="14" t="n"/>
      <x:c r="F96" s="14" t="n"/>
    </x:row>
    <x:row r="97">
      <x:c r="C97" s="14" t="n"/>
      <x:c r="D97" s="14" t="n"/>
      <x:c r="E97" s="14" t="n"/>
      <x:c r="F97" s="14" t="n"/>
    </x:row>
    <x:row r="98">
      <x:c r="C98" s="14" t="n"/>
      <x:c r="D98" s="14" t="n"/>
      <x:c r="E98" s="14" t="n"/>
      <x:c r="F98" s="14" t="n"/>
    </x:row>
    <x:row r="99">
      <x:c r="C99" s="14" t="n"/>
      <x:c r="D99" s="14" t="n"/>
      <x:c r="E99" s="14" t="n"/>
      <x:c r="F99" s="14" t="n"/>
    </x:row>
    <x:row r="100">
      <x:c r="C100" s="14" t="n"/>
      <x:c r="D100" s="14" t="n"/>
      <x:c r="E100" s="14" t="n"/>
      <x:c r="F100" s="14" t="n"/>
    </x:row>
  </x:sheetData>
  <x:pageMargins left="0.7" right="0.7" top="0.75" bottom="0.75" header="0.3" footer="0.3"/>
  <x:tableParts count="1">
    <x:tablePart xmlns:r="http://schemas.openxmlformats.org/officeDocument/2006/relationships" r:id="Rf9f2cb28f4e24667"/>
  </x:tableParts>
</x:worksheet>
</file>

<file path=xl/worksheets/sheet8.xml><?xml version="1.0" encoding="utf-8"?>
<x:worksheet xmlns:x="http://schemas.openxmlformats.org/spreadsheetml/2006/main">
  <x:sheetFormatPr baseColWidth="8" defaultRowHeight="14.25"/>
  <x:cols>
    <x:col min="1" max="8" width="20" style="1" customWidth="1"/>
  </x:cols>
  <x:sheetData>
    <x:row r="1" s="1" customFormat="1" ht="24" customHeight="1">
      <x:c r="A1" s="4" t="inlineStr">
        <x:is>
          <x:t xml:space="preserve">Patrocinador</x:t>
        </x:is>
      </x:c>
      <x:c r="B1" s="4" t="inlineStr">
        <x:is>
          <x:t xml:space="preserve">Segmento</x:t>
        </x:is>
      </x:c>
      <x:c r="C1" s="4" t="inlineStr">
        <x:is>
          <x:t xml:space="preserve">Status</x:t>
        </x:is>
      </x:c>
      <x:c r="D1" s="4" t="inlineStr">
        <x:is>
          <x:t xml:space="preserve">Nº Ativações</x:t>
        </x:is>
      </x:c>
      <x:c r="E1" s="4" t="inlineStr">
        <x:is>
          <x:t xml:space="preserve">Público Alcançado</x:t>
        </x:is>
      </x:c>
      <x:c r="F1" s="4" t="inlineStr">
        <x:is>
          <x:t xml:space="preserve">Cidades</x:t>
        </x:is>
      </x:c>
      <x:c r="G1" s="4" t="inlineStr">
        <x:is>
          <x:t xml:space="preserve">Investimento Estimado</x:t>
        </x:is>
      </x:c>
      <x:c r="H1" s="4" t="inlineStr">
        <x:is>
          <x:t xml:space="preserve">Observações</x:t>
        </x:is>
      </x:c>
    </x:row>
    <x:row r="2">
      <x:c r="A2" s="23" t="inlineStr">
        <x:is>
          <x:t xml:space="preserve">Visa</x:t>
        </x:is>
      </x:c>
      <x:c r="B2" s="23" t="inlineStr">
        <x:is>
          <x:t xml:space="preserve">Serviços financeiros</x:t>
        </x:is>
      </x:c>
      <x:c r="C2" s="23" t="inlineStr">
        <x:is>
          <x:t xml:space="preserve">Ativo</x:t>
        </x:is>
      </x:c>
      <x:c r="D2" s="23" t="n">
        <x:f>COUNTIF('02_Eventos'!I:I,A2)</x:f>
        <x:v>0</x:v>
      </x:c>
      <x:c r="E2" s="23" t="n">
        <x:f>SUMIF('02_Eventos'!I:I,A2,'02_Eventos'!H:H)</x:f>
        <x:v>0</x:v>
      </x:c>
      <x:c r="F2" s="23" t="n">
        <x:f>COUNTA(_xlfn.UNIQUE(_xlfn._xlws.FILTER('02_Eventos'!E:E,'02_Eventos'!I:I=A2,"")))</x:f>
        <x:v>1</x:v>
      </x:c>
      <x:c r="G2" s="15" t="n">
        <x:v>0</x:v>
      </x:c>
      <x:c r="H2" s="23" t="n"/>
    </x:row>
    <x:row r="3">
      <x:c r="A3" s="23" t="inlineStr">
        <x:is>
          <x:t xml:space="preserve">Adidas</x:t>
        </x:is>
      </x:c>
      <x:c r="B3" s="23" t="inlineStr">
        <x:is>
          <x:t xml:space="preserve">Material esportivo</x:t>
        </x:is>
      </x:c>
      <x:c r="C3" s="23" t="inlineStr">
        <x:is>
          <x:t xml:space="preserve">Ativo</x:t>
        </x:is>
      </x:c>
      <x:c r="D3" s="23" t="n">
        <x:f>COUNTIF('02_Eventos'!I:I,A3)</x:f>
        <x:v>0</x:v>
      </x:c>
      <x:c r="E3" s="23" t="n">
        <x:f>SUMIF('02_Eventos'!I:I,A3,'02_Eventos'!H:H)</x:f>
        <x:v>0</x:v>
      </x:c>
      <x:c r="F3" s="23" t="n">
        <x:f>COUNTA(_xlfn.UNIQUE(_xlfn._xlws.FILTER('02_Eventos'!E:E,'02_Eventos'!I:I=A3,"")))</x:f>
        <x:v>1</x:v>
      </x:c>
      <x:c r="G3" s="15" t="n">
        <x:v>0</x:v>
      </x:c>
      <x:c r="H3" s="23" t="n"/>
    </x:row>
    <x:row r="4">
      <x:c r="A4" s="23" t="inlineStr">
        <x:is>
          <x:t xml:space="preserve">Itaú</x:t>
        </x:is>
      </x:c>
      <x:c r="B4" s="23" t="inlineStr">
        <x:is>
          <x:t xml:space="preserve">Banco</x:t>
        </x:is>
      </x:c>
      <x:c r="C4" s="23" t="inlineStr">
        <x:is>
          <x:t xml:space="preserve">Ativo</x:t>
        </x:is>
      </x:c>
      <x:c r="D4" s="23" t="n">
        <x:f>COUNTIF('02_Eventos'!I:I,A4)</x:f>
        <x:v>0</x:v>
      </x:c>
      <x:c r="E4" s="23" t="n">
        <x:f>SUMIF('02_Eventos'!I:I,A4,'02_Eventos'!H:H)</x:f>
        <x:v>0</x:v>
      </x:c>
      <x:c r="F4" s="23" t="n">
        <x:f>COUNTA(_xlfn.UNIQUE(_xlfn._xlws.FILTER('02_Eventos'!E:E,'02_Eventos'!I:I=A4,"")))</x:f>
        <x:v>1</x:v>
      </x:c>
      <x:c r="G4" s="15" t="n">
        <x:v>0</x:v>
      </x:c>
      <x:c r="H4" s="23" t="n"/>
    </x:row>
    <x:row r="5">
      <x:c r="A5" s="23" t="inlineStr">
        <x:is>
          <x:t xml:space="preserve">Coca-Cola</x:t>
        </x:is>
      </x:c>
      <x:c r="B5" s="23" t="inlineStr">
        <x:is>
          <x:t xml:space="preserve">Bebidas</x:t>
        </x:is>
      </x:c>
      <x:c r="C5" s="23" t="inlineStr">
        <x:is>
          <x:t xml:space="preserve">Ativo</x:t>
        </x:is>
      </x:c>
      <x:c r="D5" s="23" t="n">
        <x:f>COUNTIF('02_Eventos'!I:I,A5)</x:f>
        <x:v>0</x:v>
      </x:c>
      <x:c r="E5" s="23" t="n">
        <x:f>SUMIF('02_Eventos'!I:I,A5,'02_Eventos'!H:H)</x:f>
        <x:v>0</x:v>
      </x:c>
      <x:c r="F5" s="23" t="n">
        <x:f>COUNTA(_xlfn.UNIQUE(_xlfn._xlws.FILTER('02_Eventos'!E:E,'02_Eventos'!I:I=A5,"")))</x:f>
        <x:v>1</x:v>
      </x:c>
      <x:c r="G5" s="15" t="n">
        <x:v>0</x:v>
      </x:c>
      <x:c r="H5" s="23" t="n"/>
    </x:row>
    <x:row r="6">
      <x:c r="A6" s="23" t="inlineStr">
        <x:is>
          <x:t xml:space="preserve">Banco do Brasil</x:t>
        </x:is>
      </x:c>
      <x:c r="B6" s="23" t="inlineStr">
        <x:is>
          <x:t xml:space="preserve">Banco</x:t>
        </x:is>
      </x:c>
      <x:c r="C6" s="23" t="inlineStr">
        <x:is>
          <x:t xml:space="preserve">Prospect</x:t>
        </x:is>
      </x:c>
      <x:c r="D6" s="23" t="n">
        <x:f>COUNTIF('02_Eventos'!I:I,A6)</x:f>
        <x:v>0</x:v>
      </x:c>
      <x:c r="E6" s="23" t="n">
        <x:f>SUMIF('02_Eventos'!I:I,A6,'02_Eventos'!H:H)</x:f>
        <x:v>0</x:v>
      </x:c>
      <x:c r="F6" s="23" t="n">
        <x:f>COUNTA(_xlfn.UNIQUE(_xlfn._xlws.FILTER('02_Eventos'!E:E,'02_Eventos'!I:I=A6,"")))</x:f>
        <x:v>1</x:v>
      </x:c>
      <x:c r="G6" s="15" t="n">
        <x:v>0</x:v>
      </x:c>
      <x:c r="H6" s="23" t="n"/>
    </x:row>
    <x:row r="7">
      <x:c r="A7" s="23" t="n"/>
      <x:c r="B7" s="23" t="n"/>
      <x:c r="C7" s="23" t="n"/>
      <x:c r="D7" s="23" t="n"/>
      <x:c r="E7" s="23" t="n"/>
      <x:c r="F7" s="23" t="n"/>
      <x:c r="G7" s="15" t="n"/>
      <x:c r="H7" s="23" t="n"/>
    </x:row>
    <x:row r="8">
      <x:c r="A8" s="23" t="n"/>
      <x:c r="B8" s="23" t="n"/>
      <x:c r="C8" s="23" t="n"/>
      <x:c r="D8" s="23" t="n"/>
      <x:c r="E8" s="23" t="n"/>
      <x:c r="F8" s="23" t="n"/>
      <x:c r="G8" s="15" t="n"/>
      <x:c r="H8" s="23" t="n"/>
    </x:row>
    <x:row r="9">
      <x:c r="A9" s="23" t="n"/>
      <x:c r="B9" s="23" t="n"/>
      <x:c r="C9" s="23" t="n"/>
      <x:c r="D9" s="23" t="n"/>
      <x:c r="E9" s="23" t="n"/>
      <x:c r="F9" s="23" t="n"/>
      <x:c r="G9" s="15" t="n"/>
      <x:c r="H9" s="23" t="n"/>
    </x:row>
    <x:row r="10">
      <x:c r="A10" s="23" t="n"/>
      <x:c r="B10" s="23" t="n"/>
      <x:c r="C10" s="23" t="n"/>
      <x:c r="D10" s="23" t="n"/>
      <x:c r="E10" s="23" t="n"/>
      <x:c r="F10" s="23" t="n"/>
      <x:c r="G10" s="15" t="n"/>
      <x:c r="H10" s="23" t="n"/>
    </x:row>
    <x:row r="11">
      <x:c r="A11" s="23" t="n"/>
      <x:c r="B11" s="23" t="n"/>
      <x:c r="C11" s="23" t="n"/>
      <x:c r="D11" s="23" t="n"/>
      <x:c r="E11" s="23" t="n"/>
      <x:c r="F11" s="23" t="n"/>
      <x:c r="G11" s="15" t="n"/>
      <x:c r="H11" s="23" t="n"/>
    </x:row>
    <x:row r="12">
      <x:c r="A12" s="23" t="n"/>
      <x:c r="B12" s="23" t="n"/>
      <x:c r="C12" s="23" t="n"/>
      <x:c r="D12" s="23" t="n"/>
      <x:c r="E12" s="23" t="n"/>
      <x:c r="F12" s="23" t="n"/>
      <x:c r="G12" s="15" t="n"/>
      <x:c r="H12" s="23" t="n"/>
    </x:row>
    <x:row r="13">
      <x:c r="A13" s="23" t="n"/>
      <x:c r="B13" s="23" t="n"/>
      <x:c r="C13" s="23" t="n"/>
      <x:c r="D13" s="23" t="n"/>
      <x:c r="E13" s="23" t="n"/>
      <x:c r="F13" s="23" t="n"/>
      <x:c r="G13" s="15" t="n"/>
      <x:c r="H13" s="23" t="n"/>
    </x:row>
    <x:row r="14">
      <x:c r="A14" s="23" t="n"/>
      <x:c r="B14" s="23" t="n"/>
      <x:c r="C14" s="23" t="n"/>
      <x:c r="D14" s="23" t="n"/>
      <x:c r="E14" s="23" t="n"/>
      <x:c r="F14" s="23" t="n"/>
      <x:c r="G14" s="15" t="n"/>
      <x:c r="H14" s="23" t="n"/>
    </x:row>
    <x:row r="15">
      <x:c r="A15" s="23" t="n"/>
      <x:c r="B15" s="23" t="n"/>
      <x:c r="C15" s="23" t="n"/>
      <x:c r="D15" s="23" t="n"/>
      <x:c r="E15" s="23" t="n"/>
      <x:c r="F15" s="23" t="n"/>
      <x:c r="G15" s="15" t="n"/>
      <x:c r="H15" s="23" t="n"/>
    </x:row>
    <x:row r="16">
      <x:c r="A16" s="23" t="n"/>
      <x:c r="B16" s="23" t="n"/>
      <x:c r="C16" s="23" t="n"/>
      <x:c r="D16" s="23" t="n"/>
      <x:c r="E16" s="23" t="n"/>
      <x:c r="F16" s="23" t="n"/>
      <x:c r="G16" s="15" t="n"/>
      <x:c r="H16" s="23" t="n"/>
    </x:row>
    <x:row r="17">
      <x:c r="G17" s="15" t="n"/>
    </x:row>
    <x:row r="18">
      <x:c r="G18" s="15" t="n"/>
    </x:row>
    <x:row r="19">
      <x:c r="G19" s="15" t="n"/>
    </x:row>
    <x:row r="20">
      <x:c r="G20" s="15" t="n"/>
    </x:row>
    <x:row r="21">
      <x:c r="G21" s="15" t="n"/>
    </x:row>
    <x:row r="22">
      <x:c r="G22" s="15" t="n"/>
    </x:row>
    <x:row r="23">
      <x:c r="G23" s="15" t="n"/>
    </x:row>
    <x:row r="24">
      <x:c r="G24" s="15" t="n"/>
    </x:row>
    <x:row r="25">
      <x:c r="G25" s="15" t="n"/>
    </x:row>
    <x:row r="26">
      <x:c r="G26" s="15" t="n"/>
    </x:row>
    <x:row r="27">
      <x:c r="G27" s="15" t="n"/>
    </x:row>
    <x:row r="28">
      <x:c r="G28" s="15" t="n"/>
    </x:row>
    <x:row r="29">
      <x:c r="G29" s="15" t="n"/>
    </x:row>
    <x:row r="30">
      <x:c r="G30" s="15" t="n"/>
    </x:row>
    <x:row r="31">
      <x:c r="G31" s="15" t="n"/>
    </x:row>
    <x:row r="32">
      <x:c r="G32" s="15" t="n"/>
    </x:row>
    <x:row r="33">
      <x:c r="G33" s="15" t="n"/>
    </x:row>
    <x:row r="34">
      <x:c r="G34" s="15" t="n"/>
    </x:row>
    <x:row r="35">
      <x:c r="G35" s="15" t="n"/>
    </x:row>
    <x:row r="36">
      <x:c r="G36" s="15" t="n"/>
    </x:row>
    <x:row r="37">
      <x:c r="G37" s="15" t="n"/>
    </x:row>
    <x:row r="38">
      <x:c r="G38" s="15" t="n"/>
    </x:row>
    <x:row r="39">
      <x:c r="G39" s="15" t="n"/>
    </x:row>
    <x:row r="40">
      <x:c r="G40" s="15" t="n"/>
    </x:row>
    <x:row r="41">
      <x:c r="G41" s="15" t="n"/>
    </x:row>
    <x:row r="42">
      <x:c r="G42" s="15" t="n"/>
    </x:row>
    <x:row r="43">
      <x:c r="G43" s="15" t="n"/>
    </x:row>
    <x:row r="44">
      <x:c r="G44" s="15" t="n"/>
    </x:row>
    <x:row r="45">
      <x:c r="G45" s="15" t="n"/>
    </x:row>
    <x:row r="46">
      <x:c r="G46" s="15" t="n"/>
    </x:row>
    <x:row r="47">
      <x:c r="G47" s="15" t="n"/>
    </x:row>
    <x:row r="48">
      <x:c r="G48" s="15" t="n"/>
    </x:row>
    <x:row r="49">
      <x:c r="G49" s="15" t="n"/>
    </x:row>
    <x:row r="50">
      <x:c r="G50" s="15" t="n"/>
    </x:row>
    <x:row r="51">
      <x:c r="G51" s="15" t="n"/>
    </x:row>
    <x:row r="52">
      <x:c r="G52" s="15" t="n"/>
    </x:row>
    <x:row r="53">
      <x:c r="G53" s="15" t="n"/>
    </x:row>
    <x:row r="54">
      <x:c r="G54" s="15" t="n"/>
    </x:row>
    <x:row r="55">
      <x:c r="G55" s="15" t="n"/>
    </x:row>
    <x:row r="56">
      <x:c r="G56" s="15" t="n"/>
    </x:row>
    <x:row r="57">
      <x:c r="G57" s="15" t="n"/>
    </x:row>
    <x:row r="58">
      <x:c r="G58" s="15" t="n"/>
    </x:row>
    <x:row r="59">
      <x:c r="G59" s="15" t="n"/>
    </x:row>
    <x:row r="60">
      <x:c r="G60" s="15" t="n"/>
    </x:row>
    <x:row r="61">
      <x:c r="G61" s="15" t="n"/>
    </x:row>
    <x:row r="62">
      <x:c r="G62" s="15" t="n"/>
    </x:row>
    <x:row r="63">
      <x:c r="G63" s="15" t="n"/>
    </x:row>
    <x:row r="64">
      <x:c r="G64" s="15" t="n"/>
    </x:row>
    <x:row r="65">
      <x:c r="G65" s="15" t="n"/>
    </x:row>
    <x:row r="66">
      <x:c r="G66" s="15" t="n"/>
    </x:row>
    <x:row r="67">
      <x:c r="G67" s="15" t="n"/>
    </x:row>
    <x:row r="68">
      <x:c r="G68" s="15" t="n"/>
    </x:row>
    <x:row r="69">
      <x:c r="G69" s="15" t="n"/>
    </x:row>
    <x:row r="70">
      <x:c r="G70" s="15" t="n"/>
    </x:row>
    <x:row r="71">
      <x:c r="G71" s="15" t="n"/>
    </x:row>
    <x:row r="72">
      <x:c r="G72" s="15" t="n"/>
    </x:row>
    <x:row r="73">
      <x:c r="G73" s="15" t="n"/>
    </x:row>
    <x:row r="74">
      <x:c r="G74" s="15" t="n"/>
    </x:row>
    <x:row r="75">
      <x:c r="G75" s="15" t="n"/>
    </x:row>
    <x:row r="76">
      <x:c r="G76" s="15" t="n"/>
    </x:row>
    <x:row r="77">
      <x:c r="G77" s="15" t="n"/>
    </x:row>
    <x:row r="78">
      <x:c r="G78" s="15" t="n"/>
    </x:row>
    <x:row r="79">
      <x:c r="G79" s="15" t="n"/>
    </x:row>
    <x:row r="80">
      <x:c r="G80" s="15" t="n"/>
    </x:row>
    <x:row r="81">
      <x:c r="G81" s="15" t="n"/>
    </x:row>
    <x:row r="82">
      <x:c r="G82" s="15" t="n"/>
    </x:row>
    <x:row r="83">
      <x:c r="G83" s="15" t="n"/>
    </x:row>
    <x:row r="84">
      <x:c r="G84" s="15" t="n"/>
    </x:row>
    <x:row r="85">
      <x:c r="G85" s="15" t="n"/>
    </x:row>
    <x:row r="86">
      <x:c r="G86" s="15" t="n"/>
    </x:row>
    <x:row r="87">
      <x:c r="G87" s="15" t="n"/>
    </x:row>
    <x:row r="88">
      <x:c r="G88" s="15" t="n"/>
    </x:row>
    <x:row r="89">
      <x:c r="G89" s="15" t="n"/>
    </x:row>
    <x:row r="90">
      <x:c r="G90" s="15" t="n"/>
    </x:row>
    <x:row r="91">
      <x:c r="G91" s="15" t="n"/>
    </x:row>
    <x:row r="92">
      <x:c r="G92" s="15" t="n"/>
    </x:row>
    <x:row r="93">
      <x:c r="G93" s="15" t="n"/>
    </x:row>
    <x:row r="94">
      <x:c r="G94" s="15" t="n"/>
    </x:row>
    <x:row r="95">
      <x:c r="G95" s="15" t="n"/>
    </x:row>
    <x:row r="96">
      <x:c r="G96" s="15" t="n"/>
    </x:row>
    <x:row r="97">
      <x:c r="G97" s="15" t="n"/>
    </x:row>
    <x:row r="98">
      <x:c r="G98" s="15" t="n"/>
    </x:row>
    <x:row r="99">
      <x:c r="G99" s="15" t="n"/>
    </x:row>
    <x:row r="100">
      <x:c r="G100" s="15" t="n"/>
    </x:row>
    <x:row r="101">
      <x:c r="G101" s="15" t="n"/>
    </x:row>
    <x:row r="102">
      <x:c r="G102" s="15" t="n"/>
    </x:row>
    <x:row r="103">
      <x:c r="G103" s="15" t="n"/>
    </x:row>
    <x:row r="104">
      <x:c r="G104" s="15" t="n"/>
    </x:row>
    <x:row r="105">
      <x:c r="G105" s="15" t="n"/>
    </x:row>
    <x:row r="106">
      <x:c r="G106" s="15" t="n"/>
    </x:row>
    <x:row r="107">
      <x:c r="G107" s="15" t="n"/>
    </x:row>
    <x:row r="108">
      <x:c r="G108" s="15" t="n"/>
    </x:row>
    <x:row r="109">
      <x:c r="G109" s="15" t="n"/>
    </x:row>
    <x:row r="110">
      <x:c r="G110" s="15" t="n"/>
    </x:row>
    <x:row r="111">
      <x:c r="G111" s="15" t="n"/>
    </x:row>
    <x:row r="112">
      <x:c r="G112" s="15" t="n"/>
    </x:row>
    <x:row r="113">
      <x:c r="G113" s="15" t="n"/>
    </x:row>
    <x:row r="114">
      <x:c r="G114" s="15" t="n"/>
    </x:row>
    <x:row r="115">
      <x:c r="G115" s="15" t="n"/>
    </x:row>
    <x:row r="116">
      <x:c r="G116" s="15" t="n"/>
    </x:row>
    <x:row r="117">
      <x:c r="G117" s="15" t="n"/>
    </x:row>
    <x:row r="118">
      <x:c r="G118" s="15" t="n"/>
    </x:row>
    <x:row r="119">
      <x:c r="G119" s="15" t="n"/>
    </x:row>
    <x:row r="120">
      <x:c r="G120" s="15" t="n"/>
    </x:row>
    <x:row r="121">
      <x:c r="G121" s="15" t="n"/>
    </x:row>
    <x:row r="122">
      <x:c r="G122" s="15" t="n"/>
    </x:row>
    <x:row r="123">
      <x:c r="G123" s="15" t="n"/>
    </x:row>
    <x:row r="124">
      <x:c r="G124" s="15" t="n"/>
    </x:row>
    <x:row r="125">
      <x:c r="G125" s="15" t="n"/>
    </x:row>
    <x:row r="126">
      <x:c r="G126" s="15" t="n"/>
    </x:row>
    <x:row r="127">
      <x:c r="G127" s="15" t="n"/>
    </x:row>
    <x:row r="128">
      <x:c r="G128" s="15" t="n"/>
    </x:row>
    <x:row r="129">
      <x:c r="G129" s="15" t="n"/>
    </x:row>
    <x:row r="130">
      <x:c r="G130" s="15" t="n"/>
    </x:row>
    <x:row r="131">
      <x:c r="G131" s="15" t="n"/>
    </x:row>
    <x:row r="132">
      <x:c r="G132" s="15" t="n"/>
    </x:row>
    <x:row r="133">
      <x:c r="G133" s="15" t="n"/>
    </x:row>
    <x:row r="134">
      <x:c r="G134" s="15" t="n"/>
    </x:row>
    <x:row r="135">
      <x:c r="G135" s="15" t="n"/>
    </x:row>
    <x:row r="136">
      <x:c r="G136" s="15" t="n"/>
    </x:row>
    <x:row r="137">
      <x:c r="G137" s="15" t="n"/>
    </x:row>
    <x:row r="138">
      <x:c r="G138" s="15" t="n"/>
    </x:row>
    <x:row r="139">
      <x:c r="G139" s="15" t="n"/>
    </x:row>
    <x:row r="140">
      <x:c r="G140" s="15" t="n"/>
    </x:row>
    <x:row r="141">
      <x:c r="G141" s="15" t="n"/>
    </x:row>
    <x:row r="142">
      <x:c r="G142" s="15" t="n"/>
    </x:row>
    <x:row r="143">
      <x:c r="G143" s="15" t="n"/>
    </x:row>
    <x:row r="144">
      <x:c r="G144" s="15" t="n"/>
    </x:row>
    <x:row r="145">
      <x:c r="G145" s="15" t="n"/>
    </x:row>
    <x:row r="146">
      <x:c r="G146" s="15" t="n"/>
    </x:row>
    <x:row r="147">
      <x:c r="G147" s="15" t="n"/>
    </x:row>
    <x:row r="148">
      <x:c r="G148" s="15" t="n"/>
    </x:row>
    <x:row r="149">
      <x:c r="G149" s="15" t="n"/>
    </x:row>
    <x:row r="150">
      <x:c r="G150" s="15" t="n"/>
    </x:row>
    <x:row r="151">
      <x:c r="G151" s="15" t="n"/>
    </x:row>
    <x:row r="152">
      <x:c r="G152" s="15" t="n"/>
    </x:row>
    <x:row r="153">
      <x:c r="G153" s="15" t="n"/>
    </x:row>
    <x:row r="154">
      <x:c r="G154" s="15" t="n"/>
    </x:row>
    <x:row r="155">
      <x:c r="G155" s="15" t="n"/>
    </x:row>
    <x:row r="156">
      <x:c r="G156" s="15" t="n"/>
    </x:row>
    <x:row r="157">
      <x:c r="G157" s="15" t="n"/>
    </x:row>
    <x:row r="158">
      <x:c r="G158" s="15" t="n"/>
    </x:row>
    <x:row r="159">
      <x:c r="G159" s="15" t="n"/>
    </x:row>
    <x:row r="160">
      <x:c r="G160" s="15" t="n"/>
    </x:row>
    <x:row r="161">
      <x:c r="G161" s="15" t="n"/>
    </x:row>
    <x:row r="162">
      <x:c r="G162" s="15" t="n"/>
    </x:row>
    <x:row r="163">
      <x:c r="G163" s="15" t="n"/>
    </x:row>
    <x:row r="164">
      <x:c r="G164" s="15" t="n"/>
    </x:row>
    <x:row r="165">
      <x:c r="G165" s="15" t="n"/>
    </x:row>
    <x:row r="166">
      <x:c r="G166" s="15" t="n"/>
    </x:row>
    <x:row r="167">
      <x:c r="G167" s="15" t="n"/>
    </x:row>
    <x:row r="168">
      <x:c r="G168" s="15" t="n"/>
    </x:row>
    <x:row r="169">
      <x:c r="G169" s="15" t="n"/>
    </x:row>
    <x:row r="170">
      <x:c r="G170" s="15" t="n"/>
    </x:row>
    <x:row r="171">
      <x:c r="G171" s="15" t="n"/>
    </x:row>
    <x:row r="172">
      <x:c r="G172" s="15" t="n"/>
    </x:row>
    <x:row r="173">
      <x:c r="G173" s="15" t="n"/>
    </x:row>
    <x:row r="174">
      <x:c r="G174" s="15" t="n"/>
    </x:row>
    <x:row r="175">
      <x:c r="G175" s="15" t="n"/>
    </x:row>
    <x:row r="176">
      <x:c r="G176" s="15" t="n"/>
    </x:row>
    <x:row r="177">
      <x:c r="G177" s="15" t="n"/>
    </x:row>
    <x:row r="178">
      <x:c r="G178" s="15" t="n"/>
    </x:row>
    <x:row r="179">
      <x:c r="G179" s="15" t="n"/>
    </x:row>
    <x:row r="180">
      <x:c r="G180" s="15" t="n"/>
    </x:row>
    <x:row r="181">
      <x:c r="G181" s="15" t="n"/>
    </x:row>
    <x:row r="182">
      <x:c r="G182" s="15" t="n"/>
    </x:row>
    <x:row r="183">
      <x:c r="G183" s="15" t="n"/>
    </x:row>
    <x:row r="184">
      <x:c r="G184" s="15" t="n"/>
    </x:row>
    <x:row r="185">
      <x:c r="G185" s="15" t="n"/>
    </x:row>
    <x:row r="186">
      <x:c r="G186" s="15" t="n"/>
    </x:row>
    <x:row r="187">
      <x:c r="G187" s="15" t="n"/>
    </x:row>
    <x:row r="188">
      <x:c r="G188" s="15" t="n"/>
    </x:row>
    <x:row r="189">
      <x:c r="G189" s="15" t="n"/>
    </x:row>
    <x:row r="190">
      <x:c r="G190" s="15" t="n"/>
    </x:row>
    <x:row r="191">
      <x:c r="G191" s="15" t="n"/>
    </x:row>
    <x:row r="192">
      <x:c r="G192" s="15" t="n"/>
    </x:row>
    <x:row r="193">
      <x:c r="G193" s="15" t="n"/>
    </x:row>
    <x:row r="194">
      <x:c r="G194" s="15" t="n"/>
    </x:row>
    <x:row r="195">
      <x:c r="G195" s="15" t="n"/>
    </x:row>
    <x:row r="196">
      <x:c r="G196" s="15" t="n"/>
    </x:row>
    <x:row r="197">
      <x:c r="G197" s="15" t="n"/>
    </x:row>
    <x:row r="198">
      <x:c r="G198" s="15" t="n"/>
    </x:row>
    <x:row r="199">
      <x:c r="G199" s="15" t="n"/>
    </x:row>
    <x:row r="200">
      <x:c r="G200" s="15" t="n"/>
    </x:row>
  </x:sheetData>
  <x:dataValidations count="1">
    <x:dataValidation type="list" allowBlank="0" showDropDown="0" showInputMessage="0" showErrorMessage="0" sqref="C2:C200">
      <x:formula1>"Ativo,Prospect,Inativo"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c7b508d103f4f66"/>
  </x:tableParts>
</x:worksheet>
</file>

<file path=xl/worksheets/sheet9.xml><?xml version="1.0" encoding="utf-8"?>
<x:worksheet xmlns:x="http://schemas.openxmlformats.org/spreadsheetml/2006/main">
  <x:sheetFormatPr baseColWidth="8" defaultRowHeight="14.25"/>
  <x:cols>
    <x:col min="1" max="10" width="18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Região</x:t>
        </x:is>
      </x:c>
      <x:c r="D1" s="4" t="inlineStr">
        <x:is>
          <x:t xml:space="preserve">População</x:t>
        </x:is>
      </x:c>
      <x:c r="E1" s="4" t="inlineStr">
        <x:is>
          <x:t xml:space="preserve">Estádio/Arena</x:t>
        </x:is>
      </x:c>
      <x:c r="F1" s="4" t="inlineStr">
        <x:is>
          <x:t xml:space="preserve">Aeroporto</x:t>
        </x:is>
      </x:c>
      <x:c r="G1" s="4" t="inlineStr">
        <x:is>
          <x:t xml:space="preserve">IAC</x:t>
        </x:is>
      </x:c>
      <x:c r="H1" s="4" t="inlineStr">
        <x:is>
          <x:t xml:space="preserve">INP</x:t>
        </x:is>
      </x:c>
      <x:c r="I1" s="4" t="inlineStr">
        <x:is>
          <x:t xml:space="preserve">Eventos</x:t>
        </x:is>
      </x:c>
      <x:c r="J1" s="4" t="inlineStr">
        <x:is>
          <x:t xml:space="preserve">Observações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23" t="inlineStr">
        <x:is>
          <x:t xml:space="preserve">Sudeste</x:t>
        </x:is>
      </x:c>
      <x:c r="D2" s="23" t="n">
        <x:v>0</x:v>
      </x:c>
      <x:c r="E2" s="23" t="inlineStr">
        <x:is>
          <x:t xml:space="preserve">A definir</x:t>
        </x:is>
      </x:c>
      <x:c r="F2" s="23" t="inlineStr">
        <x:is>
          <x:t xml:space="preserve">A definir</x:t>
        </x:is>
      </x:c>
      <x:c r="G2" s="23" t="e">
        <x:f>_xludf.XLOOKUP(A2,'04_Radar_IAC'!A:A,'04_Radar_IAC'!J:J,0)</x:f>
        <x:v>#NAME?</x:v>
      </x:c>
      <x:c r="H2" s="23" t="e">
        <x:f>_xludf.XLOOKUP(A2,'05_Radar_INP'!A:A,'05_Radar_INP'!J:J,0)</x:f>
        <x:v>#NAME?</x:v>
      </x:c>
      <x:c r="I2" s="23" t="n">
        <x:f>COUNTIF('02_Eventos'!E:E,A2)</x:f>
        <x:v>14</x:v>
      </x:c>
      <x:c r="J2" s="23" t="n"/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23" t="inlineStr">
        <x:is>
          <x:t xml:space="preserve">Sudeste</x:t>
        </x:is>
      </x:c>
      <x:c r="D3" s="23" t="n">
        <x:v>0</x:v>
      </x:c>
      <x:c r="E3" s="23" t="inlineStr">
        <x:is>
          <x:t xml:space="preserve">A definir</x:t>
        </x:is>
      </x:c>
      <x:c r="F3" s="23" t="inlineStr">
        <x:is>
          <x:t xml:space="preserve">A definir</x:t>
        </x:is>
      </x:c>
      <x:c r="G3" s="23" t="e">
        <x:f>_xludf.XLOOKUP(A3,'04_Radar_IAC'!A:A,'04_Radar_IAC'!J:J,0)</x:f>
        <x:v>#NAME?</x:v>
      </x:c>
      <x:c r="H3" s="23" t="e">
        <x:f>_xludf.XLOOKUP(A3,'05_Radar_INP'!A:A,'05_Radar_INP'!J:J,0)</x:f>
        <x:v>#NAME?</x:v>
      </x:c>
      <x:c r="I3" s="23" t="n">
        <x:f>COUNTIF('02_Eventos'!E:E,A3)</x:f>
        <x:v>13</x:v>
      </x:c>
      <x:c r="J3" s="23" t="n"/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23" t="inlineStr">
        <x:is>
          <x:t xml:space="preserve">Sudeste</x:t>
        </x:is>
      </x:c>
      <x:c r="D4" s="23" t="n">
        <x:v>0</x:v>
      </x:c>
      <x:c r="E4" s="23" t="inlineStr">
        <x:is>
          <x:t xml:space="preserve">A definir</x:t>
        </x:is>
      </x:c>
      <x:c r="F4" s="23" t="inlineStr">
        <x:is>
          <x:t xml:space="preserve">A definir</x:t>
        </x:is>
      </x:c>
      <x:c r="G4" s="23" t="e">
        <x:f>_xludf.XLOOKUP(A4,'04_Radar_IAC'!A:A,'04_Radar_IAC'!J:J,0)</x:f>
        <x:v>#NAME?</x:v>
      </x:c>
      <x:c r="H4" s="23" t="e">
        <x:f>_xludf.XLOOKUP(A4,'05_Radar_INP'!A:A,'05_Radar_INP'!J:J,0)</x:f>
        <x:v>#NAME?</x:v>
      </x:c>
      <x:c r="I4" s="23" t="n">
        <x:f>COUNTIF('02_Eventos'!E:E,A4)</x:f>
        <x:v>2</x:v>
      </x:c>
      <x:c r="J4" s="23" t="n"/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23" t="inlineStr">
        <x:is>
          <x:t xml:space="preserve">Nordeste</x:t>
        </x:is>
      </x:c>
      <x:c r="D5" s="23" t="n">
        <x:v>0</x:v>
      </x:c>
      <x:c r="E5" s="23" t="inlineStr">
        <x:is>
          <x:t xml:space="preserve">A definir</x:t>
        </x:is>
      </x:c>
      <x:c r="F5" s="23" t="inlineStr">
        <x:is>
          <x:t xml:space="preserve">A definir</x:t>
        </x:is>
      </x:c>
      <x:c r="G5" s="23" t="e">
        <x:f>_xludf.XLOOKUP(A5,'04_Radar_IAC'!A:A,'04_Radar_IAC'!J:J,0)</x:f>
        <x:v>#NAME?</x:v>
      </x:c>
      <x:c r="H5" s="23" t="e">
        <x:f>_xludf.XLOOKUP(A5,'05_Radar_INP'!A:A,'05_Radar_INP'!J:J,0)</x:f>
        <x:v>#NAME?</x:v>
      </x:c>
      <x:c r="I5" s="23" t="n">
        <x:f>COUNTIF('02_Eventos'!E:E,A5)</x:f>
        <x:v>6</x:v>
      </x:c>
      <x:c r="J5" s="23" t="n"/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23" t="inlineStr">
        <x:is>
          <x:t xml:space="preserve">Nordeste</x:t>
        </x:is>
      </x:c>
      <x:c r="D6" s="23" t="n">
        <x:v>0</x:v>
      </x:c>
      <x:c r="E6" s="23" t="inlineStr">
        <x:is>
          <x:t xml:space="preserve">A definir</x:t>
        </x:is>
      </x:c>
      <x:c r="F6" s="23" t="inlineStr">
        <x:is>
          <x:t xml:space="preserve">A definir</x:t>
        </x:is>
      </x:c>
      <x:c r="G6" s="23" t="e">
        <x:f>_xludf.XLOOKUP(A6,'04_Radar_IAC'!A:A,'04_Radar_IAC'!J:J,0)</x:f>
        <x:v>#NAME?</x:v>
      </x:c>
      <x:c r="H6" s="23" t="e">
        <x:f>_xludf.XLOOKUP(A6,'05_Radar_INP'!A:A,'05_Radar_INP'!J:J,0)</x:f>
        <x:v>#NAME?</x:v>
      </x:c>
      <x:c r="I6" s="23" t="n">
        <x:f>COUNTIF('02_Eventos'!E:E,A6)</x:f>
        <x:v>4</x:v>
      </x:c>
      <x:c r="J6" s="23" t="n"/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23" t="inlineStr">
        <x:is>
          <x:t xml:space="preserve">Nordeste</x:t>
        </x:is>
      </x:c>
      <x:c r="D7" s="23" t="n">
        <x:v>0</x:v>
      </x:c>
      <x:c r="E7" s="23" t="inlineStr">
        <x:is>
          <x:t xml:space="preserve">A definir</x:t>
        </x:is>
      </x:c>
      <x:c r="F7" s="23" t="inlineStr">
        <x:is>
          <x:t xml:space="preserve">A definir</x:t>
        </x:is>
      </x:c>
      <x:c r="G7" s="23" t="e">
        <x:f>_xludf.XLOOKUP(A7,'04_Radar_IAC'!A:A,'04_Radar_IAC'!J:J,0)</x:f>
        <x:v>#NAME?</x:v>
      </x:c>
      <x:c r="H7" s="23" t="e">
        <x:f>_xludf.XLOOKUP(A7,'05_Radar_INP'!A:A,'05_Radar_INP'!J:J,0)</x:f>
        <x:v>#NAME?</x:v>
      </x:c>
      <x:c r="I7" s="23" t="n">
        <x:f>COUNTIF('02_Eventos'!E:E,A7)</x:f>
        <x:v>8</x:v>
      </x:c>
      <x:c r="J7" s="23" t="n"/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23" t="inlineStr">
        <x:is>
          <x:t xml:space="preserve">Centro-Oeste</x:t>
        </x:is>
      </x:c>
      <x:c r="D8" s="23" t="n">
        <x:v>0</x:v>
      </x:c>
      <x:c r="E8" s="23" t="inlineStr">
        <x:is>
          <x:t xml:space="preserve">A definir</x:t>
        </x:is>
      </x:c>
      <x:c r="F8" s="23" t="inlineStr">
        <x:is>
          <x:t xml:space="preserve">A definir</x:t>
        </x:is>
      </x:c>
      <x:c r="G8" s="23" t="e">
        <x:f>_xludf.XLOOKUP(A8,'04_Radar_IAC'!A:A,'04_Radar_IAC'!J:J,0)</x:f>
        <x:v>#NAME?</x:v>
      </x:c>
      <x:c r="H8" s="23" t="e">
        <x:f>_xludf.XLOOKUP(A8,'05_Radar_INP'!A:A,'05_Radar_INP'!J:J,0)</x:f>
        <x:v>#NAME?</x:v>
      </x:c>
      <x:c r="I8" s="23" t="n">
        <x:f>COUNTIF('02_Eventos'!E:E,A8)</x:f>
        <x:v>5</x:v>
      </x:c>
      <x:c r="J8" s="23" t="n"/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23" t="inlineStr">
        <x:is>
          <x:t xml:space="preserve">Sul</x:t>
        </x:is>
      </x:c>
      <x:c r="D9" s="23" t="n">
        <x:v>0</x:v>
      </x:c>
      <x:c r="E9" s="23" t="inlineStr">
        <x:is>
          <x:t xml:space="preserve">A definir</x:t>
        </x:is>
      </x:c>
      <x:c r="F9" s="23" t="inlineStr">
        <x:is>
          <x:t xml:space="preserve">A definir</x:t>
        </x:is>
      </x:c>
      <x:c r="G9" s="23" t="e">
        <x:f>_xludf.XLOOKUP(A9,'04_Radar_IAC'!A:A,'04_Radar_IAC'!J:J,0)</x:f>
        <x:v>#NAME?</x:v>
      </x:c>
      <x:c r="H9" s="23" t="e">
        <x:f>_xludf.XLOOKUP(A9,'05_Radar_INP'!A:A,'05_Radar_INP'!J:J,0)</x:f>
        <x:v>#NAME?</x:v>
      </x:c>
      <x:c r="I9" s="23" t="n">
        <x:f>COUNTIF('02_Eventos'!E:E,A9)</x:f>
        <x:v>9</x:v>
      </x:c>
      <x:c r="J9" s="23" t="n"/>
    </x:row>
  </x:sheetData>
  <x:conditionalFormatting sqref="G2:H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5a692b4ae1b14d7e"/>
  </x:tableParts>
</x:worksheet>
</file>

<file path=xl/worksheets/sheet10.xml><?xml version="1.0" encoding="utf-8"?>
<x:worksheet xmlns:x="http://schemas.openxmlformats.org/spreadsheetml/2006/main">
  <x:sheetFormatPr baseColWidth="8" defaultRowHeight="14.25"/>
  <x:cols>
    <x:col min="1" max="10" width="19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Projeto</x:t>
        </x:is>
      </x:c>
      <x:c r="C1" s="4" t="inlineStr">
        <x:is>
          <x:t xml:space="preserve">Cidade/UF</x:t>
        </x:is>
      </x:c>
      <x:c r="D1" s="4" t="inlineStr">
        <x:is>
          <x:t xml:space="preserve">Eixo</x:t>
        </x:is>
      </x:c>
      <x:c r="E1" s="4" t="inlineStr">
        <x:is>
          <x:t xml:space="preserve">Responsável</x:t>
        </x:is>
      </x:c>
      <x:c r="F1" s="4" t="inlineStr">
        <x:is>
          <x:t xml:space="preserve">Início</x:t>
        </x:is>
      </x:c>
      <x:c r="G1" s="4" t="inlineStr">
        <x:is>
          <x:t xml:space="preserve">Fim</x:t>
        </x:is>
      </x:c>
      <x:c r="H1" s="4" t="inlineStr">
        <x:is>
          <x:t xml:space="preserve">Status</x:t>
        </x:is>
      </x:c>
      <x:c r="I1" s="4" t="inlineStr">
        <x:is>
          <x:t xml:space="preserve">Beneficiários</x:t>
        </x:is>
      </x:c>
      <x:c r="J1" s="4" t="inlineStr">
        <x:is>
          <x:t xml:space="preserve">Resultado Esperado</x:t>
        </x:is>
      </x:c>
    </x:row>
    <x:row r="2">
      <x:c r="A2" s="23" t="inlineStr">
        <x:is>
          <x:t xml:space="preserve">LEG-001</x:t>
        </x:is>
      </x:c>
      <x:c r="B2" s="23" t="inlineStr">
        <x:is>
          <x:t xml:space="preserve">Futebol para Meninas</x:t>
        </x:is>
      </x:c>
      <x:c r="C2" s="23" t="inlineStr">
        <x:is>
          <x:t xml:space="preserve">Rio de Janeiro/RJ</x:t>
        </x:is>
      </x:c>
      <x:c r="D2" s="23" t="inlineStr">
        <x:is>
          <x:t xml:space="preserve">Social</x:t>
        </x:is>
      </x:c>
      <x:c r="E2" s="23" t="inlineStr">
        <x:is>
          <x:t xml:space="preserve">ONG Parceira</x:t>
        </x:is>
      </x:c>
      <x:c r="F2" s="6" t="n">
        <x:v>46235</x:v>
      </x:c>
      <x:c r="G2" s="6" t="n">
        <x:v>46600</x:v>
      </x:c>
      <x:c r="H2" s="23" t="inlineStr">
        <x:is>
          <x:t xml:space="preserve">Em execução</x:t>
        </x:is>
      </x:c>
      <x:c r="I2" s="23" t="n">
        <x:v>1200</x:v>
      </x:c>
      <x:c r="J2" s="23" t="inlineStr">
        <x:is>
          <x:t xml:space="preserve">Ampliar acesso ao esporte</x:t>
        </x:is>
      </x:c>
    </x:row>
    <x:row r="3">
      <x:c r="A3" s="23" t="inlineStr">
        <x:is>
          <x:t xml:space="preserve">LEG-002</x:t>
        </x:is>
      </x:c>
      <x:c r="B3" s="23" t="inlineStr">
        <x:is>
          <x:t xml:space="preserve">Formação de Treinadoras</x:t>
        </x:is>
      </x:c>
      <x:c r="C3" s="23" t="inlineStr">
        <x:is>
          <x:t xml:space="preserve">São Paulo/SP</x:t>
        </x:is>
      </x:c>
      <x:c r="D3" s="23" t="inlineStr">
        <x:is>
          <x:t xml:space="preserve">Capacitação</x:t>
        </x:is>
      </x:c>
      <x:c r="E3" s="23" t="inlineStr">
        <x:is>
          <x:t xml:space="preserve">Federação</x:t>
        </x:is>
      </x:c>
      <x:c r="F3" s="6" t="n">
        <x:v>46266</x:v>
      </x:c>
      <x:c r="G3" s="6" t="n">
        <x:v>46568</x:v>
      </x:c>
      <x:c r="H3" s="23" t="inlineStr">
        <x:is>
          <x:t xml:space="preserve">Planejado</x:t>
        </x:is>
      </x:c>
      <x:c r="I3" s="23" t="n">
        <x:v>250</x:v>
      </x:c>
      <x:c r="J3" s="23" t="inlineStr">
        <x:is>
          <x:t xml:space="preserve">Qualificar profissionais</x:t>
        </x:is>
      </x:c>
    </x:row>
    <x:row r="4">
      <x:c r="A4" s="23" t="inlineStr">
        <x:is>
          <x:t xml:space="preserve">LEG-003</x:t>
        </x:is>
      </x:c>
      <x:c r="B4" s="23" t="inlineStr">
        <x:is>
          <x:t xml:space="preserve">Campos do Futuro</x:t>
        </x:is>
      </x:c>
      <x:c r="C4" s="23" t="inlineStr">
        <x:is>
          <x:t xml:space="preserve">Salvador/BA</x:t>
        </x:is>
      </x:c>
      <x:c r="D4" s="23" t="inlineStr">
        <x:is>
          <x:t xml:space="preserve">Infraestrutura</x:t>
        </x:is>
      </x:c>
      <x:c r="E4" s="23" t="inlineStr">
        <x:is>
          <x:t xml:space="preserve">Prefeitura</x:t>
        </x:is>
      </x:c>
      <x:c r="F4" s="6" t="n">
        <x:v>46296</x:v>
      </x:c>
      <x:c r="G4" s="6" t="n">
        <x:v>46661</x:v>
      </x:c>
      <x:c r="H4" s="23" t="inlineStr">
        <x:is>
          <x:t xml:space="preserve">Planejado</x:t>
        </x:is>
      </x:c>
      <x:c r="I4" s="23" t="n">
        <x:v>5000</x:v>
      </x:c>
      <x:c r="J4" s="23" t="inlineStr">
        <x:is>
          <x:t xml:space="preserve">Revitalizar espaços esportivos</x:t>
        </x:is>
      </x:c>
    </x:row>
    <x:row r="5">
      <x:c r="A5" s="23" t="n"/>
      <x:c r="B5" s="23" t="n"/>
      <x:c r="C5" s="23" t="n"/>
      <x:c r="D5" s="23" t="n"/>
      <x:c r="E5" s="23" t="n"/>
      <x:c r="F5" s="6" t="n"/>
      <x:c r="G5" s="6" t="n"/>
      <x:c r="H5" s="23" t="n"/>
      <x:c r="I5" s="23" t="n"/>
      <x:c r="J5" s="23" t="n"/>
    </x:row>
    <x:row r="6">
      <x:c r="A6" s="23" t="n"/>
      <x:c r="B6" s="23" t="n"/>
      <x:c r="C6" s="23" t="n"/>
      <x:c r="D6" s="23" t="n"/>
      <x:c r="E6" s="23" t="n"/>
      <x:c r="F6" s="6" t="n"/>
      <x:c r="G6" s="6" t="n"/>
      <x:c r="H6" s="23" t="n"/>
      <x:c r="I6" s="23" t="n"/>
      <x:c r="J6" s="23" t="n"/>
    </x:row>
    <x:row r="7">
      <x:c r="A7" s="23" t="n"/>
      <x:c r="B7" s="23" t="n"/>
      <x:c r="C7" s="23" t="n"/>
      <x:c r="D7" s="23" t="n"/>
      <x:c r="E7" s="23" t="n"/>
      <x:c r="F7" s="6" t="n"/>
      <x:c r="G7" s="6" t="n"/>
      <x:c r="H7" s="23" t="n"/>
      <x:c r="I7" s="23" t="n"/>
      <x:c r="J7" s="23" t="n"/>
    </x:row>
    <x:row r="8">
      <x:c r="A8" s="23" t="n"/>
      <x:c r="B8" s="23" t="n"/>
      <x:c r="C8" s="23" t="n"/>
      <x:c r="D8" s="23" t="n"/>
      <x:c r="E8" s="23" t="n"/>
      <x:c r="F8" s="6" t="n"/>
      <x:c r="G8" s="6" t="n"/>
      <x:c r="H8" s="23" t="n"/>
      <x:c r="I8" s="23" t="n"/>
      <x:c r="J8" s="23" t="n"/>
    </x:row>
    <x:row r="9">
      <x:c r="A9" s="23" t="n"/>
      <x:c r="B9" s="23" t="n"/>
      <x:c r="C9" s="23" t="n"/>
      <x:c r="D9" s="23" t="n"/>
      <x:c r="E9" s="23" t="n"/>
      <x:c r="F9" s="6" t="n"/>
      <x:c r="G9" s="6" t="n"/>
      <x:c r="H9" s="23" t="n"/>
      <x:c r="I9" s="23" t="n"/>
      <x:c r="J9" s="23" t="n"/>
    </x:row>
    <x:row r="10">
      <x:c r="A10" s="23" t="n"/>
      <x:c r="B10" s="23" t="n"/>
      <x:c r="C10" s="23" t="n"/>
      <x:c r="D10" s="23" t="n"/>
      <x:c r="E10" s="23" t="n"/>
      <x:c r="F10" s="6" t="n"/>
      <x:c r="G10" s="6" t="n"/>
      <x:c r="H10" s="23" t="n"/>
      <x:c r="I10" s="23" t="n"/>
      <x:c r="J10" s="23" t="n"/>
    </x:row>
    <x:row r="11">
      <x:c r="A11" s="23" t="n"/>
      <x:c r="B11" s="23" t="n"/>
      <x:c r="C11" s="23" t="n"/>
      <x:c r="D11" s="23" t="n"/>
      <x:c r="E11" s="23" t="n"/>
      <x:c r="F11" s="6" t="n"/>
      <x:c r="G11" s="6" t="n"/>
      <x:c r="H11" s="23" t="n"/>
      <x:c r="I11" s="23" t="n"/>
      <x:c r="J11" s="23" t="n"/>
    </x:row>
    <x:row r="12">
      <x:c r="A12" s="23" t="n"/>
      <x:c r="B12" s="23" t="n"/>
      <x:c r="C12" s="23" t="n"/>
      <x:c r="D12" s="23" t="n"/>
      <x:c r="E12" s="23" t="n"/>
      <x:c r="F12" s="6" t="n"/>
      <x:c r="G12" s="6" t="n"/>
      <x:c r="H12" s="23" t="n"/>
      <x:c r="I12" s="23" t="n"/>
      <x:c r="J12" s="23" t="n"/>
    </x:row>
    <x:row r="13">
      <x:c r="A13" s="23" t="n"/>
      <x:c r="B13" s="23" t="n"/>
      <x:c r="C13" s="23" t="n"/>
      <x:c r="D13" s="23" t="n"/>
      <x:c r="E13" s="23" t="n"/>
      <x:c r="F13" s="6" t="n"/>
      <x:c r="G13" s="6" t="n"/>
      <x:c r="H13" s="23" t="n"/>
      <x:c r="I13" s="23" t="n"/>
      <x:c r="J13" s="23" t="n"/>
    </x:row>
    <x:row r="14">
      <x:c r="A14" s="23" t="n"/>
      <x:c r="B14" s="23" t="n"/>
      <x:c r="C14" s="23" t="n"/>
      <x:c r="D14" s="23" t="n"/>
      <x:c r="E14" s="23" t="n"/>
      <x:c r="F14" s="6" t="n"/>
      <x:c r="G14" s="6" t="n"/>
      <x:c r="H14" s="23" t="n"/>
      <x:c r="I14" s="23" t="n"/>
      <x:c r="J14" s="23" t="n"/>
    </x:row>
    <x:row r="15">
      <x:c r="A15" s="23" t="n"/>
      <x:c r="B15" s="23" t="n"/>
      <x:c r="C15" s="23" t="n"/>
      <x:c r="D15" s="23" t="n"/>
      <x:c r="E15" s="23" t="n"/>
      <x:c r="F15" s="6" t="n"/>
      <x:c r="G15" s="6" t="n"/>
      <x:c r="H15" s="23" t="n"/>
      <x:c r="I15" s="23" t="n"/>
      <x:c r="J15" s="23" t="n"/>
    </x:row>
    <x:row r="16">
      <x:c r="A16" s="23" t="n"/>
      <x:c r="B16" s="23" t="n"/>
      <x:c r="C16" s="23" t="n"/>
      <x:c r="D16" s="23" t="n"/>
      <x:c r="E16" s="23" t="n"/>
      <x:c r="F16" s="6" t="n"/>
      <x:c r="G16" s="6" t="n"/>
      <x:c r="H16" s="23" t="n"/>
      <x:c r="I16" s="23" t="n"/>
      <x:c r="J16" s="23" t="n"/>
    </x:row>
    <x:row r="17">
      <x:c r="F17" s="6" t="n"/>
      <x:c r="G17" s="6" t="n"/>
    </x:row>
    <x:row r="18">
      <x:c r="F18" s="6" t="n"/>
      <x:c r="G18" s="6" t="n"/>
    </x:row>
    <x:row r="19">
      <x:c r="F19" s="6" t="n"/>
      <x:c r="G19" s="6" t="n"/>
    </x:row>
    <x:row r="20">
      <x:c r="F20" s="6" t="n"/>
      <x:c r="G20" s="6" t="n"/>
    </x:row>
    <x:row r="21">
      <x:c r="F21" s="6" t="n"/>
      <x:c r="G21" s="6" t="n"/>
    </x:row>
    <x:row r="22">
      <x:c r="F22" s="6" t="n"/>
      <x:c r="G22" s="6" t="n"/>
    </x:row>
    <x:row r="23">
      <x:c r="F23" s="6" t="n"/>
      <x:c r="G23" s="6" t="n"/>
    </x:row>
    <x:row r="24">
      <x:c r="F24" s="6" t="n"/>
      <x:c r="G24" s="6" t="n"/>
    </x:row>
    <x:row r="25">
      <x:c r="F25" s="6" t="n"/>
      <x:c r="G25" s="6" t="n"/>
    </x:row>
    <x:row r="26">
      <x:c r="F26" s="6" t="n"/>
      <x:c r="G26" s="6" t="n"/>
    </x:row>
    <x:row r="27">
      <x:c r="F27" s="6" t="n"/>
      <x:c r="G27" s="6" t="n"/>
    </x:row>
    <x:row r="28">
      <x:c r="F28" s="6" t="n"/>
      <x:c r="G28" s="6" t="n"/>
    </x:row>
    <x:row r="29">
      <x:c r="F29" s="6" t="n"/>
      <x:c r="G29" s="6" t="n"/>
    </x:row>
    <x:row r="30">
      <x:c r="F30" s="6" t="n"/>
      <x:c r="G30" s="6" t="n"/>
    </x:row>
    <x:row r="31">
      <x:c r="F31" s="6" t="n"/>
      <x:c r="G31" s="6" t="n"/>
    </x:row>
    <x:row r="32">
      <x:c r="F32" s="6" t="n"/>
      <x:c r="G32" s="6" t="n"/>
    </x:row>
    <x:row r="33">
      <x:c r="F33" s="6" t="n"/>
      <x:c r="G33" s="6" t="n"/>
    </x:row>
    <x:row r="34">
      <x:c r="F34" s="6" t="n"/>
      <x:c r="G34" s="6" t="n"/>
    </x:row>
    <x:row r="35">
      <x:c r="F35" s="6" t="n"/>
      <x:c r="G35" s="6" t="n"/>
    </x:row>
    <x:row r="36">
      <x:c r="F36" s="6" t="n"/>
      <x:c r="G36" s="6" t="n"/>
    </x:row>
    <x:row r="37">
      <x:c r="F37" s="6" t="n"/>
      <x:c r="G37" s="6" t="n"/>
    </x:row>
    <x:row r="38">
      <x:c r="F38" s="6" t="n"/>
      <x:c r="G38" s="6" t="n"/>
    </x:row>
    <x:row r="39">
      <x:c r="F39" s="6" t="n"/>
      <x:c r="G39" s="6" t="n"/>
    </x:row>
    <x:row r="40">
      <x:c r="F40" s="6" t="n"/>
      <x:c r="G40" s="6" t="n"/>
    </x:row>
    <x:row r="41">
      <x:c r="F41" s="6" t="n"/>
      <x:c r="G41" s="6" t="n"/>
    </x:row>
    <x:row r="42">
      <x:c r="F42" s="6" t="n"/>
      <x:c r="G42" s="6" t="n"/>
    </x:row>
    <x:row r="43">
      <x:c r="F43" s="6" t="n"/>
      <x:c r="G43" s="6" t="n"/>
    </x:row>
    <x:row r="44">
      <x:c r="F44" s="6" t="n"/>
      <x:c r="G44" s="6" t="n"/>
    </x:row>
    <x:row r="45">
      <x:c r="F45" s="6" t="n"/>
      <x:c r="G45" s="6" t="n"/>
    </x:row>
    <x:row r="46">
      <x:c r="F46" s="6" t="n"/>
      <x:c r="G46" s="6" t="n"/>
    </x:row>
    <x:row r="47">
      <x:c r="F47" s="6" t="n"/>
      <x:c r="G47" s="6" t="n"/>
    </x:row>
    <x:row r="48">
      <x:c r="F48" s="6" t="n"/>
      <x:c r="G48" s="6" t="n"/>
    </x:row>
    <x:row r="49">
      <x:c r="F49" s="6" t="n"/>
      <x:c r="G49" s="6" t="n"/>
    </x:row>
    <x:row r="50">
      <x:c r="F50" s="6" t="n"/>
      <x:c r="G50" s="6" t="n"/>
    </x:row>
    <x:row r="51">
      <x:c r="F51" s="6" t="n"/>
      <x:c r="G51" s="6" t="n"/>
    </x:row>
    <x:row r="52">
      <x:c r="F52" s="6" t="n"/>
      <x:c r="G52" s="6" t="n"/>
    </x:row>
    <x:row r="53">
      <x:c r="F53" s="6" t="n"/>
      <x:c r="G53" s="6" t="n"/>
    </x:row>
    <x:row r="54">
      <x:c r="F54" s="6" t="n"/>
      <x:c r="G54" s="6" t="n"/>
    </x:row>
    <x:row r="55">
      <x:c r="F55" s="6" t="n"/>
      <x:c r="G55" s="6" t="n"/>
    </x:row>
    <x:row r="56">
      <x:c r="F56" s="6" t="n"/>
      <x:c r="G56" s="6" t="n"/>
    </x:row>
    <x:row r="57">
      <x:c r="F57" s="6" t="n"/>
      <x:c r="G57" s="6" t="n"/>
    </x:row>
    <x:row r="58">
      <x:c r="F58" s="6" t="n"/>
      <x:c r="G58" s="6" t="n"/>
    </x:row>
    <x:row r="59">
      <x:c r="F59" s="6" t="n"/>
      <x:c r="G59" s="6" t="n"/>
    </x:row>
    <x:row r="60">
      <x:c r="F60" s="6" t="n"/>
      <x:c r="G60" s="6" t="n"/>
    </x:row>
    <x:row r="61">
      <x:c r="F61" s="6" t="n"/>
      <x:c r="G61" s="6" t="n"/>
    </x:row>
    <x:row r="62">
      <x:c r="F62" s="6" t="n"/>
      <x:c r="G62" s="6" t="n"/>
    </x:row>
    <x:row r="63">
      <x:c r="F63" s="6" t="n"/>
      <x:c r="G63" s="6" t="n"/>
    </x:row>
    <x:row r="64">
      <x:c r="F64" s="6" t="n"/>
      <x:c r="G64" s="6" t="n"/>
    </x:row>
    <x:row r="65">
      <x:c r="F65" s="6" t="n"/>
      <x:c r="G65" s="6" t="n"/>
    </x:row>
    <x:row r="66">
      <x:c r="F66" s="6" t="n"/>
      <x:c r="G66" s="6" t="n"/>
    </x:row>
    <x:row r="67">
      <x:c r="F67" s="6" t="n"/>
      <x:c r="G67" s="6" t="n"/>
    </x:row>
    <x:row r="68">
      <x:c r="F68" s="6" t="n"/>
      <x:c r="G68" s="6" t="n"/>
    </x:row>
    <x:row r="69">
      <x:c r="F69" s="6" t="n"/>
      <x:c r="G69" s="6" t="n"/>
    </x:row>
    <x:row r="70">
      <x:c r="F70" s="6" t="n"/>
      <x:c r="G70" s="6" t="n"/>
    </x:row>
    <x:row r="71">
      <x:c r="F71" s="6" t="n"/>
      <x:c r="G71" s="6" t="n"/>
    </x:row>
    <x:row r="72">
      <x:c r="F72" s="6" t="n"/>
      <x:c r="G72" s="6" t="n"/>
    </x:row>
    <x:row r="73">
      <x:c r="F73" s="6" t="n"/>
      <x:c r="G73" s="6" t="n"/>
    </x:row>
    <x:row r="74">
      <x:c r="F74" s="6" t="n"/>
      <x:c r="G74" s="6" t="n"/>
    </x:row>
    <x:row r="75">
      <x:c r="F75" s="6" t="n"/>
      <x:c r="G75" s="6" t="n"/>
    </x:row>
    <x:row r="76">
      <x:c r="F76" s="6" t="n"/>
      <x:c r="G76" s="6" t="n"/>
    </x:row>
    <x:row r="77">
      <x:c r="F77" s="6" t="n"/>
      <x:c r="G77" s="6" t="n"/>
    </x:row>
    <x:row r="78">
      <x:c r="F78" s="6" t="n"/>
      <x:c r="G78" s="6" t="n"/>
    </x:row>
    <x:row r="79">
      <x:c r="F79" s="6" t="n"/>
      <x:c r="G79" s="6" t="n"/>
    </x:row>
    <x:row r="80">
      <x:c r="F80" s="6" t="n"/>
      <x:c r="G80" s="6" t="n"/>
    </x:row>
    <x:row r="81">
      <x:c r="F81" s="6" t="n"/>
      <x:c r="G81" s="6" t="n"/>
    </x:row>
    <x:row r="82">
      <x:c r="F82" s="6" t="n"/>
      <x:c r="G82" s="6" t="n"/>
    </x:row>
    <x:row r="83">
      <x:c r="F83" s="6" t="n"/>
      <x:c r="G83" s="6" t="n"/>
    </x:row>
    <x:row r="84">
      <x:c r="F84" s="6" t="n"/>
      <x:c r="G84" s="6" t="n"/>
    </x:row>
    <x:row r="85">
      <x:c r="F85" s="6" t="n"/>
      <x:c r="G85" s="6" t="n"/>
    </x:row>
    <x:row r="86">
      <x:c r="F86" s="6" t="n"/>
      <x:c r="G86" s="6" t="n"/>
    </x:row>
    <x:row r="87">
      <x:c r="F87" s="6" t="n"/>
      <x:c r="G87" s="6" t="n"/>
    </x:row>
    <x:row r="88">
      <x:c r="F88" s="6" t="n"/>
      <x:c r="G88" s="6" t="n"/>
    </x:row>
    <x:row r="89">
      <x:c r="F89" s="6" t="n"/>
      <x:c r="G89" s="6" t="n"/>
    </x:row>
    <x:row r="90">
      <x:c r="F90" s="6" t="n"/>
      <x:c r="G90" s="6" t="n"/>
    </x:row>
    <x:row r="91">
      <x:c r="F91" s="6" t="n"/>
      <x:c r="G91" s="6" t="n"/>
    </x:row>
    <x:row r="92">
      <x:c r="F92" s="6" t="n"/>
      <x:c r="G92" s="6" t="n"/>
    </x:row>
    <x:row r="93">
      <x:c r="F93" s="6" t="n"/>
      <x:c r="G93" s="6" t="n"/>
    </x:row>
    <x:row r="94">
      <x:c r="F94" s="6" t="n"/>
      <x:c r="G94" s="6" t="n"/>
    </x:row>
    <x:row r="95">
      <x:c r="F95" s="6" t="n"/>
      <x:c r="G95" s="6" t="n"/>
    </x:row>
    <x:row r="96">
      <x:c r="F96" s="6" t="n"/>
      <x:c r="G96" s="6" t="n"/>
    </x:row>
    <x:row r="97">
      <x:c r="F97" s="6" t="n"/>
      <x:c r="G97" s="6" t="n"/>
    </x:row>
    <x:row r="98">
      <x:c r="F98" s="6" t="n"/>
      <x:c r="G98" s="6" t="n"/>
    </x:row>
    <x:row r="99">
      <x:c r="F99" s="6" t="n"/>
      <x:c r="G99" s="6" t="n"/>
    </x:row>
    <x:row r="100">
      <x:c r="F100" s="6" t="n"/>
      <x:c r="G100" s="6" t="n"/>
    </x:row>
    <x:row r="101">
      <x:c r="F101" s="6" t="n"/>
      <x:c r="G101" s="6" t="n"/>
    </x:row>
    <x:row r="102">
      <x:c r="F102" s="6" t="n"/>
      <x:c r="G102" s="6" t="n"/>
    </x:row>
    <x:row r="103">
      <x:c r="F103" s="6" t="n"/>
      <x:c r="G103" s="6" t="n"/>
    </x:row>
    <x:row r="104">
      <x:c r="F104" s="6" t="n"/>
      <x:c r="G104" s="6" t="n"/>
    </x:row>
    <x:row r="105">
      <x:c r="F105" s="6" t="n"/>
      <x:c r="G105" s="6" t="n"/>
    </x:row>
    <x:row r="106">
      <x:c r="F106" s="6" t="n"/>
      <x:c r="G106" s="6" t="n"/>
    </x:row>
    <x:row r="107">
      <x:c r="F107" s="6" t="n"/>
      <x:c r="G107" s="6" t="n"/>
    </x:row>
    <x:row r="108">
      <x:c r="F108" s="6" t="n"/>
      <x:c r="G108" s="6" t="n"/>
    </x:row>
    <x:row r="109">
      <x:c r="F109" s="6" t="n"/>
      <x:c r="G109" s="6" t="n"/>
    </x:row>
    <x:row r="110">
      <x:c r="F110" s="6" t="n"/>
      <x:c r="G110" s="6" t="n"/>
    </x:row>
    <x:row r="111">
      <x:c r="F111" s="6" t="n"/>
      <x:c r="G111" s="6" t="n"/>
    </x:row>
    <x:row r="112">
      <x:c r="F112" s="6" t="n"/>
      <x:c r="G112" s="6" t="n"/>
    </x:row>
    <x:row r="113">
      <x:c r="F113" s="6" t="n"/>
      <x:c r="G113" s="6" t="n"/>
    </x:row>
    <x:row r="114">
      <x:c r="F114" s="6" t="n"/>
      <x:c r="G114" s="6" t="n"/>
    </x:row>
    <x:row r="115">
      <x:c r="F115" s="6" t="n"/>
      <x:c r="G115" s="6" t="n"/>
    </x:row>
    <x:row r="116">
      <x:c r="F116" s="6" t="n"/>
      <x:c r="G116" s="6" t="n"/>
    </x:row>
    <x:row r="117">
      <x:c r="F117" s="6" t="n"/>
      <x:c r="G117" s="6" t="n"/>
    </x:row>
    <x:row r="118">
      <x:c r="F118" s="6" t="n"/>
      <x:c r="G118" s="6" t="n"/>
    </x:row>
    <x:row r="119">
      <x:c r="F119" s="6" t="n"/>
      <x:c r="G119" s="6" t="n"/>
    </x:row>
    <x:row r="120">
      <x:c r="F120" s="6" t="n"/>
      <x:c r="G120" s="6" t="n"/>
    </x:row>
    <x:row r="121">
      <x:c r="F121" s="6" t="n"/>
      <x:c r="G121" s="6" t="n"/>
    </x:row>
    <x:row r="122">
      <x:c r="F122" s="6" t="n"/>
      <x:c r="G122" s="6" t="n"/>
    </x:row>
    <x:row r="123">
      <x:c r="F123" s="6" t="n"/>
      <x:c r="G123" s="6" t="n"/>
    </x:row>
    <x:row r="124">
      <x:c r="F124" s="6" t="n"/>
      <x:c r="G124" s="6" t="n"/>
    </x:row>
    <x:row r="125">
      <x:c r="F125" s="6" t="n"/>
      <x:c r="G125" s="6" t="n"/>
    </x:row>
    <x:row r="126">
      <x:c r="F126" s="6" t="n"/>
      <x:c r="G126" s="6" t="n"/>
    </x:row>
    <x:row r="127">
      <x:c r="F127" s="6" t="n"/>
      <x:c r="G127" s="6" t="n"/>
    </x:row>
    <x:row r="128">
      <x:c r="F128" s="6" t="n"/>
      <x:c r="G128" s="6" t="n"/>
    </x:row>
    <x:row r="129">
      <x:c r="F129" s="6" t="n"/>
      <x:c r="G129" s="6" t="n"/>
    </x:row>
    <x:row r="130">
      <x:c r="F130" s="6" t="n"/>
      <x:c r="G130" s="6" t="n"/>
    </x:row>
    <x:row r="131">
      <x:c r="F131" s="6" t="n"/>
      <x:c r="G131" s="6" t="n"/>
    </x:row>
    <x:row r="132">
      <x:c r="F132" s="6" t="n"/>
      <x:c r="G132" s="6" t="n"/>
    </x:row>
    <x:row r="133">
      <x:c r="F133" s="6" t="n"/>
      <x:c r="G133" s="6" t="n"/>
    </x:row>
    <x:row r="134">
      <x:c r="F134" s="6" t="n"/>
      <x:c r="G134" s="6" t="n"/>
    </x:row>
    <x:row r="135">
      <x:c r="F135" s="6" t="n"/>
      <x:c r="G135" s="6" t="n"/>
    </x:row>
    <x:row r="136">
      <x:c r="F136" s="6" t="n"/>
      <x:c r="G136" s="6" t="n"/>
    </x:row>
    <x:row r="137">
      <x:c r="F137" s="6" t="n"/>
      <x:c r="G137" s="6" t="n"/>
    </x:row>
    <x:row r="138">
      <x:c r="F138" s="6" t="n"/>
      <x:c r="G138" s="6" t="n"/>
    </x:row>
    <x:row r="139">
      <x:c r="F139" s="6" t="n"/>
      <x:c r="G139" s="6" t="n"/>
    </x:row>
    <x:row r="140">
      <x:c r="F140" s="6" t="n"/>
      <x:c r="G140" s="6" t="n"/>
    </x:row>
    <x:row r="141">
      <x:c r="F141" s="6" t="n"/>
      <x:c r="G141" s="6" t="n"/>
    </x:row>
    <x:row r="142">
      <x:c r="F142" s="6" t="n"/>
      <x:c r="G142" s="6" t="n"/>
    </x:row>
    <x:row r="143">
      <x:c r="F143" s="6" t="n"/>
      <x:c r="G143" s="6" t="n"/>
    </x:row>
    <x:row r="144">
      <x:c r="F144" s="6" t="n"/>
      <x:c r="G144" s="6" t="n"/>
    </x:row>
    <x:row r="145">
      <x:c r="F145" s="6" t="n"/>
      <x:c r="G145" s="6" t="n"/>
    </x:row>
    <x:row r="146">
      <x:c r="F146" s="6" t="n"/>
      <x:c r="G146" s="6" t="n"/>
    </x:row>
    <x:row r="147">
      <x:c r="F147" s="6" t="n"/>
      <x:c r="G147" s="6" t="n"/>
    </x:row>
    <x:row r="148">
      <x:c r="F148" s="6" t="n"/>
      <x:c r="G148" s="6" t="n"/>
    </x:row>
    <x:row r="149">
      <x:c r="F149" s="6" t="n"/>
      <x:c r="G149" s="6" t="n"/>
    </x:row>
    <x:row r="150">
      <x:c r="F150" s="6" t="n"/>
      <x:c r="G150" s="6" t="n"/>
    </x:row>
    <x:row r="151">
      <x:c r="F151" s="6" t="n"/>
      <x:c r="G151" s="6" t="n"/>
    </x:row>
    <x:row r="152">
      <x:c r="F152" s="6" t="n"/>
      <x:c r="G152" s="6" t="n"/>
    </x:row>
    <x:row r="153">
      <x:c r="F153" s="6" t="n"/>
      <x:c r="G153" s="6" t="n"/>
    </x:row>
    <x:row r="154">
      <x:c r="F154" s="6" t="n"/>
      <x:c r="G154" s="6" t="n"/>
    </x:row>
    <x:row r="155">
      <x:c r="F155" s="6" t="n"/>
      <x:c r="G155" s="6" t="n"/>
    </x:row>
    <x:row r="156">
      <x:c r="F156" s="6" t="n"/>
      <x:c r="G156" s="6" t="n"/>
    </x:row>
    <x:row r="157">
      <x:c r="F157" s="6" t="n"/>
      <x:c r="G157" s="6" t="n"/>
    </x:row>
    <x:row r="158">
      <x:c r="F158" s="6" t="n"/>
      <x:c r="G158" s="6" t="n"/>
    </x:row>
    <x:row r="159">
      <x:c r="F159" s="6" t="n"/>
      <x:c r="G159" s="6" t="n"/>
    </x:row>
    <x:row r="160">
      <x:c r="F160" s="6" t="n"/>
      <x:c r="G160" s="6" t="n"/>
    </x:row>
    <x:row r="161">
      <x:c r="F161" s="6" t="n"/>
      <x:c r="G161" s="6" t="n"/>
    </x:row>
    <x:row r="162">
      <x:c r="F162" s="6" t="n"/>
      <x:c r="G162" s="6" t="n"/>
    </x:row>
    <x:row r="163">
      <x:c r="F163" s="6" t="n"/>
      <x:c r="G163" s="6" t="n"/>
    </x:row>
    <x:row r="164">
      <x:c r="F164" s="6" t="n"/>
      <x:c r="G164" s="6" t="n"/>
    </x:row>
    <x:row r="165">
      <x:c r="F165" s="6" t="n"/>
      <x:c r="G165" s="6" t="n"/>
    </x:row>
    <x:row r="166">
      <x:c r="F166" s="6" t="n"/>
      <x:c r="G166" s="6" t="n"/>
    </x:row>
    <x:row r="167">
      <x:c r="F167" s="6" t="n"/>
      <x:c r="G167" s="6" t="n"/>
    </x:row>
    <x:row r="168">
      <x:c r="F168" s="6" t="n"/>
      <x:c r="G168" s="6" t="n"/>
    </x:row>
    <x:row r="169">
      <x:c r="F169" s="6" t="n"/>
      <x:c r="G169" s="6" t="n"/>
    </x:row>
    <x:row r="170">
      <x:c r="F170" s="6" t="n"/>
      <x:c r="G170" s="6" t="n"/>
    </x:row>
    <x:row r="171">
      <x:c r="F171" s="6" t="n"/>
      <x:c r="G171" s="6" t="n"/>
    </x:row>
    <x:row r="172">
      <x:c r="F172" s="6" t="n"/>
      <x:c r="G172" s="6" t="n"/>
    </x:row>
    <x:row r="173">
      <x:c r="F173" s="6" t="n"/>
      <x:c r="G173" s="6" t="n"/>
    </x:row>
    <x:row r="174">
      <x:c r="F174" s="6" t="n"/>
      <x:c r="G174" s="6" t="n"/>
    </x:row>
    <x:row r="175">
      <x:c r="F175" s="6" t="n"/>
      <x:c r="G175" s="6" t="n"/>
    </x:row>
    <x:row r="176">
      <x:c r="F176" s="6" t="n"/>
      <x:c r="G176" s="6" t="n"/>
    </x:row>
    <x:row r="177">
      <x:c r="F177" s="6" t="n"/>
      <x:c r="G177" s="6" t="n"/>
    </x:row>
    <x:row r="178">
      <x:c r="F178" s="6" t="n"/>
      <x:c r="G178" s="6" t="n"/>
    </x:row>
    <x:row r="179">
      <x:c r="F179" s="6" t="n"/>
      <x:c r="G179" s="6" t="n"/>
    </x:row>
    <x:row r="180">
      <x:c r="F180" s="6" t="n"/>
      <x:c r="G180" s="6" t="n"/>
    </x:row>
    <x:row r="181">
      <x:c r="F181" s="6" t="n"/>
      <x:c r="G181" s="6" t="n"/>
    </x:row>
    <x:row r="182">
      <x:c r="F182" s="6" t="n"/>
      <x:c r="G182" s="6" t="n"/>
    </x:row>
    <x:row r="183">
      <x:c r="F183" s="6" t="n"/>
      <x:c r="G183" s="6" t="n"/>
    </x:row>
    <x:row r="184">
      <x:c r="F184" s="6" t="n"/>
      <x:c r="G184" s="6" t="n"/>
    </x:row>
    <x:row r="185">
      <x:c r="F185" s="6" t="n"/>
      <x:c r="G185" s="6" t="n"/>
    </x:row>
    <x:row r="186">
      <x:c r="F186" s="6" t="n"/>
      <x:c r="G186" s="6" t="n"/>
    </x:row>
    <x:row r="187">
      <x:c r="F187" s="6" t="n"/>
      <x:c r="G187" s="6" t="n"/>
    </x:row>
    <x:row r="188">
      <x:c r="F188" s="6" t="n"/>
      <x:c r="G188" s="6" t="n"/>
    </x:row>
    <x:row r="189">
      <x:c r="F189" s="6" t="n"/>
      <x:c r="G189" s="6" t="n"/>
    </x:row>
    <x:row r="190">
      <x:c r="F190" s="6" t="n"/>
      <x:c r="G190" s="6" t="n"/>
    </x:row>
    <x:row r="191">
      <x:c r="F191" s="6" t="n"/>
      <x:c r="G191" s="6" t="n"/>
    </x:row>
    <x:row r="192">
      <x:c r="F192" s="6" t="n"/>
      <x:c r="G192" s="6" t="n"/>
    </x:row>
    <x:row r="193">
      <x:c r="F193" s="6" t="n"/>
      <x:c r="G193" s="6" t="n"/>
    </x:row>
    <x:row r="194">
      <x:c r="F194" s="6" t="n"/>
      <x:c r="G194" s="6" t="n"/>
    </x:row>
    <x:row r="195">
      <x:c r="F195" s="6" t="n"/>
      <x:c r="G195" s="6" t="n"/>
    </x:row>
    <x:row r="196">
      <x:c r="F196" s="6" t="n"/>
      <x:c r="G196" s="6" t="n"/>
    </x:row>
    <x:row r="197">
      <x:c r="F197" s="6" t="n"/>
      <x:c r="G197" s="6" t="n"/>
    </x:row>
    <x:row r="198">
      <x:c r="F198" s="6" t="n"/>
      <x:c r="G198" s="6" t="n"/>
    </x:row>
    <x:row r="199">
      <x:c r="F199" s="6" t="n"/>
      <x:c r="G199" s="6" t="n"/>
    </x:row>
    <x:row r="200">
      <x:c r="F200" s="6" t="n"/>
      <x:c r="G200" s="6" t="n"/>
    </x:row>
    <x:row r="201">
      <x:c r="F201" s="6" t="n"/>
      <x:c r="G201" s="6" t="n"/>
    </x:row>
    <x:row r="202">
      <x:c r="F202" s="6" t="n"/>
      <x:c r="G202" s="6" t="n"/>
    </x:row>
    <x:row r="203">
      <x:c r="F203" s="6" t="n"/>
      <x:c r="G203" s="6" t="n"/>
    </x:row>
    <x:row r="204">
      <x:c r="F204" s="6" t="n"/>
      <x:c r="G204" s="6" t="n"/>
    </x:row>
    <x:row r="205">
      <x:c r="F205" s="6" t="n"/>
      <x:c r="G205" s="6" t="n"/>
    </x:row>
    <x:row r="206">
      <x:c r="F206" s="6" t="n"/>
      <x:c r="G206" s="6" t="n"/>
    </x:row>
    <x:row r="207">
      <x:c r="F207" s="6" t="n"/>
      <x:c r="G207" s="6" t="n"/>
    </x:row>
    <x:row r="208">
      <x:c r="F208" s="6" t="n"/>
      <x:c r="G208" s="6" t="n"/>
    </x:row>
    <x:row r="209">
      <x:c r="F209" s="6" t="n"/>
      <x:c r="G209" s="6" t="n"/>
    </x:row>
    <x:row r="210">
      <x:c r="F210" s="6" t="n"/>
      <x:c r="G210" s="6" t="n"/>
    </x:row>
    <x:row r="211">
      <x:c r="F211" s="6" t="n"/>
      <x:c r="G211" s="6" t="n"/>
    </x:row>
    <x:row r="212">
      <x:c r="F212" s="6" t="n"/>
      <x:c r="G212" s="6" t="n"/>
    </x:row>
    <x:row r="213">
      <x:c r="F213" s="6" t="n"/>
      <x:c r="G213" s="6" t="n"/>
    </x:row>
    <x:row r="214">
      <x:c r="F214" s="6" t="n"/>
      <x:c r="G214" s="6" t="n"/>
    </x:row>
    <x:row r="215">
      <x:c r="F215" s="6" t="n"/>
      <x:c r="G215" s="6" t="n"/>
    </x:row>
    <x:row r="216">
      <x:c r="F216" s="6" t="n"/>
      <x:c r="G216" s="6" t="n"/>
    </x:row>
    <x:row r="217">
      <x:c r="F217" s="6" t="n"/>
      <x:c r="G217" s="6" t="n"/>
    </x:row>
    <x:row r="218">
      <x:c r="F218" s="6" t="n"/>
      <x:c r="G218" s="6" t="n"/>
    </x:row>
    <x:row r="219">
      <x:c r="F219" s="6" t="n"/>
      <x:c r="G219" s="6" t="n"/>
    </x:row>
    <x:row r="220">
      <x:c r="F220" s="6" t="n"/>
      <x:c r="G220" s="6" t="n"/>
    </x:row>
    <x:row r="221">
      <x:c r="F221" s="6" t="n"/>
      <x:c r="G221" s="6" t="n"/>
    </x:row>
    <x:row r="222">
      <x:c r="F222" s="6" t="n"/>
      <x:c r="G222" s="6" t="n"/>
    </x:row>
    <x:row r="223">
      <x:c r="F223" s="6" t="n"/>
      <x:c r="G223" s="6" t="n"/>
    </x:row>
    <x:row r="224">
      <x:c r="F224" s="6" t="n"/>
      <x:c r="G224" s="6" t="n"/>
    </x:row>
    <x:row r="225">
      <x:c r="F225" s="6" t="n"/>
      <x:c r="G225" s="6" t="n"/>
    </x:row>
    <x:row r="226">
      <x:c r="F226" s="6" t="n"/>
      <x:c r="G226" s="6" t="n"/>
    </x:row>
    <x:row r="227">
      <x:c r="F227" s="6" t="n"/>
      <x:c r="G227" s="6" t="n"/>
    </x:row>
    <x:row r="228">
      <x:c r="F228" s="6" t="n"/>
      <x:c r="G228" s="6" t="n"/>
    </x:row>
    <x:row r="229">
      <x:c r="F229" s="6" t="n"/>
      <x:c r="G229" s="6" t="n"/>
    </x:row>
    <x:row r="230">
      <x:c r="F230" s="6" t="n"/>
      <x:c r="G230" s="6" t="n"/>
    </x:row>
    <x:row r="231">
      <x:c r="F231" s="6" t="n"/>
      <x:c r="G231" s="6" t="n"/>
    </x:row>
    <x:row r="232">
      <x:c r="F232" s="6" t="n"/>
      <x:c r="G232" s="6" t="n"/>
    </x:row>
    <x:row r="233">
      <x:c r="F233" s="6" t="n"/>
      <x:c r="G233" s="6" t="n"/>
    </x:row>
    <x:row r="234">
      <x:c r="F234" s="6" t="n"/>
      <x:c r="G234" s="6" t="n"/>
    </x:row>
    <x:row r="235">
      <x:c r="F235" s="6" t="n"/>
      <x:c r="G235" s="6" t="n"/>
    </x:row>
    <x:row r="236">
      <x:c r="F236" s="6" t="n"/>
      <x:c r="G236" s="6" t="n"/>
    </x:row>
    <x:row r="237">
      <x:c r="F237" s="6" t="n"/>
      <x:c r="G237" s="6" t="n"/>
    </x:row>
    <x:row r="238">
      <x:c r="F238" s="6" t="n"/>
      <x:c r="G238" s="6" t="n"/>
    </x:row>
    <x:row r="239">
      <x:c r="F239" s="6" t="n"/>
      <x:c r="G239" s="6" t="n"/>
    </x:row>
    <x:row r="240">
      <x:c r="F240" s="6" t="n"/>
      <x:c r="G240" s="6" t="n"/>
    </x:row>
    <x:row r="241">
      <x:c r="F241" s="6" t="n"/>
      <x:c r="G241" s="6" t="n"/>
    </x:row>
    <x:row r="242">
      <x:c r="F242" s="6" t="n"/>
      <x:c r="G242" s="6" t="n"/>
    </x:row>
    <x:row r="243">
      <x:c r="F243" s="6" t="n"/>
      <x:c r="G243" s="6" t="n"/>
    </x:row>
    <x:row r="244">
      <x:c r="F244" s="6" t="n"/>
      <x:c r="G244" s="6" t="n"/>
    </x:row>
    <x:row r="245">
      <x:c r="F245" s="6" t="n"/>
      <x:c r="G245" s="6" t="n"/>
    </x:row>
    <x:row r="246">
      <x:c r="F246" s="6" t="n"/>
      <x:c r="G246" s="6" t="n"/>
    </x:row>
    <x:row r="247">
      <x:c r="F247" s="6" t="n"/>
      <x:c r="G247" s="6" t="n"/>
    </x:row>
    <x:row r="248">
      <x:c r="F248" s="6" t="n"/>
      <x:c r="G248" s="6" t="n"/>
    </x:row>
    <x:row r="249">
      <x:c r="F249" s="6" t="n"/>
      <x:c r="G249" s="6" t="n"/>
    </x:row>
    <x:row r="250">
      <x:c r="F250" s="6" t="n"/>
      <x:c r="G250" s="6" t="n"/>
    </x:row>
    <x:row r="251">
      <x:c r="F251" s="6" t="n"/>
      <x:c r="G251" s="6" t="n"/>
    </x:row>
    <x:row r="252">
      <x:c r="F252" s="6" t="n"/>
      <x:c r="G252" s="6" t="n"/>
    </x:row>
    <x:row r="253">
      <x:c r="F253" s="6" t="n"/>
      <x:c r="G253" s="6" t="n"/>
    </x:row>
    <x:row r="254">
      <x:c r="F254" s="6" t="n"/>
      <x:c r="G254" s="6" t="n"/>
    </x:row>
    <x:row r="255">
      <x:c r="F255" s="6" t="n"/>
      <x:c r="G255" s="6" t="n"/>
    </x:row>
    <x:row r="256">
      <x:c r="F256" s="6" t="n"/>
      <x:c r="G256" s="6" t="n"/>
    </x:row>
    <x:row r="257">
      <x:c r="F257" s="6" t="n"/>
      <x:c r="G257" s="6" t="n"/>
    </x:row>
    <x:row r="258">
      <x:c r="F258" s="6" t="n"/>
      <x:c r="G258" s="6" t="n"/>
    </x:row>
    <x:row r="259">
      <x:c r="F259" s="6" t="n"/>
      <x:c r="G259" s="6" t="n"/>
    </x:row>
    <x:row r="260">
      <x:c r="F260" s="6" t="n"/>
      <x:c r="G260" s="6" t="n"/>
    </x:row>
    <x:row r="261">
      <x:c r="F261" s="6" t="n"/>
      <x:c r="G261" s="6" t="n"/>
    </x:row>
    <x:row r="262">
      <x:c r="F262" s="6" t="n"/>
      <x:c r="G262" s="6" t="n"/>
    </x:row>
    <x:row r="263">
      <x:c r="F263" s="6" t="n"/>
      <x:c r="G263" s="6" t="n"/>
    </x:row>
    <x:row r="264">
      <x:c r="F264" s="6" t="n"/>
      <x:c r="G264" s="6" t="n"/>
    </x:row>
    <x:row r="265">
      <x:c r="F265" s="6" t="n"/>
      <x:c r="G265" s="6" t="n"/>
    </x:row>
    <x:row r="266">
      <x:c r="F266" s="6" t="n"/>
      <x:c r="G266" s="6" t="n"/>
    </x:row>
    <x:row r="267">
      <x:c r="F267" s="6" t="n"/>
      <x:c r="G267" s="6" t="n"/>
    </x:row>
    <x:row r="268">
      <x:c r="F268" s="6" t="n"/>
      <x:c r="G268" s="6" t="n"/>
    </x:row>
    <x:row r="269">
      <x:c r="F269" s="6" t="n"/>
      <x:c r="G269" s="6" t="n"/>
    </x:row>
    <x:row r="270">
      <x:c r="F270" s="6" t="n"/>
      <x:c r="G270" s="6" t="n"/>
    </x:row>
    <x:row r="271">
      <x:c r="F271" s="6" t="n"/>
      <x:c r="G271" s="6" t="n"/>
    </x:row>
    <x:row r="272">
      <x:c r="F272" s="6" t="n"/>
      <x:c r="G272" s="6" t="n"/>
    </x:row>
    <x:row r="273">
      <x:c r="F273" s="6" t="n"/>
      <x:c r="G273" s="6" t="n"/>
    </x:row>
    <x:row r="274">
      <x:c r="F274" s="6" t="n"/>
      <x:c r="G274" s="6" t="n"/>
    </x:row>
    <x:row r="275">
      <x:c r="F275" s="6" t="n"/>
      <x:c r="G275" s="6" t="n"/>
    </x:row>
    <x:row r="276">
      <x:c r="F276" s="6" t="n"/>
      <x:c r="G276" s="6" t="n"/>
    </x:row>
    <x:row r="277">
      <x:c r="F277" s="6" t="n"/>
      <x:c r="G277" s="6" t="n"/>
    </x:row>
    <x:row r="278">
      <x:c r="F278" s="6" t="n"/>
      <x:c r="G278" s="6" t="n"/>
    </x:row>
    <x:row r="279">
      <x:c r="F279" s="6" t="n"/>
      <x:c r="G279" s="6" t="n"/>
    </x:row>
    <x:row r="280">
      <x:c r="F280" s="6" t="n"/>
      <x:c r="G280" s="6" t="n"/>
    </x:row>
    <x:row r="281">
      <x:c r="F281" s="6" t="n"/>
      <x:c r="G281" s="6" t="n"/>
    </x:row>
    <x:row r="282">
      <x:c r="F282" s="6" t="n"/>
      <x:c r="G282" s="6" t="n"/>
    </x:row>
    <x:row r="283">
      <x:c r="F283" s="6" t="n"/>
      <x:c r="G283" s="6" t="n"/>
    </x:row>
    <x:row r="284">
      <x:c r="F284" s="6" t="n"/>
      <x:c r="G284" s="6" t="n"/>
    </x:row>
    <x:row r="285">
      <x:c r="F285" s="6" t="n"/>
      <x:c r="G285" s="6" t="n"/>
    </x:row>
    <x:row r="286">
      <x:c r="F286" s="6" t="n"/>
      <x:c r="G286" s="6" t="n"/>
    </x:row>
    <x:row r="287">
      <x:c r="F287" s="6" t="n"/>
      <x:c r="G287" s="6" t="n"/>
    </x:row>
    <x:row r="288">
      <x:c r="F288" s="6" t="n"/>
      <x:c r="G288" s="6" t="n"/>
    </x:row>
    <x:row r="289">
      <x:c r="F289" s="6" t="n"/>
      <x:c r="G289" s="6" t="n"/>
    </x:row>
    <x:row r="290">
      <x:c r="F290" s="6" t="n"/>
      <x:c r="G290" s="6" t="n"/>
    </x:row>
    <x:row r="291">
      <x:c r="F291" s="6" t="n"/>
      <x:c r="G291" s="6" t="n"/>
    </x:row>
    <x:row r="292">
      <x:c r="F292" s="6" t="n"/>
      <x:c r="G292" s="6" t="n"/>
    </x:row>
    <x:row r="293">
      <x:c r="F293" s="6" t="n"/>
      <x:c r="G293" s="6" t="n"/>
    </x:row>
    <x:row r="294">
      <x:c r="F294" s="6" t="n"/>
      <x:c r="G294" s="6" t="n"/>
    </x:row>
    <x:row r="295">
      <x:c r="F295" s="6" t="n"/>
      <x:c r="G295" s="6" t="n"/>
    </x:row>
    <x:row r="296">
      <x:c r="F296" s="6" t="n"/>
      <x:c r="G296" s="6" t="n"/>
    </x:row>
    <x:row r="297">
      <x:c r="F297" s="6" t="n"/>
      <x:c r="G297" s="6" t="n"/>
    </x:row>
    <x:row r="298">
      <x:c r="F298" s="6" t="n"/>
      <x:c r="G298" s="6" t="n"/>
    </x:row>
    <x:row r="299">
      <x:c r="F299" s="6" t="n"/>
      <x:c r="G299" s="6" t="n"/>
    </x:row>
    <x:row r="300">
      <x:c r="F300" s="6" t="n"/>
      <x:c r="G300" s="6" t="n"/>
    </x:row>
    <x:row r="301">
      <x:c r="F301" s="6" t="n"/>
      <x:c r="G301" s="6" t="n"/>
    </x:row>
    <x:row r="302">
      <x:c r="F302" s="6" t="n"/>
      <x:c r="G302" s="6" t="n"/>
    </x:row>
    <x:row r="303">
      <x:c r="F303" s="6" t="n"/>
      <x:c r="G303" s="6" t="n"/>
    </x:row>
    <x:row r="304">
      <x:c r="F304" s="6" t="n"/>
      <x:c r="G304" s="6" t="n"/>
    </x:row>
    <x:row r="305">
      <x:c r="F305" s="6" t="n"/>
      <x:c r="G305" s="6" t="n"/>
    </x:row>
    <x:row r="306">
      <x:c r="F306" s="6" t="n"/>
      <x:c r="G306" s="6" t="n"/>
    </x:row>
    <x:row r="307">
      <x:c r="F307" s="6" t="n"/>
      <x:c r="G307" s="6" t="n"/>
    </x:row>
    <x:row r="308">
      <x:c r="F308" s="6" t="n"/>
      <x:c r="G308" s="6" t="n"/>
    </x:row>
    <x:row r="309">
      <x:c r="F309" s="6" t="n"/>
      <x:c r="G309" s="6" t="n"/>
    </x:row>
    <x:row r="310">
      <x:c r="F310" s="6" t="n"/>
      <x:c r="G310" s="6" t="n"/>
    </x:row>
    <x:row r="311">
      <x:c r="F311" s="6" t="n"/>
      <x:c r="G311" s="6" t="n"/>
    </x:row>
    <x:row r="312">
      <x:c r="F312" s="6" t="n"/>
      <x:c r="G312" s="6" t="n"/>
    </x:row>
    <x:row r="313">
      <x:c r="F313" s="6" t="n"/>
      <x:c r="G313" s="6" t="n"/>
    </x:row>
    <x:row r="314">
      <x:c r="F314" s="6" t="n"/>
      <x:c r="G314" s="6" t="n"/>
    </x:row>
    <x:row r="315">
      <x:c r="F315" s="6" t="n"/>
      <x:c r="G315" s="6" t="n"/>
    </x:row>
    <x:row r="316">
      <x:c r="F316" s="6" t="n"/>
      <x:c r="G316" s="6" t="n"/>
    </x:row>
    <x:row r="317">
      <x:c r="F317" s="6" t="n"/>
      <x:c r="G317" s="6" t="n"/>
    </x:row>
    <x:row r="318">
      <x:c r="F318" s="6" t="n"/>
      <x:c r="G318" s="6" t="n"/>
    </x:row>
    <x:row r="319">
      <x:c r="F319" s="6" t="n"/>
      <x:c r="G319" s="6" t="n"/>
    </x:row>
    <x:row r="320">
      <x:c r="F320" s="6" t="n"/>
      <x:c r="G320" s="6" t="n"/>
    </x:row>
    <x:row r="321">
      <x:c r="F321" s="6" t="n"/>
      <x:c r="G321" s="6" t="n"/>
    </x:row>
    <x:row r="322">
      <x:c r="F322" s="6" t="n"/>
      <x:c r="G322" s="6" t="n"/>
    </x:row>
    <x:row r="323">
      <x:c r="F323" s="6" t="n"/>
      <x:c r="G323" s="6" t="n"/>
    </x:row>
    <x:row r="324">
      <x:c r="F324" s="6" t="n"/>
      <x:c r="G324" s="6" t="n"/>
    </x:row>
    <x:row r="325">
      <x:c r="F325" s="6" t="n"/>
      <x:c r="G325" s="6" t="n"/>
    </x:row>
    <x:row r="326">
      <x:c r="F326" s="6" t="n"/>
      <x:c r="G326" s="6" t="n"/>
    </x:row>
    <x:row r="327">
      <x:c r="F327" s="6" t="n"/>
      <x:c r="G327" s="6" t="n"/>
    </x:row>
    <x:row r="328">
      <x:c r="F328" s="6" t="n"/>
      <x:c r="G328" s="6" t="n"/>
    </x:row>
    <x:row r="329">
      <x:c r="F329" s="6" t="n"/>
      <x:c r="G329" s="6" t="n"/>
    </x:row>
    <x:row r="330">
      <x:c r="F330" s="6" t="n"/>
      <x:c r="G330" s="6" t="n"/>
    </x:row>
    <x:row r="331">
      <x:c r="F331" s="6" t="n"/>
      <x:c r="G331" s="6" t="n"/>
    </x:row>
    <x:row r="332">
      <x:c r="F332" s="6" t="n"/>
      <x:c r="G332" s="6" t="n"/>
    </x:row>
    <x:row r="333">
      <x:c r="F333" s="6" t="n"/>
      <x:c r="G333" s="6" t="n"/>
    </x:row>
    <x:row r="334">
      <x:c r="F334" s="6" t="n"/>
      <x:c r="G334" s="6" t="n"/>
    </x:row>
    <x:row r="335">
      <x:c r="F335" s="6" t="n"/>
      <x:c r="G335" s="6" t="n"/>
    </x:row>
    <x:row r="336">
      <x:c r="F336" s="6" t="n"/>
      <x:c r="G336" s="6" t="n"/>
    </x:row>
    <x:row r="337">
      <x:c r="F337" s="6" t="n"/>
      <x:c r="G337" s="6" t="n"/>
    </x:row>
    <x:row r="338">
      <x:c r="F338" s="6" t="n"/>
      <x:c r="G338" s="6" t="n"/>
    </x:row>
    <x:row r="339">
      <x:c r="F339" s="6" t="n"/>
      <x:c r="G339" s="6" t="n"/>
    </x:row>
    <x:row r="340">
      <x:c r="F340" s="6" t="n"/>
      <x:c r="G340" s="6" t="n"/>
    </x:row>
    <x:row r="341">
      <x:c r="F341" s="6" t="n"/>
      <x:c r="G341" s="6" t="n"/>
    </x:row>
    <x:row r="342">
      <x:c r="F342" s="6" t="n"/>
      <x:c r="G342" s="6" t="n"/>
    </x:row>
    <x:row r="343">
      <x:c r="F343" s="6" t="n"/>
      <x:c r="G343" s="6" t="n"/>
    </x:row>
    <x:row r="344">
      <x:c r="F344" s="6" t="n"/>
      <x:c r="G344" s="6" t="n"/>
    </x:row>
    <x:row r="345">
      <x:c r="F345" s="6" t="n"/>
      <x:c r="G345" s="6" t="n"/>
    </x:row>
    <x:row r="346">
      <x:c r="F346" s="6" t="n"/>
      <x:c r="G346" s="6" t="n"/>
    </x:row>
    <x:row r="347">
      <x:c r="F347" s="6" t="n"/>
      <x:c r="G347" s="6" t="n"/>
    </x:row>
    <x:row r="348">
      <x:c r="F348" s="6" t="n"/>
      <x:c r="G348" s="6" t="n"/>
    </x:row>
    <x:row r="349">
      <x:c r="F349" s="6" t="n"/>
      <x:c r="G349" s="6" t="n"/>
    </x:row>
    <x:row r="350">
      <x:c r="F350" s="6" t="n"/>
      <x:c r="G350" s="6" t="n"/>
    </x:row>
    <x:row r="351">
      <x:c r="F351" s="6" t="n"/>
      <x:c r="G351" s="6" t="n"/>
    </x:row>
    <x:row r="352">
      <x:c r="F352" s="6" t="n"/>
      <x:c r="G352" s="6" t="n"/>
    </x:row>
    <x:row r="353">
      <x:c r="F353" s="6" t="n"/>
      <x:c r="G353" s="6" t="n"/>
    </x:row>
    <x:row r="354">
      <x:c r="F354" s="6" t="n"/>
      <x:c r="G354" s="6" t="n"/>
    </x:row>
    <x:row r="355">
      <x:c r="F355" s="6" t="n"/>
      <x:c r="G355" s="6" t="n"/>
    </x:row>
    <x:row r="356">
      <x:c r="F356" s="6" t="n"/>
      <x:c r="G356" s="6" t="n"/>
    </x:row>
    <x:row r="357">
      <x:c r="F357" s="6" t="n"/>
      <x:c r="G357" s="6" t="n"/>
    </x:row>
    <x:row r="358">
      <x:c r="F358" s="6" t="n"/>
      <x:c r="G358" s="6" t="n"/>
    </x:row>
    <x:row r="359">
      <x:c r="F359" s="6" t="n"/>
      <x:c r="G359" s="6" t="n"/>
    </x:row>
    <x:row r="360">
      <x:c r="F360" s="6" t="n"/>
      <x:c r="G360" s="6" t="n"/>
    </x:row>
    <x:row r="361">
      <x:c r="F361" s="6" t="n"/>
      <x:c r="G361" s="6" t="n"/>
    </x:row>
    <x:row r="362">
      <x:c r="F362" s="6" t="n"/>
      <x:c r="G362" s="6" t="n"/>
    </x:row>
    <x:row r="363">
      <x:c r="F363" s="6" t="n"/>
      <x:c r="G363" s="6" t="n"/>
    </x:row>
    <x:row r="364">
      <x:c r="F364" s="6" t="n"/>
      <x:c r="G364" s="6" t="n"/>
    </x:row>
    <x:row r="365">
      <x:c r="F365" s="6" t="n"/>
      <x:c r="G365" s="6" t="n"/>
    </x:row>
    <x:row r="366">
      <x:c r="F366" s="6" t="n"/>
      <x:c r="G366" s="6" t="n"/>
    </x:row>
    <x:row r="367">
      <x:c r="F367" s="6" t="n"/>
      <x:c r="G367" s="6" t="n"/>
    </x:row>
    <x:row r="368">
      <x:c r="F368" s="6" t="n"/>
      <x:c r="G368" s="6" t="n"/>
    </x:row>
    <x:row r="369">
      <x:c r="F369" s="6" t="n"/>
      <x:c r="G369" s="6" t="n"/>
    </x:row>
    <x:row r="370">
      <x:c r="F370" s="6" t="n"/>
      <x:c r="G370" s="6" t="n"/>
    </x:row>
    <x:row r="371">
      <x:c r="F371" s="6" t="n"/>
      <x:c r="G371" s="6" t="n"/>
    </x:row>
    <x:row r="372">
      <x:c r="F372" s="6" t="n"/>
      <x:c r="G372" s="6" t="n"/>
    </x:row>
    <x:row r="373">
      <x:c r="F373" s="6" t="n"/>
      <x:c r="G373" s="6" t="n"/>
    </x:row>
    <x:row r="374">
      <x:c r="F374" s="6" t="n"/>
      <x:c r="G374" s="6" t="n"/>
    </x:row>
    <x:row r="375">
      <x:c r="F375" s="6" t="n"/>
      <x:c r="G375" s="6" t="n"/>
    </x:row>
    <x:row r="376">
      <x:c r="F376" s="6" t="n"/>
      <x:c r="G376" s="6" t="n"/>
    </x:row>
    <x:row r="377">
      <x:c r="F377" s="6" t="n"/>
      <x:c r="G377" s="6" t="n"/>
    </x:row>
    <x:row r="378">
      <x:c r="F378" s="6" t="n"/>
      <x:c r="G378" s="6" t="n"/>
    </x:row>
    <x:row r="379">
      <x:c r="F379" s="6" t="n"/>
      <x:c r="G379" s="6" t="n"/>
    </x:row>
    <x:row r="380">
      <x:c r="F380" s="6" t="n"/>
      <x:c r="G380" s="6" t="n"/>
    </x:row>
    <x:row r="381">
      <x:c r="F381" s="6" t="n"/>
      <x:c r="G381" s="6" t="n"/>
    </x:row>
    <x:row r="382">
      <x:c r="F382" s="6" t="n"/>
      <x:c r="G382" s="6" t="n"/>
    </x:row>
    <x:row r="383">
      <x:c r="F383" s="6" t="n"/>
      <x:c r="G383" s="6" t="n"/>
    </x:row>
    <x:row r="384">
      <x:c r="F384" s="6" t="n"/>
      <x:c r="G384" s="6" t="n"/>
    </x:row>
    <x:row r="385">
      <x:c r="F385" s="6" t="n"/>
      <x:c r="G385" s="6" t="n"/>
    </x:row>
    <x:row r="386">
      <x:c r="F386" s="6" t="n"/>
      <x:c r="G386" s="6" t="n"/>
    </x:row>
    <x:row r="387">
      <x:c r="F387" s="6" t="n"/>
      <x:c r="G387" s="6" t="n"/>
    </x:row>
    <x:row r="388">
      <x:c r="F388" s="6" t="n"/>
      <x:c r="G388" s="6" t="n"/>
    </x:row>
    <x:row r="389">
      <x:c r="F389" s="6" t="n"/>
      <x:c r="G389" s="6" t="n"/>
    </x:row>
    <x:row r="390">
      <x:c r="F390" s="6" t="n"/>
      <x:c r="G390" s="6" t="n"/>
    </x:row>
    <x:row r="391">
      <x:c r="F391" s="6" t="n"/>
      <x:c r="G391" s="6" t="n"/>
    </x:row>
    <x:row r="392">
      <x:c r="F392" s="6" t="n"/>
      <x:c r="G392" s="6" t="n"/>
    </x:row>
    <x:row r="393">
      <x:c r="F393" s="6" t="n"/>
      <x:c r="G393" s="6" t="n"/>
    </x:row>
    <x:row r="394">
      <x:c r="F394" s="6" t="n"/>
      <x:c r="G394" s="6" t="n"/>
    </x:row>
    <x:row r="395">
      <x:c r="F395" s="6" t="n"/>
      <x:c r="G395" s="6" t="n"/>
    </x:row>
    <x:row r="396">
      <x:c r="F396" s="6" t="n"/>
      <x:c r="G396" s="6" t="n"/>
    </x:row>
    <x:row r="397">
      <x:c r="F397" s="6" t="n"/>
      <x:c r="G397" s="6" t="n"/>
    </x:row>
    <x:row r="398">
      <x:c r="F398" s="6" t="n"/>
      <x:c r="G398" s="6" t="n"/>
    </x:row>
    <x:row r="399">
      <x:c r="F399" s="6" t="n"/>
      <x:c r="G399" s="6" t="n"/>
    </x:row>
    <x:row r="400">
      <x:c r="F400" s="6" t="n"/>
      <x:c r="G400" s="6" t="n"/>
    </x:row>
    <x:row r="401">
      <x:c r="F401" s="6" t="n"/>
      <x:c r="G401" s="6" t="n"/>
    </x:row>
    <x:row r="402">
      <x:c r="F402" s="6" t="n"/>
      <x:c r="G402" s="6" t="n"/>
    </x:row>
    <x:row r="403">
      <x:c r="F403" s="6" t="n"/>
      <x:c r="G403" s="6" t="n"/>
    </x:row>
    <x:row r="404">
      <x:c r="F404" s="6" t="n"/>
      <x:c r="G404" s="6" t="n"/>
    </x:row>
    <x:row r="405">
      <x:c r="F405" s="6" t="n"/>
      <x:c r="G405" s="6" t="n"/>
    </x:row>
    <x:row r="406">
      <x:c r="F406" s="6" t="n"/>
      <x:c r="G406" s="6" t="n"/>
    </x:row>
    <x:row r="407">
      <x:c r="F407" s="6" t="n"/>
      <x:c r="G407" s="6" t="n"/>
    </x:row>
    <x:row r="408">
      <x:c r="F408" s="6" t="n"/>
      <x:c r="G408" s="6" t="n"/>
    </x:row>
    <x:row r="409">
      <x:c r="F409" s="6" t="n"/>
      <x:c r="G409" s="6" t="n"/>
    </x:row>
    <x:row r="410">
      <x:c r="F410" s="6" t="n"/>
      <x:c r="G410" s="6" t="n"/>
    </x:row>
    <x:row r="411">
      <x:c r="F411" s="6" t="n"/>
      <x:c r="G411" s="6" t="n"/>
    </x:row>
    <x:row r="412">
      <x:c r="F412" s="6" t="n"/>
      <x:c r="G412" s="6" t="n"/>
    </x:row>
    <x:row r="413">
      <x:c r="F413" s="6" t="n"/>
      <x:c r="G413" s="6" t="n"/>
    </x:row>
    <x:row r="414">
      <x:c r="F414" s="6" t="n"/>
      <x:c r="G414" s="6" t="n"/>
    </x:row>
    <x:row r="415">
      <x:c r="F415" s="6" t="n"/>
      <x:c r="G415" s="6" t="n"/>
    </x:row>
    <x:row r="416">
      <x:c r="F416" s="6" t="n"/>
      <x:c r="G416" s="6" t="n"/>
    </x:row>
    <x:row r="417">
      <x:c r="F417" s="6" t="n"/>
      <x:c r="G417" s="6" t="n"/>
    </x:row>
    <x:row r="418">
      <x:c r="F418" s="6" t="n"/>
      <x:c r="G418" s="6" t="n"/>
    </x:row>
    <x:row r="419">
      <x:c r="F419" s="6" t="n"/>
      <x:c r="G419" s="6" t="n"/>
    </x:row>
    <x:row r="420">
      <x:c r="F420" s="6" t="n"/>
      <x:c r="G420" s="6" t="n"/>
    </x:row>
    <x:row r="421">
      <x:c r="F421" s="6" t="n"/>
      <x:c r="G421" s="6" t="n"/>
    </x:row>
    <x:row r="422">
      <x:c r="F422" s="6" t="n"/>
      <x:c r="G422" s="6" t="n"/>
    </x:row>
    <x:row r="423">
      <x:c r="F423" s="6" t="n"/>
      <x:c r="G423" s="6" t="n"/>
    </x:row>
    <x:row r="424">
      <x:c r="F424" s="6" t="n"/>
      <x:c r="G424" s="6" t="n"/>
    </x:row>
    <x:row r="425">
      <x:c r="F425" s="6" t="n"/>
      <x:c r="G425" s="6" t="n"/>
    </x:row>
    <x:row r="426">
      <x:c r="F426" s="6" t="n"/>
      <x:c r="G426" s="6" t="n"/>
    </x:row>
    <x:row r="427">
      <x:c r="F427" s="6" t="n"/>
      <x:c r="G427" s="6" t="n"/>
    </x:row>
    <x:row r="428">
      <x:c r="F428" s="6" t="n"/>
      <x:c r="G428" s="6" t="n"/>
    </x:row>
    <x:row r="429">
      <x:c r="F429" s="6" t="n"/>
      <x:c r="G429" s="6" t="n"/>
    </x:row>
    <x:row r="430">
      <x:c r="F430" s="6" t="n"/>
      <x:c r="G430" s="6" t="n"/>
    </x:row>
    <x:row r="431">
      <x:c r="F431" s="6" t="n"/>
      <x:c r="G431" s="6" t="n"/>
    </x:row>
    <x:row r="432">
      <x:c r="F432" s="6" t="n"/>
      <x:c r="G432" s="6" t="n"/>
    </x:row>
    <x:row r="433">
      <x:c r="F433" s="6" t="n"/>
      <x:c r="G433" s="6" t="n"/>
    </x:row>
    <x:row r="434">
      <x:c r="F434" s="6" t="n"/>
      <x:c r="G434" s="6" t="n"/>
    </x:row>
    <x:row r="435">
      <x:c r="F435" s="6" t="n"/>
      <x:c r="G435" s="6" t="n"/>
    </x:row>
    <x:row r="436">
      <x:c r="F436" s="6" t="n"/>
      <x:c r="G436" s="6" t="n"/>
    </x:row>
    <x:row r="437">
      <x:c r="F437" s="6" t="n"/>
      <x:c r="G437" s="6" t="n"/>
    </x:row>
    <x:row r="438">
      <x:c r="F438" s="6" t="n"/>
      <x:c r="G438" s="6" t="n"/>
    </x:row>
    <x:row r="439">
      <x:c r="F439" s="6" t="n"/>
      <x:c r="G439" s="6" t="n"/>
    </x:row>
    <x:row r="440">
      <x:c r="F440" s="6" t="n"/>
      <x:c r="G440" s="6" t="n"/>
    </x:row>
    <x:row r="441">
      <x:c r="F441" s="6" t="n"/>
      <x:c r="G441" s="6" t="n"/>
    </x:row>
    <x:row r="442">
      <x:c r="F442" s="6" t="n"/>
      <x:c r="G442" s="6" t="n"/>
    </x:row>
    <x:row r="443">
      <x:c r="F443" s="6" t="n"/>
      <x:c r="G443" s="6" t="n"/>
    </x:row>
    <x:row r="444">
      <x:c r="F444" s="6" t="n"/>
      <x:c r="G444" s="6" t="n"/>
    </x:row>
    <x:row r="445">
      <x:c r="F445" s="6" t="n"/>
      <x:c r="G445" s="6" t="n"/>
    </x:row>
    <x:row r="446">
      <x:c r="F446" s="6" t="n"/>
      <x:c r="G446" s="6" t="n"/>
    </x:row>
    <x:row r="447">
      <x:c r="F447" s="6" t="n"/>
      <x:c r="G447" s="6" t="n"/>
    </x:row>
    <x:row r="448">
      <x:c r="F448" s="6" t="n"/>
      <x:c r="G448" s="6" t="n"/>
    </x:row>
    <x:row r="449">
      <x:c r="F449" s="6" t="n"/>
      <x:c r="G449" s="6" t="n"/>
    </x:row>
    <x:row r="450">
      <x:c r="F450" s="6" t="n"/>
      <x:c r="G450" s="6" t="n"/>
    </x:row>
    <x:row r="451">
      <x:c r="F451" s="6" t="n"/>
      <x:c r="G451" s="6" t="n"/>
    </x:row>
    <x:row r="452">
      <x:c r="F452" s="6" t="n"/>
      <x:c r="G452" s="6" t="n"/>
    </x:row>
    <x:row r="453">
      <x:c r="F453" s="6" t="n"/>
      <x:c r="G453" s="6" t="n"/>
    </x:row>
    <x:row r="454">
      <x:c r="F454" s="6" t="n"/>
      <x:c r="G454" s="6" t="n"/>
    </x:row>
    <x:row r="455">
      <x:c r="F455" s="6" t="n"/>
      <x:c r="G455" s="6" t="n"/>
    </x:row>
    <x:row r="456">
      <x:c r="F456" s="6" t="n"/>
      <x:c r="G456" s="6" t="n"/>
    </x:row>
    <x:row r="457">
      <x:c r="F457" s="6" t="n"/>
      <x:c r="G457" s="6" t="n"/>
    </x:row>
    <x:row r="458">
      <x:c r="F458" s="6" t="n"/>
      <x:c r="G458" s="6" t="n"/>
    </x:row>
    <x:row r="459">
      <x:c r="F459" s="6" t="n"/>
      <x:c r="G459" s="6" t="n"/>
    </x:row>
    <x:row r="460">
      <x:c r="F460" s="6" t="n"/>
      <x:c r="G460" s="6" t="n"/>
    </x:row>
    <x:row r="461">
      <x:c r="F461" s="6" t="n"/>
      <x:c r="G461" s="6" t="n"/>
    </x:row>
    <x:row r="462">
      <x:c r="F462" s="6" t="n"/>
      <x:c r="G462" s="6" t="n"/>
    </x:row>
    <x:row r="463">
      <x:c r="F463" s="6" t="n"/>
      <x:c r="G463" s="6" t="n"/>
    </x:row>
    <x:row r="464">
      <x:c r="F464" s="6" t="n"/>
      <x:c r="G464" s="6" t="n"/>
    </x:row>
    <x:row r="465">
      <x:c r="F465" s="6" t="n"/>
      <x:c r="G465" s="6" t="n"/>
    </x:row>
    <x:row r="466">
      <x:c r="F466" s="6" t="n"/>
      <x:c r="G466" s="6" t="n"/>
    </x:row>
    <x:row r="467">
      <x:c r="F467" s="6" t="n"/>
      <x:c r="G467" s="6" t="n"/>
    </x:row>
    <x:row r="468">
      <x:c r="F468" s="6" t="n"/>
      <x:c r="G468" s="6" t="n"/>
    </x:row>
    <x:row r="469">
      <x:c r="F469" s="6" t="n"/>
      <x:c r="G469" s="6" t="n"/>
    </x:row>
    <x:row r="470">
      <x:c r="F470" s="6" t="n"/>
      <x:c r="G470" s="6" t="n"/>
    </x:row>
    <x:row r="471">
      <x:c r="F471" s="6" t="n"/>
      <x:c r="G471" s="6" t="n"/>
    </x:row>
    <x:row r="472">
      <x:c r="F472" s="6" t="n"/>
      <x:c r="G472" s="6" t="n"/>
    </x:row>
    <x:row r="473">
      <x:c r="F473" s="6" t="n"/>
      <x:c r="G473" s="6" t="n"/>
    </x:row>
    <x:row r="474">
      <x:c r="F474" s="6" t="n"/>
      <x:c r="G474" s="6" t="n"/>
    </x:row>
    <x:row r="475">
      <x:c r="F475" s="6" t="n"/>
      <x:c r="G475" s="6" t="n"/>
    </x:row>
    <x:row r="476">
      <x:c r="F476" s="6" t="n"/>
      <x:c r="G476" s="6" t="n"/>
    </x:row>
    <x:row r="477">
      <x:c r="F477" s="6" t="n"/>
      <x:c r="G477" s="6" t="n"/>
    </x:row>
    <x:row r="478">
      <x:c r="F478" s="6" t="n"/>
      <x:c r="G478" s="6" t="n"/>
    </x:row>
    <x:row r="479">
      <x:c r="F479" s="6" t="n"/>
      <x:c r="G479" s="6" t="n"/>
    </x:row>
    <x:row r="480">
      <x:c r="F480" s="6" t="n"/>
      <x:c r="G480" s="6" t="n"/>
    </x:row>
    <x:row r="481">
      <x:c r="F481" s="6" t="n"/>
      <x:c r="G481" s="6" t="n"/>
    </x:row>
    <x:row r="482">
      <x:c r="F482" s="6" t="n"/>
      <x:c r="G482" s="6" t="n"/>
    </x:row>
    <x:row r="483">
      <x:c r="F483" s="6" t="n"/>
      <x:c r="G483" s="6" t="n"/>
    </x:row>
    <x:row r="484">
      <x:c r="F484" s="6" t="n"/>
      <x:c r="G484" s="6" t="n"/>
    </x:row>
    <x:row r="485">
      <x:c r="F485" s="6" t="n"/>
      <x:c r="G485" s="6" t="n"/>
    </x:row>
    <x:row r="486">
      <x:c r="F486" s="6" t="n"/>
      <x:c r="G486" s="6" t="n"/>
    </x:row>
    <x:row r="487">
      <x:c r="F487" s="6" t="n"/>
      <x:c r="G487" s="6" t="n"/>
    </x:row>
    <x:row r="488">
      <x:c r="F488" s="6" t="n"/>
      <x:c r="G488" s="6" t="n"/>
    </x:row>
    <x:row r="489">
      <x:c r="F489" s="6" t="n"/>
      <x:c r="G489" s="6" t="n"/>
    </x:row>
    <x:row r="490">
      <x:c r="F490" s="6" t="n"/>
      <x:c r="G490" s="6" t="n"/>
    </x:row>
    <x:row r="491">
      <x:c r="F491" s="6" t="n"/>
      <x:c r="G491" s="6" t="n"/>
    </x:row>
    <x:row r="492">
      <x:c r="F492" s="6" t="n"/>
      <x:c r="G492" s="6" t="n"/>
    </x:row>
    <x:row r="493">
      <x:c r="F493" s="6" t="n"/>
      <x:c r="G493" s="6" t="n"/>
    </x:row>
    <x:row r="494">
      <x:c r="F494" s="6" t="n"/>
      <x:c r="G494" s="6" t="n"/>
    </x:row>
    <x:row r="495">
      <x:c r="F495" s="6" t="n"/>
      <x:c r="G495" s="6" t="n"/>
    </x:row>
    <x:row r="496">
      <x:c r="F496" s="6" t="n"/>
      <x:c r="G496" s="6" t="n"/>
    </x:row>
    <x:row r="497">
      <x:c r="F497" s="6" t="n"/>
      <x:c r="G497" s="6" t="n"/>
    </x:row>
    <x:row r="498">
      <x:c r="F498" s="6" t="n"/>
      <x:c r="G498" s="6" t="n"/>
    </x:row>
    <x:row r="499">
      <x:c r="F499" s="6" t="n"/>
      <x:c r="G499" s="6" t="n"/>
    </x:row>
    <x:row r="500">
      <x:c r="F500" s="6" t="n"/>
      <x:c r="G500" s="6" t="n"/>
    </x:row>
  </x:sheetData>
  <x:dataValidations count="1">
    <x:dataValidation type="list" allowBlank="0" showDropDown="0" showInputMessage="0" showErrorMessage="0" sqref="H2:H500">
      <x:formula1>"Planejado,Em execução,Concluído,Suspenso"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21cd750aa904ef7"/>
  </x:tableParts>
</x:worksheet>
</file>

<file path=xl/worksheets/sheet11.xml><?xml version="1.0" encoding="utf-8"?>
<x:worksheet xmlns:x="http://schemas.openxmlformats.org/spreadsheetml/2006/main">
  <x:sheetFormatPr baseColWidth="8" defaultRowHeight="14.25"/>
  <x:cols>
    <x:col min="1" max="10" width="18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Obra</x:t>
        </x:is>
      </x:c>
      <x:c r="C1" s="4" t="inlineStr">
        <x:is>
          <x:t xml:space="preserve">Cidade/UF</x:t>
        </x:is>
      </x:c>
      <x:c r="D1" s="4" t="inlineStr">
        <x:is>
          <x:t xml:space="preserve">Tipo</x:t>
        </x:is>
      </x:c>
      <x:c r="E1" s="4" t="inlineStr">
        <x:is>
          <x:t xml:space="preserve">Responsável</x:t>
        </x:is>
      </x:c>
      <x:c r="F1" s="4" t="inlineStr">
        <x:is>
          <x:t xml:space="preserve">Prazo</x:t>
        </x:is>
      </x:c>
      <x:c r="G1" s="4" t="inlineStr">
        <x:is>
          <x:t xml:space="preserve">% Conclusão</x:t>
        </x:is>
      </x:c>
      <x:c r="H1" s="4" t="inlineStr">
        <x:is>
          <x:t xml:space="preserve">Status</x:t>
        </x:is>
      </x:c>
      <x:c r="I1" s="4" t="inlineStr">
        <x:is>
          <x:t xml:space="preserve">Risco</x:t>
        </x:is>
      </x:c>
      <x:c r="J1" s="4" t="inlineStr">
        <x:is>
          <x:t xml:space="preserve">Observações</x:t>
        </x:is>
      </x:c>
    </x:row>
    <x:row r="2">
      <x:c r="A2" s="23" t="inlineStr">
        <x:is>
          <x:t xml:space="preserve">OBR-001</x:t>
        </x:is>
      </x:c>
      <x:c r="B2" s="23" t="inlineStr">
        <x:is>
          <x:t xml:space="preserve">Adequação de arena</x:t>
        </x:is>
      </x:c>
      <x:c r="C2" s="23" t="inlineStr">
        <x:is>
          <x:t xml:space="preserve">Rio de Janeiro/RJ</x:t>
        </x:is>
      </x:c>
      <x:c r="D2" s="23" t="inlineStr">
        <x:is>
          <x:t xml:space="preserve">Estádio</x:t>
        </x:is>
      </x:c>
      <x:c r="E2" s="23" t="inlineStr">
        <x:is>
          <x:t xml:space="preserve">Governo local</x:t>
        </x:is>
      </x:c>
      <x:c r="F2" s="6" t="n">
        <x:v>46446</x:v>
      </x:c>
      <x:c r="G2" s="16" t="n">
        <x:v>65</x:v>
      </x:c>
      <x:c r="H2" s="23" t="inlineStr">
        <x:is>
          <x:t xml:space="preserve">Em andamento</x:t>
        </x:is>
      </x:c>
      <x:c r="I2" s="23" t="inlineStr">
        <x:is>
          <x:t xml:space="preserve">Médio</x:t>
        </x:is>
      </x:c>
      <x:c r="J2" s="23" t="inlineStr">
        <x:is>
          <x:t xml:space="preserve">Exemplo</x:t>
        </x:is>
      </x:c>
    </x:row>
    <x:row r="3">
      <x:c r="A3" s="23" t="inlineStr">
        <x:is>
          <x:t xml:space="preserve">OBR-002</x:t>
        </x:is>
      </x:c>
      <x:c r="B3" s="23" t="inlineStr">
        <x:is>
          <x:t xml:space="preserve">Melhoria de acesso viário</x:t>
        </x:is>
      </x:c>
      <x:c r="C3" s="23" t="inlineStr">
        <x:is>
          <x:t xml:space="preserve">São Paulo/SP</x:t>
        </x:is>
      </x:c>
      <x:c r="D3" s="23" t="inlineStr">
        <x:is>
          <x:t xml:space="preserve">Mobilidade</x:t>
        </x:is>
      </x:c>
      <x:c r="E3" s="23" t="inlineStr">
        <x:is>
          <x:t xml:space="preserve">Prefeitura</x:t>
        </x:is>
      </x:c>
      <x:c r="F3" s="6" t="n">
        <x:v>46507</x:v>
      </x:c>
      <x:c r="G3" s="16" t="n">
        <x:v>40</x:v>
      </x:c>
      <x:c r="H3" s="23" t="inlineStr">
        <x:is>
          <x:t xml:space="preserve">Em andamento</x:t>
        </x:is>
      </x:c>
      <x:c r="I3" s="23" t="inlineStr">
        <x:is>
          <x:t xml:space="preserve">Alto</x:t>
        </x:is>
      </x:c>
      <x:c r="J3" s="23" t="inlineStr">
        <x:is>
          <x:t xml:space="preserve">Exemplo</x:t>
        </x:is>
      </x:c>
    </x:row>
    <x:row r="4">
      <x:c r="A4" s="23" t="inlineStr">
        <x:is>
          <x:t xml:space="preserve">OBR-003</x:t>
        </x:is>
      </x:c>
      <x:c r="B4" s="23" t="inlineStr">
        <x:is>
          <x:t xml:space="preserve">Centro de treinamento</x:t>
        </x:is>
      </x:c>
      <x:c r="C4" s="23" t="inlineStr">
        <x:is>
          <x:t xml:space="preserve">Recife/PE</x:t>
        </x:is>
      </x:c>
      <x:c r="D4" s="23" t="inlineStr">
        <x:is>
          <x:t xml:space="preserve">Esportivo</x:t>
        </x:is>
      </x:c>
      <x:c r="E4" s="23" t="inlineStr">
        <x:is>
          <x:t xml:space="preserve">Comitê local</x:t>
        </x:is>
      </x:c>
      <x:c r="F4" s="6" t="n">
        <x:v>46538</x:v>
      </x:c>
      <x:c r="G4" s="16" t="n">
        <x:v>20</x:v>
      </x:c>
      <x:c r="H4" s="23" t="inlineStr">
        <x:is>
          <x:t xml:space="preserve">Planejado</x:t>
        </x:is>
      </x:c>
      <x:c r="I4" s="23" t="inlineStr">
        <x:is>
          <x:t xml:space="preserve">Médio</x:t>
        </x:is>
      </x:c>
      <x:c r="J4" s="23" t="inlineStr">
        <x:is>
          <x:t xml:space="preserve">Exemplo</x:t>
        </x:is>
      </x:c>
    </x:row>
    <x:row r="5">
      <x:c r="A5" s="23" t="n"/>
      <x:c r="B5" s="23" t="n"/>
      <x:c r="C5" s="23" t="n"/>
      <x:c r="D5" s="23" t="n"/>
      <x:c r="E5" s="23" t="n"/>
      <x:c r="F5" s="6" t="n"/>
      <x:c r="G5" s="16" t="n"/>
      <x:c r="H5" s="23" t="n"/>
      <x:c r="I5" s="23" t="n"/>
      <x:c r="J5" s="23" t="n"/>
    </x:row>
    <x:row r="6">
      <x:c r="A6" s="23" t="n"/>
      <x:c r="B6" s="23" t="n"/>
      <x:c r="C6" s="23" t="n"/>
      <x:c r="D6" s="23" t="n"/>
      <x:c r="E6" s="23" t="n"/>
      <x:c r="F6" s="6" t="n"/>
      <x:c r="G6" s="16" t="n"/>
      <x:c r="H6" s="23" t="n"/>
      <x:c r="I6" s="23" t="n"/>
      <x:c r="J6" s="23" t="n"/>
    </x:row>
    <x:row r="7">
      <x:c r="A7" s="23" t="n"/>
      <x:c r="B7" s="23" t="n"/>
      <x:c r="C7" s="23" t="n"/>
      <x:c r="D7" s="23" t="n"/>
      <x:c r="E7" s="23" t="n"/>
      <x:c r="F7" s="6" t="n"/>
      <x:c r="G7" s="16" t="n"/>
      <x:c r="H7" s="23" t="n"/>
      <x:c r="I7" s="23" t="n"/>
      <x:c r="J7" s="23" t="n"/>
    </x:row>
    <x:row r="8">
      <x:c r="A8" s="23" t="n"/>
      <x:c r="B8" s="23" t="n"/>
      <x:c r="C8" s="23" t="n"/>
      <x:c r="D8" s="23" t="n"/>
      <x:c r="E8" s="23" t="n"/>
      <x:c r="F8" s="6" t="n"/>
      <x:c r="G8" s="16" t="n"/>
      <x:c r="H8" s="23" t="n"/>
      <x:c r="I8" s="23" t="n"/>
      <x:c r="J8" s="23" t="n"/>
    </x:row>
    <x:row r="9">
      <x:c r="A9" s="23" t="n"/>
      <x:c r="B9" s="23" t="n"/>
      <x:c r="C9" s="23" t="n"/>
      <x:c r="D9" s="23" t="n"/>
      <x:c r="E9" s="23" t="n"/>
      <x:c r="F9" s="6" t="n"/>
      <x:c r="G9" s="16" t="n"/>
      <x:c r="H9" s="23" t="n"/>
      <x:c r="I9" s="23" t="n"/>
      <x:c r="J9" s="23" t="n"/>
    </x:row>
    <x:row r="10">
      <x:c r="A10" s="23" t="n"/>
      <x:c r="B10" s="23" t="n"/>
      <x:c r="C10" s="23" t="n"/>
      <x:c r="D10" s="23" t="n"/>
      <x:c r="E10" s="23" t="n"/>
      <x:c r="F10" s="6" t="n"/>
      <x:c r="G10" s="16" t="n"/>
      <x:c r="H10" s="23" t="n"/>
      <x:c r="I10" s="23" t="n"/>
      <x:c r="J10" s="23" t="n"/>
    </x:row>
    <x:row r="11">
      <x:c r="A11" s="23" t="n"/>
      <x:c r="B11" s="23" t="n"/>
      <x:c r="C11" s="23" t="n"/>
      <x:c r="D11" s="23" t="n"/>
      <x:c r="E11" s="23" t="n"/>
      <x:c r="F11" s="6" t="n"/>
      <x:c r="G11" s="16" t="n"/>
      <x:c r="H11" s="23" t="n"/>
      <x:c r="I11" s="23" t="n"/>
      <x:c r="J11" s="23" t="n"/>
    </x:row>
    <x:row r="12">
      <x:c r="A12" s="23" t="n"/>
      <x:c r="B12" s="23" t="n"/>
      <x:c r="C12" s="23" t="n"/>
      <x:c r="D12" s="23" t="n"/>
      <x:c r="E12" s="23" t="n"/>
      <x:c r="F12" s="6" t="n"/>
      <x:c r="G12" s="16" t="n"/>
      <x:c r="H12" s="23" t="n"/>
      <x:c r="I12" s="23" t="n"/>
      <x:c r="J12" s="23" t="n"/>
    </x:row>
    <x:row r="13">
      <x:c r="A13" s="23" t="n"/>
      <x:c r="B13" s="23" t="n"/>
      <x:c r="C13" s="23" t="n"/>
      <x:c r="D13" s="23" t="n"/>
      <x:c r="E13" s="23" t="n"/>
      <x:c r="F13" s="6" t="n"/>
      <x:c r="G13" s="16" t="n"/>
      <x:c r="H13" s="23" t="n"/>
      <x:c r="I13" s="23" t="n"/>
      <x:c r="J13" s="23" t="n"/>
    </x:row>
    <x:row r="14">
      <x:c r="A14" s="23" t="n"/>
      <x:c r="B14" s="23" t="n"/>
      <x:c r="C14" s="23" t="n"/>
      <x:c r="D14" s="23" t="n"/>
      <x:c r="E14" s="23" t="n"/>
      <x:c r="F14" s="6" t="n"/>
      <x:c r="G14" s="16" t="n"/>
      <x:c r="H14" s="23" t="n"/>
      <x:c r="I14" s="23" t="n"/>
      <x:c r="J14" s="23" t="n"/>
    </x:row>
    <x:row r="15">
      <x:c r="A15" s="23" t="n"/>
      <x:c r="B15" s="23" t="n"/>
      <x:c r="C15" s="23" t="n"/>
      <x:c r="D15" s="23" t="n"/>
      <x:c r="E15" s="23" t="n"/>
      <x:c r="F15" s="6" t="n"/>
      <x:c r="G15" s="16" t="n"/>
      <x:c r="H15" s="23" t="n"/>
      <x:c r="I15" s="23" t="n"/>
      <x:c r="J15" s="23" t="n"/>
    </x:row>
    <x:row r="16">
      <x:c r="A16" s="23" t="n"/>
      <x:c r="B16" s="23" t="n"/>
      <x:c r="C16" s="23" t="n"/>
      <x:c r="D16" s="23" t="n"/>
      <x:c r="E16" s="23" t="n"/>
      <x:c r="F16" s="6" t="n"/>
      <x:c r="G16" s="16" t="n"/>
      <x:c r="H16" s="23" t="n"/>
      <x:c r="I16" s="23" t="n"/>
      <x:c r="J16" s="23" t="n"/>
    </x:row>
    <x:row r="17">
      <x:c r="F17" s="6" t="n"/>
      <x:c r="G17" s="16" t="n"/>
    </x:row>
    <x:row r="18">
      <x:c r="F18" s="6" t="n"/>
      <x:c r="G18" s="16" t="n"/>
    </x:row>
    <x:row r="19">
      <x:c r="F19" s="6" t="n"/>
      <x:c r="G19" s="16" t="n"/>
    </x:row>
    <x:row r="20">
      <x:c r="F20" s="6" t="n"/>
      <x:c r="G20" s="16" t="n"/>
    </x:row>
    <x:row r="21">
      <x:c r="F21" s="6" t="n"/>
      <x:c r="G21" s="16" t="n"/>
    </x:row>
    <x:row r="22">
      <x:c r="F22" s="6" t="n"/>
      <x:c r="G22" s="16" t="n"/>
    </x:row>
    <x:row r="23">
      <x:c r="F23" s="6" t="n"/>
      <x:c r="G23" s="16" t="n"/>
    </x:row>
    <x:row r="24">
      <x:c r="F24" s="6" t="n"/>
      <x:c r="G24" s="16" t="n"/>
    </x:row>
    <x:row r="25">
      <x:c r="F25" s="6" t="n"/>
      <x:c r="G25" s="16" t="n"/>
    </x:row>
    <x:row r="26">
      <x:c r="F26" s="6" t="n"/>
      <x:c r="G26" s="16" t="n"/>
    </x:row>
    <x:row r="27">
      <x:c r="F27" s="6" t="n"/>
      <x:c r="G27" s="16" t="n"/>
    </x:row>
    <x:row r="28">
      <x:c r="F28" s="6" t="n"/>
      <x:c r="G28" s="16" t="n"/>
    </x:row>
    <x:row r="29">
      <x:c r="F29" s="6" t="n"/>
      <x:c r="G29" s="16" t="n"/>
    </x:row>
    <x:row r="30">
      <x:c r="F30" s="6" t="n"/>
      <x:c r="G30" s="16" t="n"/>
    </x:row>
    <x:row r="31">
      <x:c r="F31" s="6" t="n"/>
      <x:c r="G31" s="16" t="n"/>
    </x:row>
    <x:row r="32">
      <x:c r="F32" s="6" t="n"/>
      <x:c r="G32" s="16" t="n"/>
    </x:row>
    <x:row r="33">
      <x:c r="F33" s="6" t="n"/>
      <x:c r="G33" s="16" t="n"/>
    </x:row>
    <x:row r="34">
      <x:c r="F34" s="6" t="n"/>
      <x:c r="G34" s="16" t="n"/>
    </x:row>
    <x:row r="35">
      <x:c r="F35" s="6" t="n"/>
      <x:c r="G35" s="16" t="n"/>
    </x:row>
    <x:row r="36">
      <x:c r="F36" s="6" t="n"/>
      <x:c r="G36" s="16" t="n"/>
    </x:row>
    <x:row r="37">
      <x:c r="F37" s="6" t="n"/>
      <x:c r="G37" s="16" t="n"/>
    </x:row>
    <x:row r="38">
      <x:c r="F38" s="6" t="n"/>
      <x:c r="G38" s="16" t="n"/>
    </x:row>
    <x:row r="39">
      <x:c r="F39" s="6" t="n"/>
      <x:c r="G39" s="16" t="n"/>
    </x:row>
    <x:row r="40">
      <x:c r="F40" s="6" t="n"/>
      <x:c r="G40" s="16" t="n"/>
    </x:row>
    <x:row r="41">
      <x:c r="F41" s="6" t="n"/>
      <x:c r="G41" s="16" t="n"/>
    </x:row>
    <x:row r="42">
      <x:c r="F42" s="6" t="n"/>
      <x:c r="G42" s="16" t="n"/>
    </x:row>
    <x:row r="43">
      <x:c r="F43" s="6" t="n"/>
      <x:c r="G43" s="16" t="n"/>
    </x:row>
    <x:row r="44">
      <x:c r="F44" s="6" t="n"/>
      <x:c r="G44" s="16" t="n"/>
    </x:row>
    <x:row r="45">
      <x:c r="F45" s="6" t="n"/>
      <x:c r="G45" s="16" t="n"/>
    </x:row>
    <x:row r="46">
      <x:c r="F46" s="6" t="n"/>
      <x:c r="G46" s="16" t="n"/>
    </x:row>
    <x:row r="47">
      <x:c r="F47" s="6" t="n"/>
      <x:c r="G47" s="16" t="n"/>
    </x:row>
    <x:row r="48">
      <x:c r="F48" s="6" t="n"/>
      <x:c r="G48" s="16" t="n"/>
    </x:row>
    <x:row r="49">
      <x:c r="F49" s="6" t="n"/>
      <x:c r="G49" s="16" t="n"/>
    </x:row>
    <x:row r="50">
      <x:c r="F50" s="6" t="n"/>
      <x:c r="G50" s="16" t="n"/>
    </x:row>
    <x:row r="51">
      <x:c r="F51" s="6" t="n"/>
      <x:c r="G51" s="16" t="n"/>
    </x:row>
    <x:row r="52">
      <x:c r="F52" s="6" t="n"/>
      <x:c r="G52" s="16" t="n"/>
    </x:row>
    <x:row r="53">
      <x:c r="F53" s="6" t="n"/>
      <x:c r="G53" s="16" t="n"/>
    </x:row>
    <x:row r="54">
      <x:c r="F54" s="6" t="n"/>
      <x:c r="G54" s="16" t="n"/>
    </x:row>
    <x:row r="55">
      <x:c r="F55" s="6" t="n"/>
      <x:c r="G55" s="16" t="n"/>
    </x:row>
    <x:row r="56">
      <x:c r="F56" s="6" t="n"/>
      <x:c r="G56" s="16" t="n"/>
    </x:row>
    <x:row r="57">
      <x:c r="F57" s="6" t="n"/>
      <x:c r="G57" s="16" t="n"/>
    </x:row>
    <x:row r="58">
      <x:c r="F58" s="6" t="n"/>
      <x:c r="G58" s="16" t="n"/>
    </x:row>
    <x:row r="59">
      <x:c r="F59" s="6" t="n"/>
      <x:c r="G59" s="16" t="n"/>
    </x:row>
    <x:row r="60">
      <x:c r="F60" s="6" t="n"/>
      <x:c r="G60" s="16" t="n"/>
    </x:row>
    <x:row r="61">
      <x:c r="F61" s="6" t="n"/>
      <x:c r="G61" s="16" t="n"/>
    </x:row>
    <x:row r="62">
      <x:c r="F62" s="6" t="n"/>
      <x:c r="G62" s="16" t="n"/>
    </x:row>
    <x:row r="63">
      <x:c r="F63" s="6" t="n"/>
      <x:c r="G63" s="16" t="n"/>
    </x:row>
    <x:row r="64">
      <x:c r="F64" s="6" t="n"/>
      <x:c r="G64" s="16" t="n"/>
    </x:row>
    <x:row r="65">
      <x:c r="F65" s="6" t="n"/>
      <x:c r="G65" s="16" t="n"/>
    </x:row>
    <x:row r="66">
      <x:c r="F66" s="6" t="n"/>
      <x:c r="G66" s="16" t="n"/>
    </x:row>
    <x:row r="67">
      <x:c r="F67" s="6" t="n"/>
      <x:c r="G67" s="16" t="n"/>
    </x:row>
    <x:row r="68">
      <x:c r="F68" s="6" t="n"/>
      <x:c r="G68" s="16" t="n"/>
    </x:row>
    <x:row r="69">
      <x:c r="F69" s="6" t="n"/>
      <x:c r="G69" s="16" t="n"/>
    </x:row>
    <x:row r="70">
      <x:c r="F70" s="6" t="n"/>
      <x:c r="G70" s="16" t="n"/>
    </x:row>
    <x:row r="71">
      <x:c r="F71" s="6" t="n"/>
      <x:c r="G71" s="16" t="n"/>
    </x:row>
    <x:row r="72">
      <x:c r="F72" s="6" t="n"/>
      <x:c r="G72" s="16" t="n"/>
    </x:row>
    <x:row r="73">
      <x:c r="F73" s="6" t="n"/>
      <x:c r="G73" s="16" t="n"/>
    </x:row>
    <x:row r="74">
      <x:c r="F74" s="6" t="n"/>
      <x:c r="G74" s="16" t="n"/>
    </x:row>
    <x:row r="75">
      <x:c r="F75" s="6" t="n"/>
      <x:c r="G75" s="16" t="n"/>
    </x:row>
    <x:row r="76">
      <x:c r="F76" s="6" t="n"/>
      <x:c r="G76" s="16" t="n"/>
    </x:row>
    <x:row r="77">
      <x:c r="F77" s="6" t="n"/>
      <x:c r="G77" s="16" t="n"/>
    </x:row>
    <x:row r="78">
      <x:c r="F78" s="6" t="n"/>
      <x:c r="G78" s="16" t="n"/>
    </x:row>
    <x:row r="79">
      <x:c r="F79" s="6" t="n"/>
      <x:c r="G79" s="16" t="n"/>
    </x:row>
    <x:row r="80">
      <x:c r="F80" s="6" t="n"/>
      <x:c r="G80" s="16" t="n"/>
    </x:row>
    <x:row r="81">
      <x:c r="F81" s="6" t="n"/>
      <x:c r="G81" s="16" t="n"/>
    </x:row>
    <x:row r="82">
      <x:c r="F82" s="6" t="n"/>
      <x:c r="G82" s="16" t="n"/>
    </x:row>
    <x:row r="83">
      <x:c r="F83" s="6" t="n"/>
      <x:c r="G83" s="16" t="n"/>
    </x:row>
    <x:row r="84">
      <x:c r="F84" s="6" t="n"/>
      <x:c r="G84" s="16" t="n"/>
    </x:row>
    <x:row r="85">
      <x:c r="F85" s="6" t="n"/>
      <x:c r="G85" s="16" t="n"/>
    </x:row>
    <x:row r="86">
      <x:c r="F86" s="6" t="n"/>
      <x:c r="G86" s="16" t="n"/>
    </x:row>
    <x:row r="87">
      <x:c r="F87" s="6" t="n"/>
      <x:c r="G87" s="16" t="n"/>
    </x:row>
    <x:row r="88">
      <x:c r="F88" s="6" t="n"/>
      <x:c r="G88" s="16" t="n"/>
    </x:row>
    <x:row r="89">
      <x:c r="F89" s="6" t="n"/>
      <x:c r="G89" s="16" t="n"/>
    </x:row>
    <x:row r="90">
      <x:c r="F90" s="6" t="n"/>
      <x:c r="G90" s="16" t="n"/>
    </x:row>
    <x:row r="91">
      <x:c r="F91" s="6" t="n"/>
      <x:c r="G91" s="16" t="n"/>
    </x:row>
    <x:row r="92">
      <x:c r="F92" s="6" t="n"/>
      <x:c r="G92" s="16" t="n"/>
    </x:row>
    <x:row r="93">
      <x:c r="F93" s="6" t="n"/>
      <x:c r="G93" s="16" t="n"/>
    </x:row>
    <x:row r="94">
      <x:c r="F94" s="6" t="n"/>
      <x:c r="G94" s="16" t="n"/>
    </x:row>
    <x:row r="95">
      <x:c r="F95" s="6" t="n"/>
      <x:c r="G95" s="16" t="n"/>
    </x:row>
    <x:row r="96">
      <x:c r="F96" s="6" t="n"/>
      <x:c r="G96" s="16" t="n"/>
    </x:row>
    <x:row r="97">
      <x:c r="F97" s="6" t="n"/>
      <x:c r="G97" s="16" t="n"/>
    </x:row>
    <x:row r="98">
      <x:c r="F98" s="6" t="n"/>
      <x:c r="G98" s="16" t="n"/>
    </x:row>
    <x:row r="99">
      <x:c r="F99" s="6" t="n"/>
      <x:c r="G99" s="16" t="n"/>
    </x:row>
    <x:row r="100">
      <x:c r="F100" s="6" t="n"/>
      <x:c r="G100" s="16" t="n"/>
    </x:row>
    <x:row r="101">
      <x:c r="F101" s="6" t="n"/>
      <x:c r="G101" s="16" t="n"/>
    </x:row>
    <x:row r="102">
      <x:c r="F102" s="6" t="n"/>
      <x:c r="G102" s="16" t="n"/>
    </x:row>
    <x:row r="103">
      <x:c r="F103" s="6" t="n"/>
      <x:c r="G103" s="16" t="n"/>
    </x:row>
    <x:row r="104">
      <x:c r="F104" s="6" t="n"/>
      <x:c r="G104" s="16" t="n"/>
    </x:row>
    <x:row r="105">
      <x:c r="F105" s="6" t="n"/>
      <x:c r="G105" s="16" t="n"/>
    </x:row>
    <x:row r="106">
      <x:c r="F106" s="6" t="n"/>
      <x:c r="G106" s="16" t="n"/>
    </x:row>
    <x:row r="107">
      <x:c r="F107" s="6" t="n"/>
      <x:c r="G107" s="16" t="n"/>
    </x:row>
    <x:row r="108">
      <x:c r="F108" s="6" t="n"/>
      <x:c r="G108" s="16" t="n"/>
    </x:row>
    <x:row r="109">
      <x:c r="F109" s="6" t="n"/>
      <x:c r="G109" s="16" t="n"/>
    </x:row>
    <x:row r="110">
      <x:c r="F110" s="6" t="n"/>
      <x:c r="G110" s="16" t="n"/>
    </x:row>
    <x:row r="111">
      <x:c r="F111" s="6" t="n"/>
      <x:c r="G111" s="16" t="n"/>
    </x:row>
    <x:row r="112">
      <x:c r="F112" s="6" t="n"/>
      <x:c r="G112" s="16" t="n"/>
    </x:row>
    <x:row r="113">
      <x:c r="F113" s="6" t="n"/>
      <x:c r="G113" s="16" t="n"/>
    </x:row>
    <x:row r="114">
      <x:c r="F114" s="6" t="n"/>
      <x:c r="G114" s="16" t="n"/>
    </x:row>
    <x:row r="115">
      <x:c r="F115" s="6" t="n"/>
      <x:c r="G115" s="16" t="n"/>
    </x:row>
    <x:row r="116">
      <x:c r="F116" s="6" t="n"/>
      <x:c r="G116" s="16" t="n"/>
    </x:row>
    <x:row r="117">
      <x:c r="F117" s="6" t="n"/>
      <x:c r="G117" s="16" t="n"/>
    </x:row>
    <x:row r="118">
      <x:c r="F118" s="6" t="n"/>
      <x:c r="G118" s="16" t="n"/>
    </x:row>
    <x:row r="119">
      <x:c r="F119" s="6" t="n"/>
      <x:c r="G119" s="16" t="n"/>
    </x:row>
    <x:row r="120">
      <x:c r="F120" s="6" t="n"/>
      <x:c r="G120" s="16" t="n"/>
    </x:row>
    <x:row r="121">
      <x:c r="F121" s="6" t="n"/>
      <x:c r="G121" s="16" t="n"/>
    </x:row>
    <x:row r="122">
      <x:c r="F122" s="6" t="n"/>
      <x:c r="G122" s="16" t="n"/>
    </x:row>
    <x:row r="123">
      <x:c r="F123" s="6" t="n"/>
      <x:c r="G123" s="16" t="n"/>
    </x:row>
    <x:row r="124">
      <x:c r="F124" s="6" t="n"/>
      <x:c r="G124" s="16" t="n"/>
    </x:row>
    <x:row r="125">
      <x:c r="F125" s="6" t="n"/>
      <x:c r="G125" s="16" t="n"/>
    </x:row>
    <x:row r="126">
      <x:c r="F126" s="6" t="n"/>
      <x:c r="G126" s="16" t="n"/>
    </x:row>
    <x:row r="127">
      <x:c r="F127" s="6" t="n"/>
      <x:c r="G127" s="16" t="n"/>
    </x:row>
    <x:row r="128">
      <x:c r="F128" s="6" t="n"/>
      <x:c r="G128" s="16" t="n"/>
    </x:row>
    <x:row r="129">
      <x:c r="F129" s="6" t="n"/>
      <x:c r="G129" s="16" t="n"/>
    </x:row>
    <x:row r="130">
      <x:c r="F130" s="6" t="n"/>
      <x:c r="G130" s="16" t="n"/>
    </x:row>
    <x:row r="131">
      <x:c r="F131" s="6" t="n"/>
      <x:c r="G131" s="16" t="n"/>
    </x:row>
    <x:row r="132">
      <x:c r="F132" s="6" t="n"/>
      <x:c r="G132" s="16" t="n"/>
    </x:row>
    <x:row r="133">
      <x:c r="F133" s="6" t="n"/>
      <x:c r="G133" s="16" t="n"/>
    </x:row>
    <x:row r="134">
      <x:c r="F134" s="6" t="n"/>
      <x:c r="G134" s="16" t="n"/>
    </x:row>
    <x:row r="135">
      <x:c r="F135" s="6" t="n"/>
      <x:c r="G135" s="16" t="n"/>
    </x:row>
    <x:row r="136">
      <x:c r="F136" s="6" t="n"/>
      <x:c r="G136" s="16" t="n"/>
    </x:row>
    <x:row r="137">
      <x:c r="F137" s="6" t="n"/>
      <x:c r="G137" s="16" t="n"/>
    </x:row>
    <x:row r="138">
      <x:c r="F138" s="6" t="n"/>
      <x:c r="G138" s="16" t="n"/>
    </x:row>
    <x:row r="139">
      <x:c r="F139" s="6" t="n"/>
      <x:c r="G139" s="16" t="n"/>
    </x:row>
    <x:row r="140">
      <x:c r="F140" s="6" t="n"/>
      <x:c r="G140" s="16" t="n"/>
    </x:row>
    <x:row r="141">
      <x:c r="F141" s="6" t="n"/>
      <x:c r="G141" s="16" t="n"/>
    </x:row>
    <x:row r="142">
      <x:c r="F142" s="6" t="n"/>
      <x:c r="G142" s="16" t="n"/>
    </x:row>
    <x:row r="143">
      <x:c r="F143" s="6" t="n"/>
      <x:c r="G143" s="16" t="n"/>
    </x:row>
    <x:row r="144">
      <x:c r="F144" s="6" t="n"/>
      <x:c r="G144" s="16" t="n"/>
    </x:row>
    <x:row r="145">
      <x:c r="F145" s="6" t="n"/>
      <x:c r="G145" s="16" t="n"/>
    </x:row>
    <x:row r="146">
      <x:c r="F146" s="6" t="n"/>
      <x:c r="G146" s="16" t="n"/>
    </x:row>
    <x:row r="147">
      <x:c r="F147" s="6" t="n"/>
      <x:c r="G147" s="16" t="n"/>
    </x:row>
    <x:row r="148">
      <x:c r="F148" s="6" t="n"/>
      <x:c r="G148" s="16" t="n"/>
    </x:row>
    <x:row r="149">
      <x:c r="F149" s="6" t="n"/>
      <x:c r="G149" s="16" t="n"/>
    </x:row>
    <x:row r="150">
      <x:c r="F150" s="6" t="n"/>
      <x:c r="G150" s="16" t="n"/>
    </x:row>
    <x:row r="151">
      <x:c r="F151" s="6" t="n"/>
      <x:c r="G151" s="16" t="n"/>
    </x:row>
    <x:row r="152">
      <x:c r="F152" s="6" t="n"/>
      <x:c r="G152" s="16" t="n"/>
    </x:row>
    <x:row r="153">
      <x:c r="F153" s="6" t="n"/>
      <x:c r="G153" s="16" t="n"/>
    </x:row>
    <x:row r="154">
      <x:c r="F154" s="6" t="n"/>
      <x:c r="G154" s="16" t="n"/>
    </x:row>
    <x:row r="155">
      <x:c r="F155" s="6" t="n"/>
      <x:c r="G155" s="16" t="n"/>
    </x:row>
    <x:row r="156">
      <x:c r="F156" s="6" t="n"/>
      <x:c r="G156" s="16" t="n"/>
    </x:row>
    <x:row r="157">
      <x:c r="F157" s="6" t="n"/>
      <x:c r="G157" s="16" t="n"/>
    </x:row>
    <x:row r="158">
      <x:c r="F158" s="6" t="n"/>
      <x:c r="G158" s="16" t="n"/>
    </x:row>
    <x:row r="159">
      <x:c r="F159" s="6" t="n"/>
      <x:c r="G159" s="16" t="n"/>
    </x:row>
    <x:row r="160">
      <x:c r="F160" s="6" t="n"/>
      <x:c r="G160" s="16" t="n"/>
    </x:row>
    <x:row r="161">
      <x:c r="F161" s="6" t="n"/>
      <x:c r="G161" s="16" t="n"/>
    </x:row>
    <x:row r="162">
      <x:c r="F162" s="6" t="n"/>
      <x:c r="G162" s="16" t="n"/>
    </x:row>
    <x:row r="163">
      <x:c r="F163" s="6" t="n"/>
      <x:c r="G163" s="16" t="n"/>
    </x:row>
    <x:row r="164">
      <x:c r="F164" s="6" t="n"/>
      <x:c r="G164" s="16" t="n"/>
    </x:row>
    <x:row r="165">
      <x:c r="F165" s="6" t="n"/>
      <x:c r="G165" s="16" t="n"/>
    </x:row>
    <x:row r="166">
      <x:c r="F166" s="6" t="n"/>
      <x:c r="G166" s="16" t="n"/>
    </x:row>
    <x:row r="167">
      <x:c r="F167" s="6" t="n"/>
      <x:c r="G167" s="16" t="n"/>
    </x:row>
    <x:row r="168">
      <x:c r="F168" s="6" t="n"/>
      <x:c r="G168" s="16" t="n"/>
    </x:row>
    <x:row r="169">
      <x:c r="F169" s="6" t="n"/>
      <x:c r="G169" s="16" t="n"/>
    </x:row>
    <x:row r="170">
      <x:c r="F170" s="6" t="n"/>
      <x:c r="G170" s="16" t="n"/>
    </x:row>
    <x:row r="171">
      <x:c r="F171" s="6" t="n"/>
      <x:c r="G171" s="16" t="n"/>
    </x:row>
    <x:row r="172">
      <x:c r="F172" s="6" t="n"/>
      <x:c r="G172" s="16" t="n"/>
    </x:row>
    <x:row r="173">
      <x:c r="F173" s="6" t="n"/>
      <x:c r="G173" s="16" t="n"/>
    </x:row>
    <x:row r="174">
      <x:c r="F174" s="6" t="n"/>
      <x:c r="G174" s="16" t="n"/>
    </x:row>
    <x:row r="175">
      <x:c r="F175" s="6" t="n"/>
      <x:c r="G175" s="16" t="n"/>
    </x:row>
    <x:row r="176">
      <x:c r="F176" s="6" t="n"/>
      <x:c r="G176" s="16" t="n"/>
    </x:row>
    <x:row r="177">
      <x:c r="F177" s="6" t="n"/>
      <x:c r="G177" s="16" t="n"/>
    </x:row>
    <x:row r="178">
      <x:c r="F178" s="6" t="n"/>
      <x:c r="G178" s="16" t="n"/>
    </x:row>
    <x:row r="179">
      <x:c r="F179" s="6" t="n"/>
      <x:c r="G179" s="16" t="n"/>
    </x:row>
    <x:row r="180">
      <x:c r="F180" s="6" t="n"/>
      <x:c r="G180" s="16" t="n"/>
    </x:row>
    <x:row r="181">
      <x:c r="F181" s="6" t="n"/>
      <x:c r="G181" s="16" t="n"/>
    </x:row>
    <x:row r="182">
      <x:c r="F182" s="6" t="n"/>
      <x:c r="G182" s="16" t="n"/>
    </x:row>
    <x:row r="183">
      <x:c r="F183" s="6" t="n"/>
      <x:c r="G183" s="16" t="n"/>
    </x:row>
    <x:row r="184">
      <x:c r="F184" s="6" t="n"/>
      <x:c r="G184" s="16" t="n"/>
    </x:row>
    <x:row r="185">
      <x:c r="F185" s="6" t="n"/>
      <x:c r="G185" s="16" t="n"/>
    </x:row>
    <x:row r="186">
      <x:c r="F186" s="6" t="n"/>
      <x:c r="G186" s="16" t="n"/>
    </x:row>
    <x:row r="187">
      <x:c r="F187" s="6" t="n"/>
      <x:c r="G187" s="16" t="n"/>
    </x:row>
    <x:row r="188">
      <x:c r="F188" s="6" t="n"/>
      <x:c r="G188" s="16" t="n"/>
    </x:row>
    <x:row r="189">
      <x:c r="F189" s="6" t="n"/>
      <x:c r="G189" s="16" t="n"/>
    </x:row>
    <x:row r="190">
      <x:c r="F190" s="6" t="n"/>
      <x:c r="G190" s="16" t="n"/>
    </x:row>
    <x:row r="191">
      <x:c r="F191" s="6" t="n"/>
      <x:c r="G191" s="16" t="n"/>
    </x:row>
    <x:row r="192">
      <x:c r="F192" s="6" t="n"/>
      <x:c r="G192" s="16" t="n"/>
    </x:row>
    <x:row r="193">
      <x:c r="F193" s="6" t="n"/>
      <x:c r="G193" s="16" t="n"/>
    </x:row>
    <x:row r="194">
      <x:c r="F194" s="6" t="n"/>
      <x:c r="G194" s="16" t="n"/>
    </x:row>
    <x:row r="195">
      <x:c r="F195" s="6" t="n"/>
      <x:c r="G195" s="16" t="n"/>
    </x:row>
    <x:row r="196">
      <x:c r="F196" s="6" t="n"/>
      <x:c r="G196" s="16" t="n"/>
    </x:row>
    <x:row r="197">
      <x:c r="F197" s="6" t="n"/>
      <x:c r="G197" s="16" t="n"/>
    </x:row>
    <x:row r="198">
      <x:c r="F198" s="6" t="n"/>
      <x:c r="G198" s="16" t="n"/>
    </x:row>
    <x:row r="199">
      <x:c r="F199" s="6" t="n"/>
      <x:c r="G199" s="16" t="n"/>
    </x:row>
    <x:row r="200">
      <x:c r="F200" s="6" t="n"/>
      <x:c r="G200" s="16" t="n"/>
    </x:row>
    <x:row r="201">
      <x:c r="F201" s="6" t="n"/>
      <x:c r="G201" s="16" t="n"/>
    </x:row>
    <x:row r="202">
      <x:c r="F202" s="6" t="n"/>
      <x:c r="G202" s="16" t="n"/>
    </x:row>
    <x:row r="203">
      <x:c r="F203" s="6" t="n"/>
      <x:c r="G203" s="16" t="n"/>
    </x:row>
    <x:row r="204">
      <x:c r="F204" s="6" t="n"/>
      <x:c r="G204" s="16" t="n"/>
    </x:row>
    <x:row r="205">
      <x:c r="F205" s="6" t="n"/>
      <x:c r="G205" s="16" t="n"/>
    </x:row>
    <x:row r="206">
      <x:c r="F206" s="6" t="n"/>
      <x:c r="G206" s="16" t="n"/>
    </x:row>
    <x:row r="207">
      <x:c r="F207" s="6" t="n"/>
      <x:c r="G207" s="16" t="n"/>
    </x:row>
    <x:row r="208">
      <x:c r="F208" s="6" t="n"/>
      <x:c r="G208" s="16" t="n"/>
    </x:row>
    <x:row r="209">
      <x:c r="F209" s="6" t="n"/>
      <x:c r="G209" s="16" t="n"/>
    </x:row>
    <x:row r="210">
      <x:c r="F210" s="6" t="n"/>
      <x:c r="G210" s="16" t="n"/>
    </x:row>
    <x:row r="211">
      <x:c r="F211" s="6" t="n"/>
      <x:c r="G211" s="16" t="n"/>
    </x:row>
    <x:row r="212">
      <x:c r="F212" s="6" t="n"/>
      <x:c r="G212" s="16" t="n"/>
    </x:row>
    <x:row r="213">
      <x:c r="F213" s="6" t="n"/>
      <x:c r="G213" s="16" t="n"/>
    </x:row>
    <x:row r="214">
      <x:c r="F214" s="6" t="n"/>
      <x:c r="G214" s="16" t="n"/>
    </x:row>
    <x:row r="215">
      <x:c r="F215" s="6" t="n"/>
      <x:c r="G215" s="16" t="n"/>
    </x:row>
    <x:row r="216">
      <x:c r="F216" s="6" t="n"/>
      <x:c r="G216" s="16" t="n"/>
    </x:row>
    <x:row r="217">
      <x:c r="F217" s="6" t="n"/>
      <x:c r="G217" s="16" t="n"/>
    </x:row>
    <x:row r="218">
      <x:c r="F218" s="6" t="n"/>
      <x:c r="G218" s="16" t="n"/>
    </x:row>
    <x:row r="219">
      <x:c r="F219" s="6" t="n"/>
      <x:c r="G219" s="16" t="n"/>
    </x:row>
    <x:row r="220">
      <x:c r="F220" s="6" t="n"/>
      <x:c r="G220" s="16" t="n"/>
    </x:row>
    <x:row r="221">
      <x:c r="F221" s="6" t="n"/>
      <x:c r="G221" s="16" t="n"/>
    </x:row>
    <x:row r="222">
      <x:c r="F222" s="6" t="n"/>
      <x:c r="G222" s="16" t="n"/>
    </x:row>
    <x:row r="223">
      <x:c r="F223" s="6" t="n"/>
      <x:c r="G223" s="16" t="n"/>
    </x:row>
    <x:row r="224">
      <x:c r="F224" s="6" t="n"/>
      <x:c r="G224" s="16" t="n"/>
    </x:row>
    <x:row r="225">
      <x:c r="F225" s="6" t="n"/>
      <x:c r="G225" s="16" t="n"/>
    </x:row>
    <x:row r="226">
      <x:c r="F226" s="6" t="n"/>
      <x:c r="G226" s="16" t="n"/>
    </x:row>
    <x:row r="227">
      <x:c r="F227" s="6" t="n"/>
      <x:c r="G227" s="16" t="n"/>
    </x:row>
    <x:row r="228">
      <x:c r="F228" s="6" t="n"/>
      <x:c r="G228" s="16" t="n"/>
    </x:row>
    <x:row r="229">
      <x:c r="F229" s="6" t="n"/>
      <x:c r="G229" s="16" t="n"/>
    </x:row>
    <x:row r="230">
      <x:c r="F230" s="6" t="n"/>
      <x:c r="G230" s="16" t="n"/>
    </x:row>
    <x:row r="231">
      <x:c r="F231" s="6" t="n"/>
      <x:c r="G231" s="16" t="n"/>
    </x:row>
    <x:row r="232">
      <x:c r="F232" s="6" t="n"/>
      <x:c r="G232" s="16" t="n"/>
    </x:row>
    <x:row r="233">
      <x:c r="F233" s="6" t="n"/>
      <x:c r="G233" s="16" t="n"/>
    </x:row>
    <x:row r="234">
      <x:c r="F234" s="6" t="n"/>
      <x:c r="G234" s="16" t="n"/>
    </x:row>
    <x:row r="235">
      <x:c r="F235" s="6" t="n"/>
      <x:c r="G235" s="16" t="n"/>
    </x:row>
    <x:row r="236">
      <x:c r="F236" s="6" t="n"/>
      <x:c r="G236" s="16" t="n"/>
    </x:row>
    <x:row r="237">
      <x:c r="F237" s="6" t="n"/>
      <x:c r="G237" s="16" t="n"/>
    </x:row>
    <x:row r="238">
      <x:c r="F238" s="6" t="n"/>
      <x:c r="G238" s="16" t="n"/>
    </x:row>
    <x:row r="239">
      <x:c r="F239" s="6" t="n"/>
      <x:c r="G239" s="16" t="n"/>
    </x:row>
    <x:row r="240">
      <x:c r="F240" s="6" t="n"/>
      <x:c r="G240" s="16" t="n"/>
    </x:row>
    <x:row r="241">
      <x:c r="F241" s="6" t="n"/>
      <x:c r="G241" s="16" t="n"/>
    </x:row>
    <x:row r="242">
      <x:c r="F242" s="6" t="n"/>
      <x:c r="G242" s="16" t="n"/>
    </x:row>
    <x:row r="243">
      <x:c r="F243" s="6" t="n"/>
      <x:c r="G243" s="16" t="n"/>
    </x:row>
    <x:row r="244">
      <x:c r="F244" s="6" t="n"/>
      <x:c r="G244" s="16" t="n"/>
    </x:row>
    <x:row r="245">
      <x:c r="F245" s="6" t="n"/>
      <x:c r="G245" s="16" t="n"/>
    </x:row>
    <x:row r="246">
      <x:c r="F246" s="6" t="n"/>
      <x:c r="G246" s="16" t="n"/>
    </x:row>
    <x:row r="247">
      <x:c r="F247" s="6" t="n"/>
      <x:c r="G247" s="16" t="n"/>
    </x:row>
    <x:row r="248">
      <x:c r="F248" s="6" t="n"/>
      <x:c r="G248" s="16" t="n"/>
    </x:row>
    <x:row r="249">
      <x:c r="F249" s="6" t="n"/>
      <x:c r="G249" s="16" t="n"/>
    </x:row>
    <x:row r="250">
      <x:c r="F250" s="6" t="n"/>
      <x:c r="G250" s="16" t="n"/>
    </x:row>
    <x:row r="251">
      <x:c r="F251" s="6" t="n"/>
      <x:c r="G251" s="16" t="n"/>
    </x:row>
    <x:row r="252">
      <x:c r="F252" s="6" t="n"/>
      <x:c r="G252" s="16" t="n"/>
    </x:row>
    <x:row r="253">
      <x:c r="F253" s="6" t="n"/>
      <x:c r="G253" s="16" t="n"/>
    </x:row>
    <x:row r="254">
      <x:c r="F254" s="6" t="n"/>
      <x:c r="G254" s="16" t="n"/>
    </x:row>
    <x:row r="255">
      <x:c r="F255" s="6" t="n"/>
      <x:c r="G255" s="16" t="n"/>
    </x:row>
    <x:row r="256">
      <x:c r="F256" s="6" t="n"/>
      <x:c r="G256" s="16" t="n"/>
    </x:row>
    <x:row r="257">
      <x:c r="F257" s="6" t="n"/>
      <x:c r="G257" s="16" t="n"/>
    </x:row>
    <x:row r="258">
      <x:c r="F258" s="6" t="n"/>
      <x:c r="G258" s="16" t="n"/>
    </x:row>
    <x:row r="259">
      <x:c r="F259" s="6" t="n"/>
      <x:c r="G259" s="16" t="n"/>
    </x:row>
    <x:row r="260">
      <x:c r="F260" s="6" t="n"/>
      <x:c r="G260" s="16" t="n"/>
    </x:row>
    <x:row r="261">
      <x:c r="F261" s="6" t="n"/>
      <x:c r="G261" s="16" t="n"/>
    </x:row>
    <x:row r="262">
      <x:c r="F262" s="6" t="n"/>
      <x:c r="G262" s="16" t="n"/>
    </x:row>
    <x:row r="263">
      <x:c r="F263" s="6" t="n"/>
      <x:c r="G263" s="16" t="n"/>
    </x:row>
    <x:row r="264">
      <x:c r="F264" s="6" t="n"/>
      <x:c r="G264" s="16" t="n"/>
    </x:row>
    <x:row r="265">
      <x:c r="F265" s="6" t="n"/>
      <x:c r="G265" s="16" t="n"/>
    </x:row>
    <x:row r="266">
      <x:c r="F266" s="6" t="n"/>
      <x:c r="G266" s="16" t="n"/>
    </x:row>
    <x:row r="267">
      <x:c r="F267" s="6" t="n"/>
      <x:c r="G267" s="16" t="n"/>
    </x:row>
    <x:row r="268">
      <x:c r="F268" s="6" t="n"/>
      <x:c r="G268" s="16" t="n"/>
    </x:row>
    <x:row r="269">
      <x:c r="F269" s="6" t="n"/>
      <x:c r="G269" s="16" t="n"/>
    </x:row>
    <x:row r="270">
      <x:c r="F270" s="6" t="n"/>
      <x:c r="G270" s="16" t="n"/>
    </x:row>
    <x:row r="271">
      <x:c r="F271" s="6" t="n"/>
      <x:c r="G271" s="16" t="n"/>
    </x:row>
    <x:row r="272">
      <x:c r="F272" s="6" t="n"/>
      <x:c r="G272" s="16" t="n"/>
    </x:row>
    <x:row r="273">
      <x:c r="F273" s="6" t="n"/>
      <x:c r="G273" s="16" t="n"/>
    </x:row>
    <x:row r="274">
      <x:c r="F274" s="6" t="n"/>
      <x:c r="G274" s="16" t="n"/>
    </x:row>
    <x:row r="275">
      <x:c r="F275" s="6" t="n"/>
      <x:c r="G275" s="16" t="n"/>
    </x:row>
    <x:row r="276">
      <x:c r="F276" s="6" t="n"/>
      <x:c r="G276" s="16" t="n"/>
    </x:row>
    <x:row r="277">
      <x:c r="F277" s="6" t="n"/>
      <x:c r="G277" s="16" t="n"/>
    </x:row>
    <x:row r="278">
      <x:c r="F278" s="6" t="n"/>
      <x:c r="G278" s="16" t="n"/>
    </x:row>
    <x:row r="279">
      <x:c r="F279" s="6" t="n"/>
      <x:c r="G279" s="16" t="n"/>
    </x:row>
    <x:row r="280">
      <x:c r="F280" s="6" t="n"/>
      <x:c r="G280" s="16" t="n"/>
    </x:row>
    <x:row r="281">
      <x:c r="F281" s="6" t="n"/>
      <x:c r="G281" s="16" t="n"/>
    </x:row>
    <x:row r="282">
      <x:c r="F282" s="6" t="n"/>
      <x:c r="G282" s="16" t="n"/>
    </x:row>
    <x:row r="283">
      <x:c r="F283" s="6" t="n"/>
      <x:c r="G283" s="16" t="n"/>
    </x:row>
    <x:row r="284">
      <x:c r="F284" s="6" t="n"/>
      <x:c r="G284" s="16" t="n"/>
    </x:row>
    <x:row r="285">
      <x:c r="F285" s="6" t="n"/>
      <x:c r="G285" s="16" t="n"/>
    </x:row>
    <x:row r="286">
      <x:c r="F286" s="6" t="n"/>
      <x:c r="G286" s="16" t="n"/>
    </x:row>
    <x:row r="287">
      <x:c r="F287" s="6" t="n"/>
      <x:c r="G287" s="16" t="n"/>
    </x:row>
    <x:row r="288">
      <x:c r="F288" s="6" t="n"/>
      <x:c r="G288" s="16" t="n"/>
    </x:row>
    <x:row r="289">
      <x:c r="F289" s="6" t="n"/>
      <x:c r="G289" s="16" t="n"/>
    </x:row>
    <x:row r="290">
      <x:c r="F290" s="6" t="n"/>
      <x:c r="G290" s="16" t="n"/>
    </x:row>
    <x:row r="291">
      <x:c r="F291" s="6" t="n"/>
      <x:c r="G291" s="16" t="n"/>
    </x:row>
    <x:row r="292">
      <x:c r="F292" s="6" t="n"/>
      <x:c r="G292" s="16" t="n"/>
    </x:row>
    <x:row r="293">
      <x:c r="F293" s="6" t="n"/>
      <x:c r="G293" s="16" t="n"/>
    </x:row>
    <x:row r="294">
      <x:c r="F294" s="6" t="n"/>
      <x:c r="G294" s="16" t="n"/>
    </x:row>
    <x:row r="295">
      <x:c r="F295" s="6" t="n"/>
      <x:c r="G295" s="16" t="n"/>
    </x:row>
    <x:row r="296">
      <x:c r="F296" s="6" t="n"/>
      <x:c r="G296" s="16" t="n"/>
    </x:row>
    <x:row r="297">
      <x:c r="F297" s="6" t="n"/>
      <x:c r="G297" s="16" t="n"/>
    </x:row>
    <x:row r="298">
      <x:c r="F298" s="6" t="n"/>
      <x:c r="G298" s="16" t="n"/>
    </x:row>
    <x:row r="299">
      <x:c r="F299" s="6" t="n"/>
      <x:c r="G299" s="16" t="n"/>
    </x:row>
    <x:row r="300">
      <x:c r="F300" s="6" t="n"/>
      <x:c r="G300" s="16" t="n"/>
    </x:row>
    <x:row r="301">
      <x:c r="F301" s="6" t="n"/>
      <x:c r="G301" s="16" t="n"/>
    </x:row>
    <x:row r="302">
      <x:c r="F302" s="6" t="n"/>
      <x:c r="G302" s="16" t="n"/>
    </x:row>
    <x:row r="303">
      <x:c r="F303" s="6" t="n"/>
      <x:c r="G303" s="16" t="n"/>
    </x:row>
    <x:row r="304">
      <x:c r="F304" s="6" t="n"/>
      <x:c r="G304" s="16" t="n"/>
    </x:row>
    <x:row r="305">
      <x:c r="F305" s="6" t="n"/>
      <x:c r="G305" s="16" t="n"/>
    </x:row>
    <x:row r="306">
      <x:c r="F306" s="6" t="n"/>
      <x:c r="G306" s="16" t="n"/>
    </x:row>
    <x:row r="307">
      <x:c r="F307" s="6" t="n"/>
      <x:c r="G307" s="16" t="n"/>
    </x:row>
    <x:row r="308">
      <x:c r="F308" s="6" t="n"/>
      <x:c r="G308" s="16" t="n"/>
    </x:row>
    <x:row r="309">
      <x:c r="F309" s="6" t="n"/>
      <x:c r="G309" s="16" t="n"/>
    </x:row>
    <x:row r="310">
      <x:c r="F310" s="6" t="n"/>
      <x:c r="G310" s="16" t="n"/>
    </x:row>
    <x:row r="311">
      <x:c r="F311" s="6" t="n"/>
      <x:c r="G311" s="16" t="n"/>
    </x:row>
    <x:row r="312">
      <x:c r="F312" s="6" t="n"/>
      <x:c r="G312" s="16" t="n"/>
    </x:row>
    <x:row r="313">
      <x:c r="F313" s="6" t="n"/>
      <x:c r="G313" s="16" t="n"/>
    </x:row>
    <x:row r="314">
      <x:c r="F314" s="6" t="n"/>
      <x:c r="G314" s="16" t="n"/>
    </x:row>
    <x:row r="315">
      <x:c r="F315" s="6" t="n"/>
      <x:c r="G315" s="16" t="n"/>
    </x:row>
    <x:row r="316">
      <x:c r="F316" s="6" t="n"/>
      <x:c r="G316" s="16" t="n"/>
    </x:row>
    <x:row r="317">
      <x:c r="F317" s="6" t="n"/>
      <x:c r="G317" s="16" t="n"/>
    </x:row>
    <x:row r="318">
      <x:c r="F318" s="6" t="n"/>
      <x:c r="G318" s="16" t="n"/>
    </x:row>
    <x:row r="319">
      <x:c r="F319" s="6" t="n"/>
      <x:c r="G319" s="16" t="n"/>
    </x:row>
    <x:row r="320">
      <x:c r="F320" s="6" t="n"/>
      <x:c r="G320" s="16" t="n"/>
    </x:row>
    <x:row r="321">
      <x:c r="F321" s="6" t="n"/>
      <x:c r="G321" s="16" t="n"/>
    </x:row>
    <x:row r="322">
      <x:c r="F322" s="6" t="n"/>
      <x:c r="G322" s="16" t="n"/>
    </x:row>
    <x:row r="323">
      <x:c r="F323" s="6" t="n"/>
      <x:c r="G323" s="16" t="n"/>
    </x:row>
    <x:row r="324">
      <x:c r="F324" s="6" t="n"/>
      <x:c r="G324" s="16" t="n"/>
    </x:row>
    <x:row r="325">
      <x:c r="F325" s="6" t="n"/>
      <x:c r="G325" s="16" t="n"/>
    </x:row>
    <x:row r="326">
      <x:c r="F326" s="6" t="n"/>
      <x:c r="G326" s="16" t="n"/>
    </x:row>
    <x:row r="327">
      <x:c r="F327" s="6" t="n"/>
      <x:c r="G327" s="16" t="n"/>
    </x:row>
    <x:row r="328">
      <x:c r="F328" s="6" t="n"/>
      <x:c r="G328" s="16" t="n"/>
    </x:row>
    <x:row r="329">
      <x:c r="F329" s="6" t="n"/>
      <x:c r="G329" s="16" t="n"/>
    </x:row>
    <x:row r="330">
      <x:c r="F330" s="6" t="n"/>
      <x:c r="G330" s="16" t="n"/>
    </x:row>
    <x:row r="331">
      <x:c r="F331" s="6" t="n"/>
      <x:c r="G331" s="16" t="n"/>
    </x:row>
    <x:row r="332">
      <x:c r="F332" s="6" t="n"/>
      <x:c r="G332" s="16" t="n"/>
    </x:row>
    <x:row r="333">
      <x:c r="F333" s="6" t="n"/>
      <x:c r="G333" s="16" t="n"/>
    </x:row>
    <x:row r="334">
      <x:c r="F334" s="6" t="n"/>
      <x:c r="G334" s="16" t="n"/>
    </x:row>
    <x:row r="335">
      <x:c r="F335" s="6" t="n"/>
      <x:c r="G335" s="16" t="n"/>
    </x:row>
    <x:row r="336">
      <x:c r="F336" s="6" t="n"/>
      <x:c r="G336" s="16" t="n"/>
    </x:row>
    <x:row r="337">
      <x:c r="F337" s="6" t="n"/>
      <x:c r="G337" s="16" t="n"/>
    </x:row>
    <x:row r="338">
      <x:c r="F338" s="6" t="n"/>
      <x:c r="G338" s="16" t="n"/>
    </x:row>
    <x:row r="339">
      <x:c r="F339" s="6" t="n"/>
      <x:c r="G339" s="16" t="n"/>
    </x:row>
    <x:row r="340">
      <x:c r="F340" s="6" t="n"/>
      <x:c r="G340" s="16" t="n"/>
    </x:row>
    <x:row r="341">
      <x:c r="F341" s="6" t="n"/>
      <x:c r="G341" s="16" t="n"/>
    </x:row>
    <x:row r="342">
      <x:c r="F342" s="6" t="n"/>
      <x:c r="G342" s="16" t="n"/>
    </x:row>
    <x:row r="343">
      <x:c r="F343" s="6" t="n"/>
      <x:c r="G343" s="16" t="n"/>
    </x:row>
    <x:row r="344">
      <x:c r="F344" s="6" t="n"/>
      <x:c r="G344" s="16" t="n"/>
    </x:row>
    <x:row r="345">
      <x:c r="F345" s="6" t="n"/>
      <x:c r="G345" s="16" t="n"/>
    </x:row>
    <x:row r="346">
      <x:c r="F346" s="6" t="n"/>
      <x:c r="G346" s="16" t="n"/>
    </x:row>
    <x:row r="347">
      <x:c r="F347" s="6" t="n"/>
      <x:c r="G347" s="16" t="n"/>
    </x:row>
    <x:row r="348">
      <x:c r="F348" s="6" t="n"/>
      <x:c r="G348" s="16" t="n"/>
    </x:row>
    <x:row r="349">
      <x:c r="F349" s="6" t="n"/>
      <x:c r="G349" s="16" t="n"/>
    </x:row>
    <x:row r="350">
      <x:c r="F350" s="6" t="n"/>
      <x:c r="G350" s="16" t="n"/>
    </x:row>
    <x:row r="351">
      <x:c r="F351" s="6" t="n"/>
      <x:c r="G351" s="16" t="n"/>
    </x:row>
    <x:row r="352">
      <x:c r="F352" s="6" t="n"/>
      <x:c r="G352" s="16" t="n"/>
    </x:row>
    <x:row r="353">
      <x:c r="F353" s="6" t="n"/>
      <x:c r="G353" s="16" t="n"/>
    </x:row>
    <x:row r="354">
      <x:c r="F354" s="6" t="n"/>
      <x:c r="G354" s="16" t="n"/>
    </x:row>
    <x:row r="355">
      <x:c r="F355" s="6" t="n"/>
      <x:c r="G355" s="16" t="n"/>
    </x:row>
    <x:row r="356">
      <x:c r="F356" s="6" t="n"/>
      <x:c r="G356" s="16" t="n"/>
    </x:row>
    <x:row r="357">
      <x:c r="F357" s="6" t="n"/>
      <x:c r="G357" s="16" t="n"/>
    </x:row>
    <x:row r="358">
      <x:c r="F358" s="6" t="n"/>
      <x:c r="G358" s="16" t="n"/>
    </x:row>
    <x:row r="359">
      <x:c r="F359" s="6" t="n"/>
      <x:c r="G359" s="16" t="n"/>
    </x:row>
    <x:row r="360">
      <x:c r="F360" s="6" t="n"/>
      <x:c r="G360" s="16" t="n"/>
    </x:row>
    <x:row r="361">
      <x:c r="F361" s="6" t="n"/>
      <x:c r="G361" s="16" t="n"/>
    </x:row>
    <x:row r="362">
      <x:c r="F362" s="6" t="n"/>
      <x:c r="G362" s="16" t="n"/>
    </x:row>
    <x:row r="363">
      <x:c r="F363" s="6" t="n"/>
      <x:c r="G363" s="16" t="n"/>
    </x:row>
    <x:row r="364">
      <x:c r="F364" s="6" t="n"/>
      <x:c r="G364" s="16" t="n"/>
    </x:row>
    <x:row r="365">
      <x:c r="F365" s="6" t="n"/>
      <x:c r="G365" s="16" t="n"/>
    </x:row>
    <x:row r="366">
      <x:c r="F366" s="6" t="n"/>
      <x:c r="G366" s="16" t="n"/>
    </x:row>
    <x:row r="367">
      <x:c r="F367" s="6" t="n"/>
      <x:c r="G367" s="16" t="n"/>
    </x:row>
    <x:row r="368">
      <x:c r="F368" s="6" t="n"/>
      <x:c r="G368" s="16" t="n"/>
    </x:row>
    <x:row r="369">
      <x:c r="F369" s="6" t="n"/>
      <x:c r="G369" s="16" t="n"/>
    </x:row>
    <x:row r="370">
      <x:c r="F370" s="6" t="n"/>
      <x:c r="G370" s="16" t="n"/>
    </x:row>
    <x:row r="371">
      <x:c r="F371" s="6" t="n"/>
      <x:c r="G371" s="16" t="n"/>
    </x:row>
    <x:row r="372">
      <x:c r="F372" s="6" t="n"/>
      <x:c r="G372" s="16" t="n"/>
    </x:row>
    <x:row r="373">
      <x:c r="F373" s="6" t="n"/>
      <x:c r="G373" s="16" t="n"/>
    </x:row>
    <x:row r="374">
      <x:c r="F374" s="6" t="n"/>
      <x:c r="G374" s="16" t="n"/>
    </x:row>
    <x:row r="375">
      <x:c r="F375" s="6" t="n"/>
      <x:c r="G375" s="16" t="n"/>
    </x:row>
    <x:row r="376">
      <x:c r="F376" s="6" t="n"/>
      <x:c r="G376" s="16" t="n"/>
    </x:row>
    <x:row r="377">
      <x:c r="F377" s="6" t="n"/>
      <x:c r="G377" s="16" t="n"/>
    </x:row>
    <x:row r="378">
      <x:c r="F378" s="6" t="n"/>
      <x:c r="G378" s="16" t="n"/>
    </x:row>
    <x:row r="379">
      <x:c r="F379" s="6" t="n"/>
      <x:c r="G379" s="16" t="n"/>
    </x:row>
    <x:row r="380">
      <x:c r="F380" s="6" t="n"/>
      <x:c r="G380" s="16" t="n"/>
    </x:row>
    <x:row r="381">
      <x:c r="F381" s="6" t="n"/>
      <x:c r="G381" s="16" t="n"/>
    </x:row>
    <x:row r="382">
      <x:c r="F382" s="6" t="n"/>
      <x:c r="G382" s="16" t="n"/>
    </x:row>
    <x:row r="383">
      <x:c r="F383" s="6" t="n"/>
      <x:c r="G383" s="16" t="n"/>
    </x:row>
    <x:row r="384">
      <x:c r="F384" s="6" t="n"/>
      <x:c r="G384" s="16" t="n"/>
    </x:row>
    <x:row r="385">
      <x:c r="F385" s="6" t="n"/>
      <x:c r="G385" s="16" t="n"/>
    </x:row>
    <x:row r="386">
      <x:c r="F386" s="6" t="n"/>
      <x:c r="G386" s="16" t="n"/>
    </x:row>
    <x:row r="387">
      <x:c r="F387" s="6" t="n"/>
      <x:c r="G387" s="16" t="n"/>
    </x:row>
    <x:row r="388">
      <x:c r="F388" s="6" t="n"/>
      <x:c r="G388" s="16" t="n"/>
    </x:row>
    <x:row r="389">
      <x:c r="F389" s="6" t="n"/>
      <x:c r="G389" s="16" t="n"/>
    </x:row>
    <x:row r="390">
      <x:c r="F390" s="6" t="n"/>
      <x:c r="G390" s="16" t="n"/>
    </x:row>
    <x:row r="391">
      <x:c r="F391" s="6" t="n"/>
      <x:c r="G391" s="16" t="n"/>
    </x:row>
    <x:row r="392">
      <x:c r="F392" s="6" t="n"/>
      <x:c r="G392" s="16" t="n"/>
    </x:row>
    <x:row r="393">
      <x:c r="F393" s="6" t="n"/>
      <x:c r="G393" s="16" t="n"/>
    </x:row>
    <x:row r="394">
      <x:c r="F394" s="6" t="n"/>
      <x:c r="G394" s="16" t="n"/>
    </x:row>
    <x:row r="395">
      <x:c r="F395" s="6" t="n"/>
      <x:c r="G395" s="16" t="n"/>
    </x:row>
    <x:row r="396">
      <x:c r="F396" s="6" t="n"/>
      <x:c r="G396" s="16" t="n"/>
    </x:row>
    <x:row r="397">
      <x:c r="F397" s="6" t="n"/>
      <x:c r="G397" s="16" t="n"/>
    </x:row>
    <x:row r="398">
      <x:c r="F398" s="6" t="n"/>
      <x:c r="G398" s="16" t="n"/>
    </x:row>
    <x:row r="399">
      <x:c r="F399" s="6" t="n"/>
      <x:c r="G399" s="16" t="n"/>
    </x:row>
    <x:row r="400">
      <x:c r="F400" s="6" t="n"/>
      <x:c r="G400" s="16" t="n"/>
    </x:row>
    <x:row r="401">
      <x:c r="F401" s="6" t="n"/>
      <x:c r="G401" s="16" t="n"/>
    </x:row>
    <x:row r="402">
      <x:c r="F402" s="6" t="n"/>
      <x:c r="G402" s="16" t="n"/>
    </x:row>
    <x:row r="403">
      <x:c r="F403" s="6" t="n"/>
      <x:c r="G403" s="16" t="n"/>
    </x:row>
    <x:row r="404">
      <x:c r="F404" s="6" t="n"/>
      <x:c r="G404" s="16" t="n"/>
    </x:row>
    <x:row r="405">
      <x:c r="F405" s="6" t="n"/>
      <x:c r="G405" s="16" t="n"/>
    </x:row>
    <x:row r="406">
      <x:c r="F406" s="6" t="n"/>
      <x:c r="G406" s="16" t="n"/>
    </x:row>
    <x:row r="407">
      <x:c r="F407" s="6" t="n"/>
      <x:c r="G407" s="16" t="n"/>
    </x:row>
    <x:row r="408">
      <x:c r="F408" s="6" t="n"/>
      <x:c r="G408" s="16" t="n"/>
    </x:row>
    <x:row r="409">
      <x:c r="F409" s="6" t="n"/>
      <x:c r="G409" s="16" t="n"/>
    </x:row>
    <x:row r="410">
      <x:c r="F410" s="6" t="n"/>
      <x:c r="G410" s="16" t="n"/>
    </x:row>
    <x:row r="411">
      <x:c r="F411" s="6" t="n"/>
      <x:c r="G411" s="16" t="n"/>
    </x:row>
    <x:row r="412">
      <x:c r="F412" s="6" t="n"/>
      <x:c r="G412" s="16" t="n"/>
    </x:row>
    <x:row r="413">
      <x:c r="F413" s="6" t="n"/>
      <x:c r="G413" s="16" t="n"/>
    </x:row>
    <x:row r="414">
      <x:c r="F414" s="6" t="n"/>
      <x:c r="G414" s="16" t="n"/>
    </x:row>
    <x:row r="415">
      <x:c r="F415" s="6" t="n"/>
      <x:c r="G415" s="16" t="n"/>
    </x:row>
    <x:row r="416">
      <x:c r="F416" s="6" t="n"/>
      <x:c r="G416" s="16" t="n"/>
    </x:row>
    <x:row r="417">
      <x:c r="F417" s="6" t="n"/>
      <x:c r="G417" s="16" t="n"/>
    </x:row>
    <x:row r="418">
      <x:c r="F418" s="6" t="n"/>
      <x:c r="G418" s="16" t="n"/>
    </x:row>
    <x:row r="419">
      <x:c r="F419" s="6" t="n"/>
      <x:c r="G419" s="16" t="n"/>
    </x:row>
    <x:row r="420">
      <x:c r="F420" s="6" t="n"/>
      <x:c r="G420" s="16" t="n"/>
    </x:row>
    <x:row r="421">
      <x:c r="F421" s="6" t="n"/>
      <x:c r="G421" s="16" t="n"/>
    </x:row>
    <x:row r="422">
      <x:c r="F422" s="6" t="n"/>
      <x:c r="G422" s="16" t="n"/>
    </x:row>
    <x:row r="423">
      <x:c r="F423" s="6" t="n"/>
      <x:c r="G423" s="16" t="n"/>
    </x:row>
    <x:row r="424">
      <x:c r="F424" s="6" t="n"/>
      <x:c r="G424" s="16" t="n"/>
    </x:row>
    <x:row r="425">
      <x:c r="F425" s="6" t="n"/>
      <x:c r="G425" s="16" t="n"/>
    </x:row>
    <x:row r="426">
      <x:c r="F426" s="6" t="n"/>
      <x:c r="G426" s="16" t="n"/>
    </x:row>
    <x:row r="427">
      <x:c r="F427" s="6" t="n"/>
      <x:c r="G427" s="16" t="n"/>
    </x:row>
    <x:row r="428">
      <x:c r="F428" s="6" t="n"/>
      <x:c r="G428" s="16" t="n"/>
    </x:row>
    <x:row r="429">
      <x:c r="F429" s="6" t="n"/>
      <x:c r="G429" s="16" t="n"/>
    </x:row>
    <x:row r="430">
      <x:c r="F430" s="6" t="n"/>
      <x:c r="G430" s="16" t="n"/>
    </x:row>
    <x:row r="431">
      <x:c r="F431" s="6" t="n"/>
      <x:c r="G431" s="16" t="n"/>
    </x:row>
    <x:row r="432">
      <x:c r="F432" s="6" t="n"/>
      <x:c r="G432" s="16" t="n"/>
    </x:row>
    <x:row r="433">
      <x:c r="F433" s="6" t="n"/>
      <x:c r="G433" s="16" t="n"/>
    </x:row>
    <x:row r="434">
      <x:c r="F434" s="6" t="n"/>
      <x:c r="G434" s="16" t="n"/>
    </x:row>
    <x:row r="435">
      <x:c r="F435" s="6" t="n"/>
      <x:c r="G435" s="16" t="n"/>
    </x:row>
    <x:row r="436">
      <x:c r="F436" s="6" t="n"/>
      <x:c r="G436" s="16" t="n"/>
    </x:row>
    <x:row r="437">
      <x:c r="F437" s="6" t="n"/>
      <x:c r="G437" s="16" t="n"/>
    </x:row>
    <x:row r="438">
      <x:c r="F438" s="6" t="n"/>
      <x:c r="G438" s="16" t="n"/>
    </x:row>
    <x:row r="439">
      <x:c r="F439" s="6" t="n"/>
      <x:c r="G439" s="16" t="n"/>
    </x:row>
    <x:row r="440">
      <x:c r="F440" s="6" t="n"/>
      <x:c r="G440" s="16" t="n"/>
    </x:row>
    <x:row r="441">
      <x:c r="F441" s="6" t="n"/>
      <x:c r="G441" s="16" t="n"/>
    </x:row>
    <x:row r="442">
      <x:c r="F442" s="6" t="n"/>
      <x:c r="G442" s="16" t="n"/>
    </x:row>
    <x:row r="443">
      <x:c r="F443" s="6" t="n"/>
      <x:c r="G443" s="16" t="n"/>
    </x:row>
    <x:row r="444">
      <x:c r="F444" s="6" t="n"/>
      <x:c r="G444" s="16" t="n"/>
    </x:row>
    <x:row r="445">
      <x:c r="F445" s="6" t="n"/>
      <x:c r="G445" s="16" t="n"/>
    </x:row>
    <x:row r="446">
      <x:c r="F446" s="6" t="n"/>
      <x:c r="G446" s="16" t="n"/>
    </x:row>
    <x:row r="447">
      <x:c r="F447" s="6" t="n"/>
      <x:c r="G447" s="16" t="n"/>
    </x:row>
    <x:row r="448">
      <x:c r="F448" s="6" t="n"/>
      <x:c r="G448" s="16" t="n"/>
    </x:row>
    <x:row r="449">
      <x:c r="F449" s="6" t="n"/>
      <x:c r="G449" s="16" t="n"/>
    </x:row>
    <x:row r="450">
      <x:c r="F450" s="6" t="n"/>
      <x:c r="G450" s="16" t="n"/>
    </x:row>
    <x:row r="451">
      <x:c r="F451" s="6" t="n"/>
      <x:c r="G451" s="16" t="n"/>
    </x:row>
    <x:row r="452">
      <x:c r="F452" s="6" t="n"/>
      <x:c r="G452" s="16" t="n"/>
    </x:row>
    <x:row r="453">
      <x:c r="F453" s="6" t="n"/>
      <x:c r="G453" s="16" t="n"/>
    </x:row>
    <x:row r="454">
      <x:c r="F454" s="6" t="n"/>
      <x:c r="G454" s="16" t="n"/>
    </x:row>
    <x:row r="455">
      <x:c r="F455" s="6" t="n"/>
      <x:c r="G455" s="16" t="n"/>
    </x:row>
    <x:row r="456">
      <x:c r="F456" s="6" t="n"/>
      <x:c r="G456" s="16" t="n"/>
    </x:row>
    <x:row r="457">
      <x:c r="F457" s="6" t="n"/>
      <x:c r="G457" s="16" t="n"/>
    </x:row>
    <x:row r="458">
      <x:c r="F458" s="6" t="n"/>
      <x:c r="G458" s="16" t="n"/>
    </x:row>
    <x:row r="459">
      <x:c r="F459" s="6" t="n"/>
      <x:c r="G459" s="16" t="n"/>
    </x:row>
    <x:row r="460">
      <x:c r="F460" s="6" t="n"/>
      <x:c r="G460" s="16" t="n"/>
    </x:row>
    <x:row r="461">
      <x:c r="F461" s="6" t="n"/>
      <x:c r="G461" s="16" t="n"/>
    </x:row>
    <x:row r="462">
      <x:c r="F462" s="6" t="n"/>
      <x:c r="G462" s="16" t="n"/>
    </x:row>
    <x:row r="463">
      <x:c r="F463" s="6" t="n"/>
      <x:c r="G463" s="16" t="n"/>
    </x:row>
    <x:row r="464">
      <x:c r="F464" s="6" t="n"/>
      <x:c r="G464" s="16" t="n"/>
    </x:row>
    <x:row r="465">
      <x:c r="F465" s="6" t="n"/>
      <x:c r="G465" s="16" t="n"/>
    </x:row>
    <x:row r="466">
      <x:c r="F466" s="6" t="n"/>
      <x:c r="G466" s="16" t="n"/>
    </x:row>
    <x:row r="467">
      <x:c r="F467" s="6" t="n"/>
      <x:c r="G467" s="16" t="n"/>
    </x:row>
    <x:row r="468">
      <x:c r="F468" s="6" t="n"/>
      <x:c r="G468" s="16" t="n"/>
    </x:row>
    <x:row r="469">
      <x:c r="F469" s="6" t="n"/>
      <x:c r="G469" s="16" t="n"/>
    </x:row>
    <x:row r="470">
      <x:c r="F470" s="6" t="n"/>
      <x:c r="G470" s="16" t="n"/>
    </x:row>
    <x:row r="471">
      <x:c r="F471" s="6" t="n"/>
      <x:c r="G471" s="16" t="n"/>
    </x:row>
    <x:row r="472">
      <x:c r="F472" s="6" t="n"/>
      <x:c r="G472" s="16" t="n"/>
    </x:row>
    <x:row r="473">
      <x:c r="F473" s="6" t="n"/>
      <x:c r="G473" s="16" t="n"/>
    </x:row>
    <x:row r="474">
      <x:c r="F474" s="6" t="n"/>
      <x:c r="G474" s="16" t="n"/>
    </x:row>
    <x:row r="475">
      <x:c r="F475" s="6" t="n"/>
      <x:c r="G475" s="16" t="n"/>
    </x:row>
    <x:row r="476">
      <x:c r="F476" s="6" t="n"/>
      <x:c r="G476" s="16" t="n"/>
    </x:row>
    <x:row r="477">
      <x:c r="F477" s="6" t="n"/>
      <x:c r="G477" s="16" t="n"/>
    </x:row>
    <x:row r="478">
      <x:c r="F478" s="6" t="n"/>
      <x:c r="G478" s="16" t="n"/>
    </x:row>
    <x:row r="479">
      <x:c r="F479" s="6" t="n"/>
      <x:c r="G479" s="16" t="n"/>
    </x:row>
    <x:row r="480">
      <x:c r="F480" s="6" t="n"/>
      <x:c r="G480" s="16" t="n"/>
    </x:row>
    <x:row r="481">
      <x:c r="F481" s="6" t="n"/>
      <x:c r="G481" s="16" t="n"/>
    </x:row>
    <x:row r="482">
      <x:c r="F482" s="6" t="n"/>
      <x:c r="G482" s="16" t="n"/>
    </x:row>
    <x:row r="483">
      <x:c r="F483" s="6" t="n"/>
      <x:c r="G483" s="16" t="n"/>
    </x:row>
    <x:row r="484">
      <x:c r="F484" s="6" t="n"/>
      <x:c r="G484" s="16" t="n"/>
    </x:row>
    <x:row r="485">
      <x:c r="F485" s="6" t="n"/>
      <x:c r="G485" s="16" t="n"/>
    </x:row>
    <x:row r="486">
      <x:c r="F486" s="6" t="n"/>
      <x:c r="G486" s="16" t="n"/>
    </x:row>
    <x:row r="487">
      <x:c r="F487" s="6" t="n"/>
      <x:c r="G487" s="16" t="n"/>
    </x:row>
    <x:row r="488">
      <x:c r="F488" s="6" t="n"/>
      <x:c r="G488" s="16" t="n"/>
    </x:row>
    <x:row r="489">
      <x:c r="F489" s="6" t="n"/>
      <x:c r="G489" s="16" t="n"/>
    </x:row>
    <x:row r="490">
      <x:c r="F490" s="6" t="n"/>
      <x:c r="G490" s="16" t="n"/>
    </x:row>
    <x:row r="491">
      <x:c r="F491" s="6" t="n"/>
      <x:c r="G491" s="16" t="n"/>
    </x:row>
    <x:row r="492">
      <x:c r="F492" s="6" t="n"/>
      <x:c r="G492" s="16" t="n"/>
    </x:row>
    <x:row r="493">
      <x:c r="F493" s="6" t="n"/>
      <x:c r="G493" s="16" t="n"/>
    </x:row>
    <x:row r="494">
      <x:c r="F494" s="6" t="n"/>
      <x:c r="G494" s="16" t="n"/>
    </x:row>
    <x:row r="495">
      <x:c r="F495" s="6" t="n"/>
      <x:c r="G495" s="16" t="n"/>
    </x:row>
    <x:row r="496">
      <x:c r="F496" s="6" t="n"/>
      <x:c r="G496" s="16" t="n"/>
    </x:row>
    <x:row r="497">
      <x:c r="F497" s="6" t="n"/>
      <x:c r="G497" s="16" t="n"/>
    </x:row>
    <x:row r="498">
      <x:c r="F498" s="6" t="n"/>
      <x:c r="G498" s="16" t="n"/>
    </x:row>
    <x:row r="499">
      <x:c r="F499" s="6" t="n"/>
      <x:c r="G499" s="16" t="n"/>
    </x:row>
    <x:row r="500">
      <x:c r="F500" s="6" t="n"/>
      <x:c r="G500" s="16" t="n"/>
    </x:row>
  </x:sheetData>
  <x:conditionalFormatting sqref="G2:G500">
    <x:cfRule type="dataBar" priority="1">
      <x:dataBar>
        <x:cfvo type="min"/>
        <x:cfvo type="max"/>
        <x:color rgb="FF2F75B5"/>
      </x:dataBar>
    </x:cfRule>
  </x:conditionalFormatting>
  <x:dataValidations count="2">
    <x:dataValidation type="list" allowBlank="0" showDropDown="0" showInputMessage="0" showErrorMessage="0" sqref="H2:H500">
      <x:formula1>"Planejado,Em andamento,Concluído,Atrasado"</x:formula1>
    </x:dataValidation>
    <x:dataValidation type="list" allowBlank="0" showDropDown="0" showInputMessage="0" showErrorMessage="0" sqref="I2:I500">
      <x:formula1>"Baixo,Médio,Alto,Crítico"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ff65f6c51344a61"/>
  </x:tableParts>
</x:worksheet>
</file>

<file path=xl/worksheets/sheet12.xml><?xml version="1.0" encoding="utf-8"?>
<x:worksheet xmlns:x="http://schemas.openxmlformats.org/spreadsheetml/2006/main">
  <x:sheetFormatPr baseColWidth="8" defaultRowHeight="14.25"/>
  <x:cols>
    <x:col min="1" max="9" width="18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Meta</x:t>
        </x:is>
      </x:c>
      <x:c r="C1" s="4" t="inlineStr">
        <x:is>
          <x:t xml:space="preserve">Inscritos</x:t>
        </x:is>
      </x:c>
      <x:c r="D1" s="4" t="inlineStr">
        <x:is>
          <x:t xml:space="preserve">Selecionados</x:t>
        </x:is>
      </x:c>
      <x:c r="E1" s="4" t="inlineStr">
        <x:is>
          <x:t xml:space="preserve">Treinados</x:t>
        </x:is>
      </x:c>
      <x:c r="F1" s="4" t="inlineStr">
        <x:is>
          <x:t xml:space="preserve">% Meta</x:t>
        </x:is>
      </x:c>
      <x:c r="G1" s="4" t="inlineStr">
        <x:is>
          <x:t xml:space="preserve">Status</x:t>
        </x:is>
      </x:c>
      <x:c r="H1" s="4" t="inlineStr">
        <x:is>
          <x:t xml:space="preserve">Responsável</x:t>
        </x:is>
      </x:c>
      <x:c r="I1" s="4" t="inlineStr">
        <x:is>
          <x:t xml:space="preserve">Observações</x:t>
        </x:is>
      </x:c>
    </x:row>
    <x:row r="2">
      <x:c r="A2" s="23" t="inlineStr">
        <x:is>
          <x:t xml:space="preserve">Rio de Janeiro/RJ</x:t>
        </x:is>
      </x:c>
      <x:c r="B2" s="23" t="n">
        <x:v>1000</x:v>
      </x:c>
      <x:c r="C2" s="23" t="n">
        <x:v>0</x:v>
      </x:c>
      <x:c r="D2" s="23" t="n">
        <x:v>0</x:v>
      </x:c>
      <x:c r="E2" s="23" t="n">
        <x:v>0</x:v>
      </x:c>
      <x:c r="F2" s="17" t="n">
        <x:f>IFERROR(E2/B2,0)</x:f>
        <x:v>0</x:v>
      </x:c>
      <x:c r="G2" s="23" t="str">
        <x:f>IF(F2&gt;=1,"Meta atingida",IF(F2&gt;=0.7,"Atenção","Crítico"))</x:f>
        <x:v>Crítico</x:v>
      </x:c>
      <x:c r="H2" s="23" t="n"/>
      <x:c r="I2" s="23" t="n"/>
    </x:row>
    <x:row r="3">
      <x:c r="A3" s="23" t="inlineStr">
        <x:is>
          <x:t xml:space="preserve">São Paulo/SP</x:t>
        </x:is>
      </x:c>
      <x:c r="B3" s="23" t="n">
        <x:v>1000</x:v>
      </x:c>
      <x:c r="C3" s="23" t="n">
        <x:v>0</x:v>
      </x:c>
      <x:c r="D3" s="23" t="n">
        <x:v>0</x:v>
      </x:c>
      <x:c r="E3" s="23" t="n">
        <x:v>0</x:v>
      </x:c>
      <x:c r="F3" s="17" t="n">
        <x:f>IFERROR(E3/B3,0)</x:f>
        <x:v>0</x:v>
      </x:c>
      <x:c r="G3" s="23" t="str">
        <x:f>IF(F3&gt;=1,"Meta atingida",IF(F3&gt;=0.7,"Atenção","Crítico"))</x:f>
        <x:v>Crítico</x:v>
      </x:c>
      <x:c r="H3" s="23" t="n"/>
      <x:c r="I3" s="23" t="n"/>
    </x:row>
    <x:row r="4">
      <x:c r="A4" s="23" t="inlineStr">
        <x:is>
          <x:t xml:space="preserve">Belo Horizonte/MG</x:t>
        </x:is>
      </x:c>
      <x:c r="B4" s="23" t="n">
        <x:v>1000</x:v>
      </x:c>
      <x:c r="C4" s="23" t="n">
        <x:v>0</x:v>
      </x:c>
      <x:c r="D4" s="23" t="n">
        <x:v>0</x:v>
      </x:c>
      <x:c r="E4" s="23" t="n">
        <x:v>0</x:v>
      </x:c>
      <x:c r="F4" s="17" t="n">
        <x:f>IFERROR(E4/B4,0)</x:f>
        <x:v>0</x:v>
      </x:c>
      <x:c r="G4" s="23" t="str">
        <x:f>IF(F4&gt;=1,"Meta atingida",IF(F4&gt;=0.7,"Atenção","Crítico"))</x:f>
        <x:v>Crítico</x:v>
      </x:c>
      <x:c r="H4" s="23" t="n"/>
      <x:c r="I4" s="23" t="n"/>
    </x:row>
    <x:row r="5">
      <x:c r="A5" s="23" t="inlineStr">
        <x:is>
          <x:t xml:space="preserve">Salvador/BA</x:t>
        </x:is>
      </x:c>
      <x:c r="B5" s="23" t="n">
        <x:v>1000</x:v>
      </x:c>
      <x:c r="C5" s="23" t="n">
        <x:v>0</x:v>
      </x:c>
      <x:c r="D5" s="23" t="n">
        <x:v>0</x:v>
      </x:c>
      <x:c r="E5" s="23" t="n">
        <x:v>0</x:v>
      </x:c>
      <x:c r="F5" s="17" t="n">
        <x:f>IFERROR(E5/B5,0)</x:f>
        <x:v>0</x:v>
      </x:c>
      <x:c r="G5" s="23" t="str">
        <x:f>IF(F5&gt;=1,"Meta atingida",IF(F5&gt;=0.7,"Atenção","Crítico"))</x:f>
        <x:v>Crítico</x:v>
      </x:c>
      <x:c r="H5" s="23" t="n"/>
      <x:c r="I5" s="23" t="n"/>
    </x:row>
    <x:row r="6">
      <x:c r="A6" s="23" t="inlineStr">
        <x:is>
          <x:t xml:space="preserve">Recife/PE</x:t>
        </x:is>
      </x:c>
      <x:c r="B6" s="23" t="n">
        <x:v>1000</x:v>
      </x:c>
      <x:c r="C6" s="23" t="n">
        <x:v>0</x:v>
      </x:c>
      <x:c r="D6" s="23" t="n">
        <x:v>0</x:v>
      </x:c>
      <x:c r="E6" s="23" t="n">
        <x:v>0</x:v>
      </x:c>
      <x:c r="F6" s="17" t="n">
        <x:f>IFERROR(E6/B6,0)</x:f>
        <x:v>0</x:v>
      </x:c>
      <x:c r="G6" s="23" t="str">
        <x:f>IF(F6&gt;=1,"Meta atingida",IF(F6&gt;=0.7,"Atenção","Crítico"))</x:f>
        <x:v>Crítico</x:v>
      </x:c>
      <x:c r="H6" s="23" t="n"/>
      <x:c r="I6" s="23" t="n"/>
    </x:row>
    <x:row r="7">
      <x:c r="A7" s="23" t="inlineStr">
        <x:is>
          <x:t xml:space="preserve">Fortaleza/CE</x:t>
        </x:is>
      </x:c>
      <x:c r="B7" s="23" t="n">
        <x:v>1000</x:v>
      </x:c>
      <x:c r="C7" s="23" t="n">
        <x:v>0</x:v>
      </x:c>
      <x:c r="D7" s="23" t="n">
        <x:v>0</x:v>
      </x:c>
      <x:c r="E7" s="23" t="n">
        <x:v>0</x:v>
      </x:c>
      <x:c r="F7" s="17" t="n">
        <x:f>IFERROR(E7/B7,0)</x:f>
        <x:v>0</x:v>
      </x:c>
      <x:c r="G7" s="23" t="str">
        <x:f>IF(F7&gt;=1,"Meta atingida",IF(F7&gt;=0.7,"Atenção","Crítico"))</x:f>
        <x:v>Crítico</x:v>
      </x:c>
      <x:c r="H7" s="23" t="n"/>
      <x:c r="I7" s="23" t="n"/>
    </x:row>
    <x:row r="8">
      <x:c r="A8" s="23" t="inlineStr">
        <x:is>
          <x:t xml:space="preserve">Brasília/DF</x:t>
        </x:is>
      </x:c>
      <x:c r="B8" s="23" t="n">
        <x:v>1000</x:v>
      </x:c>
      <x:c r="C8" s="23" t="n">
        <x:v>0</x:v>
      </x:c>
      <x:c r="D8" s="23" t="n">
        <x:v>0</x:v>
      </x:c>
      <x:c r="E8" s="23" t="n">
        <x:v>0</x:v>
      </x:c>
      <x:c r="F8" s="17" t="n">
        <x:f>IFERROR(E8/B8,0)</x:f>
        <x:v>0</x:v>
      </x:c>
      <x:c r="G8" s="23" t="str">
        <x:f>IF(F8&gt;=1,"Meta atingida",IF(F8&gt;=0.7,"Atenção","Crítico"))</x:f>
        <x:v>Crítico</x:v>
      </x:c>
      <x:c r="H8" s="23" t="n"/>
      <x:c r="I8" s="23" t="n"/>
    </x:row>
    <x:row r="9">
      <x:c r="A9" s="23" t="inlineStr">
        <x:is>
          <x:t xml:space="preserve">Porto Alegre/RS</x:t>
        </x:is>
      </x:c>
      <x:c r="B9" s="23" t="n">
        <x:v>1000</x:v>
      </x:c>
      <x:c r="C9" s="23" t="n">
        <x:v>0</x:v>
      </x:c>
      <x:c r="D9" s="23" t="n">
        <x:v>0</x:v>
      </x:c>
      <x:c r="E9" s="23" t="n">
        <x:v>0</x:v>
      </x:c>
      <x:c r="F9" s="17" t="n">
        <x:f>IFERROR(E9/B9,0)</x:f>
        <x:v>0</x:v>
      </x:c>
      <x:c r="G9" s="23" t="str">
        <x:f>IF(F9&gt;=1,"Meta atingida",IF(F9&gt;=0.7,"Atenção","Crítico"))</x:f>
        <x:v>Crítico</x:v>
      </x:c>
      <x:c r="H9" s="23" t="n"/>
      <x:c r="I9" s="23" t="n"/>
    </x:row>
    <x:row r="10">
      <x:c r="A10" s="23" t="n"/>
      <x:c r="B10" s="23" t="n"/>
      <x:c r="C10" s="23" t="n"/>
      <x:c r="D10" s="23" t="n"/>
      <x:c r="E10" s="23" t="n"/>
      <x:c r="F10" s="17" t="n"/>
      <x:c r="G10" s="23" t="n"/>
      <x:c r="H10" s="23" t="n"/>
      <x:c r="I10" s="23" t="n"/>
    </x:row>
    <x:row r="11">
      <x:c r="A11" s="23" t="n"/>
      <x:c r="B11" s="23" t="n"/>
      <x:c r="C11" s="23" t="n"/>
      <x:c r="D11" s="23" t="n"/>
      <x:c r="E11" s="23" t="n"/>
      <x:c r="F11" s="17" t="n"/>
      <x:c r="G11" s="23" t="n"/>
      <x:c r="H11" s="23" t="n"/>
      <x:c r="I11" s="23" t="n"/>
    </x:row>
    <x:row r="12">
      <x:c r="A12" s="23" t="n"/>
      <x:c r="B12" s="23" t="n"/>
      <x:c r="C12" s="23" t="n"/>
      <x:c r="D12" s="23" t="n"/>
      <x:c r="E12" s="23" t="n"/>
      <x:c r="F12" s="17" t="n"/>
      <x:c r="G12" s="23" t="n"/>
      <x:c r="H12" s="23" t="n"/>
      <x:c r="I12" s="23" t="n"/>
    </x:row>
    <x:row r="13">
      <x:c r="A13" s="23" t="n"/>
      <x:c r="B13" s="23" t="n"/>
      <x:c r="C13" s="23" t="n"/>
      <x:c r="D13" s="23" t="n"/>
      <x:c r="E13" s="23" t="n"/>
      <x:c r="F13" s="17" t="n"/>
      <x:c r="G13" s="23" t="n"/>
      <x:c r="H13" s="23" t="n"/>
      <x:c r="I13" s="23" t="n"/>
    </x:row>
    <x:row r="14">
      <x:c r="A14" s="23" t="n"/>
      <x:c r="B14" s="23" t="n"/>
      <x:c r="C14" s="23" t="n"/>
      <x:c r="D14" s="23" t="n"/>
      <x:c r="E14" s="23" t="n"/>
      <x:c r="F14" s="17" t="n"/>
      <x:c r="G14" s="23" t="n"/>
      <x:c r="H14" s="23" t="n"/>
      <x:c r="I14" s="23" t="n"/>
    </x:row>
    <x:row r="15">
      <x:c r="A15" s="23" t="n"/>
      <x:c r="B15" s="23" t="n"/>
      <x:c r="C15" s="23" t="n"/>
      <x:c r="D15" s="23" t="n"/>
      <x:c r="E15" s="23" t="n"/>
      <x:c r="F15" s="17" t="n"/>
      <x:c r="G15" s="23" t="n"/>
      <x:c r="H15" s="23" t="n"/>
      <x:c r="I15" s="23" t="n"/>
    </x:row>
    <x:row r="16">
      <x:c r="A16" s="23" t="n"/>
      <x:c r="B16" s="23" t="n"/>
      <x:c r="C16" s="23" t="n"/>
      <x:c r="D16" s="23" t="n"/>
      <x:c r="E16" s="23" t="n"/>
      <x:c r="F16" s="17" t="n"/>
      <x:c r="G16" s="23" t="n"/>
      <x:c r="H16" s="23" t="n"/>
      <x:c r="I16" s="23" t="n"/>
    </x:row>
    <x:row r="17">
      <x:c r="F17" s="17" t="n"/>
    </x:row>
    <x:row r="18">
      <x:c r="F18" s="17" t="n"/>
    </x:row>
    <x:row r="19">
      <x:c r="F19" s="17" t="n"/>
    </x:row>
    <x:row r="20">
      <x:c r="F20" s="17" t="n"/>
    </x:row>
    <x:row r="21">
      <x:c r="F21" s="17" t="n"/>
    </x:row>
    <x:row r="22">
      <x:c r="F22" s="17" t="n"/>
    </x:row>
    <x:row r="23">
      <x:c r="F23" s="17" t="n"/>
    </x:row>
    <x:row r="24">
      <x:c r="F24" s="17" t="n"/>
    </x:row>
    <x:row r="25">
      <x:c r="F25" s="17" t="n"/>
    </x:row>
    <x:row r="26">
      <x:c r="F26" s="17" t="n"/>
    </x:row>
    <x:row r="27">
      <x:c r="F27" s="17" t="n"/>
    </x:row>
    <x:row r="28">
      <x:c r="F28" s="17" t="n"/>
    </x:row>
    <x:row r="29">
      <x:c r="F29" s="17" t="n"/>
    </x:row>
    <x:row r="30">
      <x:c r="F30" s="17" t="n"/>
    </x:row>
    <x:row r="31">
      <x:c r="F31" s="17" t="n"/>
    </x:row>
    <x:row r="32">
      <x:c r="F32" s="17" t="n"/>
    </x:row>
    <x:row r="33">
      <x:c r="F33" s="17" t="n"/>
    </x:row>
    <x:row r="34">
      <x:c r="F34" s="17" t="n"/>
    </x:row>
    <x:row r="35">
      <x:c r="F35" s="17" t="n"/>
    </x:row>
    <x:row r="36">
      <x:c r="F36" s="17" t="n"/>
    </x:row>
    <x:row r="37">
      <x:c r="F37" s="17" t="n"/>
    </x:row>
    <x:row r="38">
      <x:c r="F38" s="17" t="n"/>
    </x:row>
    <x:row r="39">
      <x:c r="F39" s="17" t="n"/>
    </x:row>
    <x:row r="40">
      <x:c r="F40" s="17" t="n"/>
    </x:row>
    <x:row r="41">
      <x:c r="F41" s="17" t="n"/>
    </x:row>
    <x:row r="42">
      <x:c r="F42" s="17" t="n"/>
    </x:row>
    <x:row r="43">
      <x:c r="F43" s="17" t="n"/>
    </x:row>
    <x:row r="44">
      <x:c r="F44" s="17" t="n"/>
    </x:row>
    <x:row r="45">
      <x:c r="F45" s="17" t="n"/>
    </x:row>
    <x:row r="46">
      <x:c r="F46" s="17" t="n"/>
    </x:row>
    <x:row r="47">
      <x:c r="F47" s="17" t="n"/>
    </x:row>
    <x:row r="48">
      <x:c r="F48" s="17" t="n"/>
    </x:row>
    <x:row r="49">
      <x:c r="F49" s="17" t="n"/>
    </x:row>
    <x:row r="50">
      <x:c r="F50" s="17" t="n"/>
    </x:row>
    <x:row r="51">
      <x:c r="F51" s="17" t="n"/>
    </x:row>
    <x:row r="52">
      <x:c r="F52" s="17" t="n"/>
    </x:row>
    <x:row r="53">
      <x:c r="F53" s="17" t="n"/>
    </x:row>
    <x:row r="54">
      <x:c r="F54" s="17" t="n"/>
    </x:row>
    <x:row r="55">
      <x:c r="F55" s="17" t="n"/>
    </x:row>
    <x:row r="56">
      <x:c r="F56" s="17" t="n"/>
    </x:row>
    <x:row r="57">
      <x:c r="F57" s="17" t="n"/>
    </x:row>
    <x:row r="58">
      <x:c r="F58" s="17" t="n"/>
    </x:row>
    <x:row r="59">
      <x:c r="F59" s="17" t="n"/>
    </x:row>
    <x:row r="60">
      <x:c r="F60" s="17" t="n"/>
    </x:row>
    <x:row r="61">
      <x:c r="F61" s="17" t="n"/>
    </x:row>
    <x:row r="62">
      <x:c r="F62" s="17" t="n"/>
    </x:row>
    <x:row r="63">
      <x:c r="F63" s="17" t="n"/>
    </x:row>
    <x:row r="64">
      <x:c r="F64" s="17" t="n"/>
    </x:row>
    <x:row r="65">
      <x:c r="F65" s="17" t="n"/>
    </x:row>
    <x:row r="66">
      <x:c r="F66" s="17" t="n"/>
    </x:row>
    <x:row r="67">
      <x:c r="F67" s="17" t="n"/>
    </x:row>
    <x:row r="68">
      <x:c r="F68" s="17" t="n"/>
    </x:row>
    <x:row r="69">
      <x:c r="F69" s="17" t="n"/>
    </x:row>
    <x:row r="70">
      <x:c r="F70" s="17" t="n"/>
    </x:row>
    <x:row r="71">
      <x:c r="F71" s="17" t="n"/>
    </x:row>
    <x:row r="72">
      <x:c r="F72" s="17" t="n"/>
    </x:row>
    <x:row r="73">
      <x:c r="F73" s="17" t="n"/>
    </x:row>
    <x:row r="74">
      <x:c r="F74" s="17" t="n"/>
    </x:row>
    <x:row r="75">
      <x:c r="F75" s="17" t="n"/>
    </x:row>
    <x:row r="76">
      <x:c r="F76" s="17" t="n"/>
    </x:row>
    <x:row r="77">
      <x:c r="F77" s="17" t="n"/>
    </x:row>
    <x:row r="78">
      <x:c r="F78" s="17" t="n"/>
    </x:row>
    <x:row r="79">
      <x:c r="F79" s="17" t="n"/>
    </x:row>
    <x:row r="80">
      <x:c r="F80" s="17" t="n"/>
    </x:row>
    <x:row r="81">
      <x:c r="F81" s="17" t="n"/>
    </x:row>
    <x:row r="82">
      <x:c r="F82" s="17" t="n"/>
    </x:row>
    <x:row r="83">
      <x:c r="F83" s="17" t="n"/>
    </x:row>
    <x:row r="84">
      <x:c r="F84" s="17" t="n"/>
    </x:row>
    <x:row r="85">
      <x:c r="F85" s="17" t="n"/>
    </x:row>
    <x:row r="86">
      <x:c r="F86" s="17" t="n"/>
    </x:row>
    <x:row r="87">
      <x:c r="F87" s="17" t="n"/>
    </x:row>
    <x:row r="88">
      <x:c r="F88" s="17" t="n"/>
    </x:row>
    <x:row r="89">
      <x:c r="F89" s="17" t="n"/>
    </x:row>
    <x:row r="90">
      <x:c r="F90" s="17" t="n"/>
    </x:row>
    <x:row r="91">
      <x:c r="F91" s="17" t="n"/>
    </x:row>
    <x:row r="92">
      <x:c r="F92" s="17" t="n"/>
    </x:row>
    <x:row r="93">
      <x:c r="F93" s="17" t="n"/>
    </x:row>
    <x:row r="94">
      <x:c r="F94" s="17" t="n"/>
    </x:row>
    <x:row r="95">
      <x:c r="F95" s="17" t="n"/>
    </x:row>
    <x:row r="96">
      <x:c r="F96" s="17" t="n"/>
    </x:row>
    <x:row r="97">
      <x:c r="F97" s="17" t="n"/>
    </x:row>
    <x:row r="98">
      <x:c r="F98" s="17" t="n"/>
    </x:row>
    <x:row r="99">
      <x:c r="F99" s="17" t="n"/>
    </x:row>
    <x:row r="100">
      <x:c r="F100" s="17" t="n"/>
    </x:row>
  </x:sheetData>
  <x:conditionalFormatting sqref="F2:F100">
    <x:cfRule type="dataBar" priority="1">
      <x:dataBar>
        <x:cfvo type="min"/>
        <x:cfvo type="max"/>
        <x:color rgb="FF70AD47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7a895b589ba342d1"/>
  </x:tableParts>
</x:worksheet>
</file>

<file path=xl/worksheets/sheet13.xml><?xml version="1.0" encoding="utf-8"?>
<x:worksheet xmlns:x="http://schemas.openxmlformats.org/spreadsheetml/2006/main">
  <x:sheetFormatPr baseColWidth="8" defaultRowHeight="14.25"/>
  <x:cols>
    <x:col min="1" max="9" width="18" style="1" customWidth="1"/>
  </x:cols>
  <x:sheetData>
    <x:row r="1" s="1" customFormat="1" ht="24" customHeight="1">
      <x:c r="A1" s="4" t="inlineStr">
        <x:is>
          <x:t xml:space="preserve">Período</x:t>
        </x:is>
      </x:c>
      <x:c r="B1" s="4" t="inlineStr">
        <x:is>
          <x:t xml:space="preserve">Menções</x:t>
        </x:is>
      </x:c>
      <x:c r="C1" s="4" t="inlineStr">
        <x:is>
          <x:t xml:space="preserve">Positivas</x:t>
        </x:is>
      </x:c>
      <x:c r="D1" s="4" t="inlineStr">
        <x:is>
          <x:t xml:space="preserve">Neutras</x:t>
        </x:is>
      </x:c>
      <x:c r="E1" s="4" t="inlineStr">
        <x:is>
          <x:t xml:space="preserve">Negativas</x:t>
        </x:is>
      </x:c>
      <x:c r="F1" s="4" t="inlineStr">
        <x:is>
          <x:t xml:space="preserve">Alcance</x:t>
        </x:is>
      </x:c>
      <x:c r="G1" s="4" t="inlineStr">
        <x:is>
          <x:t xml:space="preserve">Engajamento</x:t>
        </x:is>
      </x:c>
      <x:c r="H1" s="4" t="inlineStr">
        <x:is>
          <x:t xml:space="preserve">Tema Principal</x:t>
        </x:is>
      </x:c>
      <x:c r="I1" s="4" t="inlineStr">
        <x:is>
          <x:t xml:space="preserve">Observações</x:t>
        </x:is>
      </x:c>
    </x:row>
    <x:row r="2">
      <x:c r="A2" s="23" t="inlineStr">
        <x:is>
          <x:t xml:space="preserve">Jul/2026</x:t>
        </x:is>
      </x:c>
      <x:c r="B2" s="7" t="n">
        <x:v>1250</x:v>
      </x:c>
      <x:c r="C2" s="7" t="n">
        <x:v>780</x:v>
      </x:c>
      <x:c r="D2" s="7" t="n">
        <x:v>360</x:v>
      </x:c>
      <x:c r="E2" s="7" t="n">
        <x:v>110</x:v>
      </x:c>
      <x:c r="F2" s="7" t="n">
        <x:v>2200000</x:v>
      </x:c>
      <x:c r="G2" s="7" t="n">
        <x:v>145000</x:v>
      </x:c>
      <x:c r="H2" s="23" t="inlineStr">
        <x:is>
          <x:t xml:space="preserve">Anúncio de cidades</x:t>
        </x:is>
      </x:c>
      <x:c r="I2" s="23" t="inlineStr">
        <x:is>
          <x:t xml:space="preserve">Exemplo</x:t>
        </x:is>
      </x:c>
    </x:row>
    <x:row r="3">
      <x:c r="A3" s="23" t="inlineStr">
        <x:is>
          <x:t xml:space="preserve">Ago/2026</x:t>
        </x:is>
      </x:c>
      <x:c r="B3" s="7" t="n">
        <x:v>1640</x:v>
      </x:c>
      <x:c r="C3" s="7" t="n">
        <x:v>1020</x:v>
      </x:c>
      <x:c r="D3" s="7" t="n">
        <x:v>470</x:v>
      </x:c>
      <x:c r="E3" s="7" t="n">
        <x:v>150</x:v>
      </x:c>
      <x:c r="F3" s="7" t="n">
        <x:v>3100000</x:v>
      </x:c>
      <x:c r="G3" s="7" t="n">
        <x:v>210000</x:v>
      </x:c>
      <x:c r="H3" s="23" t="inlineStr">
        <x:is>
          <x:t xml:space="preserve">Eventos preparatórios</x:t>
        </x:is>
      </x:c>
      <x:c r="I3" s="23" t="inlineStr">
        <x:is>
          <x:t xml:space="preserve">Exemplo</x:t>
        </x:is>
      </x:c>
    </x:row>
    <x:row r="4">
      <x:c r="A4" s="23" t="inlineStr">
        <x:is>
          <x:t xml:space="preserve">Set/2026</x:t>
        </x:is>
      </x:c>
      <x:c r="B4" s="7" t="n">
        <x:v>1920</x:v>
      </x:c>
      <x:c r="C4" s="7" t="n">
        <x:v>1240</x:v>
      </x:c>
      <x:c r="D4" s="7" t="n">
        <x:v>510</x:v>
      </x:c>
      <x:c r="E4" s="7" t="n">
        <x:v>170</x:v>
      </x:c>
      <x:c r="F4" s="7" t="n">
        <x:v>3800000</x:v>
      </x:c>
      <x:c r="G4" s="7" t="n">
        <x:v>290000</x:v>
      </x:c>
      <x:c r="H4" s="23" t="inlineStr">
        <x:is>
          <x:t xml:space="preserve">Patrocínios</x:t>
        </x:is>
      </x:c>
      <x:c r="I4" s="23" t="inlineStr">
        <x:is>
          <x:t xml:space="preserve">Exemplo</x:t>
        </x:is>
      </x:c>
    </x:row>
    <x:row r="5">
      <x:c r="A5" s="23" t="inlineStr">
        <x:is>
          <x:t xml:space="preserve">Out/2026</x:t>
        </x:is>
      </x:c>
      <x:c r="B5" s="7" t="n">
        <x:v>0</x:v>
      </x:c>
      <x:c r="C5" s="7" t="n">
        <x:v>0</x:v>
      </x:c>
      <x:c r="D5" s="7" t="n">
        <x:v>0</x:v>
      </x:c>
      <x:c r="E5" s="7" t="n">
        <x:v>0</x:v>
      </x:c>
      <x:c r="F5" s="7" t="n">
        <x:v>0</x:v>
      </x:c>
      <x:c r="G5" s="7" t="n">
        <x:v>0</x:v>
      </x:c>
      <x:c r="H5" s="23" t="inlineStr">
        <x:is>
          <x:t xml:space="preserve">A preencher</x:t>
        </x:is>
      </x:c>
      <x:c r="I5" s="23" t="n"/>
    </x:row>
    <x:row r="6">
      <x:c r="A6" s="23" t="n"/>
      <x:c r="B6" s="7" t="n"/>
      <x:c r="C6" s="7" t="n"/>
      <x:c r="D6" s="7" t="n"/>
      <x:c r="E6" s="7" t="n"/>
      <x:c r="F6" s="7" t="n"/>
      <x:c r="G6" s="7" t="n"/>
      <x:c r="H6" s="23" t="n"/>
      <x:c r="I6" s="23" t="n"/>
    </x:row>
    <x:row r="7">
      <x:c r="A7" s="23" t="n"/>
      <x:c r="B7" s="7" t="n"/>
      <x:c r="C7" s="7" t="n"/>
      <x:c r="D7" s="7" t="n"/>
      <x:c r="E7" s="7" t="n"/>
      <x:c r="F7" s="7" t="n"/>
      <x:c r="G7" s="7" t="n"/>
      <x:c r="H7" s="23" t="n"/>
      <x:c r="I7" s="23" t="n"/>
    </x:row>
    <x:row r="8">
      <x:c r="A8" s="23" t="n"/>
      <x:c r="B8" s="7" t="n"/>
      <x:c r="C8" s="7" t="n"/>
      <x:c r="D8" s="7" t="n"/>
      <x:c r="E8" s="7" t="n"/>
      <x:c r="F8" s="7" t="n"/>
      <x:c r="G8" s="7" t="n"/>
      <x:c r="H8" s="23" t="n"/>
      <x:c r="I8" s="23" t="n"/>
    </x:row>
    <x:row r="9">
      <x:c r="A9" s="23" t="n"/>
      <x:c r="B9" s="7" t="n"/>
      <x:c r="C9" s="7" t="n"/>
      <x:c r="D9" s="7" t="n"/>
      <x:c r="E9" s="7" t="n"/>
      <x:c r="F9" s="7" t="n"/>
      <x:c r="G9" s="7" t="n"/>
      <x:c r="H9" s="23" t="n"/>
      <x:c r="I9" s="23" t="n"/>
    </x:row>
    <x:row r="10">
      <x:c r="A10" s="23" t="n"/>
      <x:c r="B10" s="7" t="n"/>
      <x:c r="C10" s="7" t="n"/>
      <x:c r="D10" s="7" t="n"/>
      <x:c r="E10" s="7" t="n"/>
      <x:c r="F10" s="7" t="n"/>
      <x:c r="G10" s="7" t="n"/>
      <x:c r="H10" s="23" t="n"/>
      <x:c r="I10" s="23" t="n"/>
    </x:row>
    <x:row r="11">
      <x:c r="A11" s="23" t="n"/>
      <x:c r="B11" s="7" t="n"/>
      <x:c r="C11" s="7" t="n"/>
      <x:c r="D11" s="7" t="n"/>
      <x:c r="E11" s="7" t="n"/>
      <x:c r="F11" s="7" t="n"/>
      <x:c r="G11" s="7" t="n"/>
      <x:c r="H11" s="23" t="n"/>
      <x:c r="I11" s="23" t="n"/>
    </x:row>
    <x:row r="12">
      <x:c r="A12" s="23" t="n"/>
      <x:c r="B12" s="7" t="n"/>
      <x:c r="C12" s="7" t="n"/>
      <x:c r="D12" s="7" t="n"/>
      <x:c r="E12" s="7" t="n"/>
      <x:c r="F12" s="7" t="n"/>
      <x:c r="G12" s="7" t="n"/>
      <x:c r="H12" s="23" t="n"/>
      <x:c r="I12" s="23" t="n"/>
    </x:row>
    <x:row r="13">
      <x:c r="A13" s="23" t="n"/>
      <x:c r="B13" s="7" t="n"/>
      <x:c r="C13" s="7" t="n"/>
      <x:c r="D13" s="7" t="n"/>
      <x:c r="E13" s="7" t="n"/>
      <x:c r="F13" s="7" t="n"/>
      <x:c r="G13" s="7" t="n"/>
      <x:c r="H13" s="23" t="n"/>
      <x:c r="I13" s="23" t="n"/>
    </x:row>
    <x:row r="14">
      <x:c r="A14" s="23" t="n"/>
      <x:c r="B14" s="7" t="n"/>
      <x:c r="C14" s="7" t="n"/>
      <x:c r="D14" s="7" t="n"/>
      <x:c r="E14" s="7" t="n"/>
      <x:c r="F14" s="7" t="n"/>
      <x:c r="G14" s="7" t="n"/>
      <x:c r="H14" s="23" t="n"/>
      <x:c r="I14" s="23" t="n"/>
    </x:row>
    <x:row r="15">
      <x:c r="A15" s="23" t="n"/>
      <x:c r="B15" s="7" t="n"/>
      <x:c r="C15" s="7" t="n"/>
      <x:c r="D15" s="7" t="n"/>
      <x:c r="E15" s="7" t="n"/>
      <x:c r="F15" s="7" t="n"/>
      <x:c r="G15" s="7" t="n"/>
      <x:c r="H15" s="23" t="n"/>
      <x:c r="I15" s="23" t="n"/>
    </x:row>
    <x:row r="16">
      <x:c r="A16" s="23" t="n"/>
      <x:c r="B16" s="7" t="n"/>
      <x:c r="C16" s="7" t="n"/>
      <x:c r="D16" s="7" t="n"/>
      <x:c r="E16" s="7" t="n"/>
      <x:c r="F16" s="7" t="n"/>
      <x:c r="G16" s="7" t="n"/>
      <x:c r="H16" s="23" t="n"/>
      <x:c r="I16" s="23" t="n"/>
    </x:row>
    <x:row r="17">
      <x:c r="B17" s="7" t="n"/>
      <x:c r="C17" s="7" t="n"/>
      <x:c r="D17" s="7" t="n"/>
      <x:c r="E17" s="7" t="n"/>
      <x:c r="F17" s="7" t="n"/>
      <x:c r="G17" s="7" t="n"/>
    </x:row>
    <x:row r="18">
      <x:c r="B18" s="7" t="n"/>
      <x:c r="C18" s="7" t="n"/>
      <x:c r="D18" s="7" t="n"/>
      <x:c r="E18" s="7" t="n"/>
      <x:c r="F18" s="7" t="n"/>
      <x:c r="G18" s="7" t="n"/>
    </x:row>
    <x:row r="19">
      <x:c r="B19" s="7" t="n"/>
      <x:c r="C19" s="7" t="n"/>
      <x:c r="D19" s="7" t="n"/>
      <x:c r="E19" s="7" t="n"/>
      <x:c r="F19" s="7" t="n"/>
      <x:c r="G19" s="7" t="n"/>
    </x:row>
    <x:row r="20">
      <x:c r="B20" s="7" t="n"/>
      <x:c r="C20" s="7" t="n"/>
      <x:c r="D20" s="7" t="n"/>
      <x:c r="E20" s="7" t="n"/>
      <x:c r="F20" s="7" t="n"/>
      <x:c r="G20" s="7" t="n"/>
    </x:row>
    <x:row r="21">
      <x:c r="B21" s="7" t="n"/>
      <x:c r="C21" s="7" t="n"/>
      <x:c r="D21" s="7" t="n"/>
      <x:c r="E21" s="7" t="n"/>
      <x:c r="F21" s="7" t="n"/>
      <x:c r="G21" s="7" t="n"/>
    </x:row>
    <x:row r="22">
      <x:c r="B22" s="7" t="n"/>
      <x:c r="C22" s="7" t="n"/>
      <x:c r="D22" s="7" t="n"/>
      <x:c r="E22" s="7" t="n"/>
      <x:c r="F22" s="7" t="n"/>
      <x:c r="G22" s="7" t="n"/>
    </x:row>
    <x:row r="23">
      <x:c r="B23" s="7" t="n"/>
      <x:c r="C23" s="7" t="n"/>
      <x:c r="D23" s="7" t="n"/>
      <x:c r="E23" s="7" t="n"/>
      <x:c r="F23" s="7" t="n"/>
      <x:c r="G23" s="7" t="n"/>
    </x:row>
    <x:row r="24">
      <x:c r="B24" s="7" t="n"/>
      <x:c r="C24" s="7" t="n"/>
      <x:c r="D24" s="7" t="n"/>
      <x:c r="E24" s="7" t="n"/>
      <x:c r="F24" s="7" t="n"/>
      <x:c r="G24" s="7" t="n"/>
    </x:row>
    <x:row r="25">
      <x:c r="B25" s="7" t="n"/>
      <x:c r="C25" s="7" t="n"/>
      <x:c r="D25" s="7" t="n"/>
      <x:c r="E25" s="7" t="n"/>
      <x:c r="F25" s="7" t="n"/>
      <x:c r="G25" s="7" t="n"/>
    </x:row>
    <x:row r="26">
      <x:c r="B26" s="7" t="n"/>
      <x:c r="C26" s="7" t="n"/>
      <x:c r="D26" s="7" t="n"/>
      <x:c r="E26" s="7" t="n"/>
      <x:c r="F26" s="7" t="n"/>
      <x:c r="G26" s="7" t="n"/>
    </x:row>
    <x:row r="27">
      <x:c r="B27" s="7" t="n"/>
      <x:c r="C27" s="7" t="n"/>
      <x:c r="D27" s="7" t="n"/>
      <x:c r="E27" s="7" t="n"/>
      <x:c r="F27" s="7" t="n"/>
      <x:c r="G27" s="7" t="n"/>
    </x:row>
    <x:row r="28">
      <x:c r="B28" s="7" t="n"/>
      <x:c r="C28" s="7" t="n"/>
      <x:c r="D28" s="7" t="n"/>
      <x:c r="E28" s="7" t="n"/>
      <x:c r="F28" s="7" t="n"/>
      <x:c r="G28" s="7" t="n"/>
    </x:row>
    <x:row r="29">
      <x:c r="B29" s="7" t="n"/>
      <x:c r="C29" s="7" t="n"/>
      <x:c r="D29" s="7" t="n"/>
      <x:c r="E29" s="7" t="n"/>
      <x:c r="F29" s="7" t="n"/>
      <x:c r="G29" s="7" t="n"/>
    </x:row>
    <x:row r="30">
      <x:c r="B30" s="7" t="n"/>
      <x:c r="C30" s="7" t="n"/>
      <x:c r="D30" s="7" t="n"/>
      <x:c r="E30" s="7" t="n"/>
      <x:c r="F30" s="7" t="n"/>
      <x:c r="G30" s="7" t="n"/>
    </x:row>
    <x:row r="31">
      <x:c r="B31" s="7" t="n"/>
      <x:c r="C31" s="7" t="n"/>
      <x:c r="D31" s="7" t="n"/>
      <x:c r="E31" s="7" t="n"/>
      <x:c r="F31" s="7" t="n"/>
      <x:c r="G31" s="7" t="n"/>
    </x:row>
    <x:row r="32">
      <x:c r="B32" s="7" t="n"/>
      <x:c r="C32" s="7" t="n"/>
      <x:c r="D32" s="7" t="n"/>
      <x:c r="E32" s="7" t="n"/>
      <x:c r="F32" s="7" t="n"/>
      <x:c r="G32" s="7" t="n"/>
    </x:row>
    <x:row r="33">
      <x:c r="B33" s="7" t="n"/>
      <x:c r="C33" s="7" t="n"/>
      <x:c r="D33" s="7" t="n"/>
      <x:c r="E33" s="7" t="n"/>
      <x:c r="F33" s="7" t="n"/>
      <x:c r="G33" s="7" t="n"/>
    </x:row>
    <x:row r="34">
      <x:c r="B34" s="7" t="n"/>
      <x:c r="C34" s="7" t="n"/>
      <x:c r="D34" s="7" t="n"/>
      <x:c r="E34" s="7" t="n"/>
      <x:c r="F34" s="7" t="n"/>
      <x:c r="G34" s="7" t="n"/>
    </x:row>
    <x:row r="35">
      <x:c r="B35" s="7" t="n"/>
      <x:c r="C35" s="7" t="n"/>
      <x:c r="D35" s="7" t="n"/>
      <x:c r="E35" s="7" t="n"/>
      <x:c r="F35" s="7" t="n"/>
      <x:c r="G35" s="7" t="n"/>
    </x:row>
    <x:row r="36">
      <x:c r="B36" s="7" t="n"/>
      <x:c r="C36" s="7" t="n"/>
      <x:c r="D36" s="7" t="n"/>
      <x:c r="E36" s="7" t="n"/>
      <x:c r="F36" s="7" t="n"/>
      <x:c r="G36" s="7" t="n"/>
    </x:row>
    <x:row r="37">
      <x:c r="B37" s="7" t="n"/>
      <x:c r="C37" s="7" t="n"/>
      <x:c r="D37" s="7" t="n"/>
      <x:c r="E37" s="7" t="n"/>
      <x:c r="F37" s="7" t="n"/>
      <x:c r="G37" s="7" t="n"/>
    </x:row>
    <x:row r="38">
      <x:c r="B38" s="7" t="n"/>
      <x:c r="C38" s="7" t="n"/>
      <x:c r="D38" s="7" t="n"/>
      <x:c r="E38" s="7" t="n"/>
      <x:c r="F38" s="7" t="n"/>
      <x:c r="G38" s="7" t="n"/>
    </x:row>
    <x:row r="39">
      <x:c r="B39" s="7" t="n"/>
      <x:c r="C39" s="7" t="n"/>
      <x:c r="D39" s="7" t="n"/>
      <x:c r="E39" s="7" t="n"/>
      <x:c r="F39" s="7" t="n"/>
      <x:c r="G39" s="7" t="n"/>
    </x:row>
    <x:row r="40">
      <x:c r="B40" s="7" t="n"/>
      <x:c r="C40" s="7" t="n"/>
      <x:c r="D40" s="7" t="n"/>
      <x:c r="E40" s="7" t="n"/>
      <x:c r="F40" s="7" t="n"/>
      <x:c r="G40" s="7" t="n"/>
    </x:row>
    <x:row r="41">
      <x:c r="B41" s="7" t="n"/>
      <x:c r="C41" s="7" t="n"/>
      <x:c r="D41" s="7" t="n"/>
      <x:c r="E41" s="7" t="n"/>
      <x:c r="F41" s="7" t="n"/>
      <x:c r="G41" s="7" t="n"/>
    </x:row>
    <x:row r="42">
      <x:c r="B42" s="7" t="n"/>
      <x:c r="C42" s="7" t="n"/>
      <x:c r="D42" s="7" t="n"/>
      <x:c r="E42" s="7" t="n"/>
      <x:c r="F42" s="7" t="n"/>
      <x:c r="G42" s="7" t="n"/>
    </x:row>
    <x:row r="43">
      <x:c r="B43" s="7" t="n"/>
      <x:c r="C43" s="7" t="n"/>
      <x:c r="D43" s="7" t="n"/>
      <x:c r="E43" s="7" t="n"/>
      <x:c r="F43" s="7" t="n"/>
      <x:c r="G43" s="7" t="n"/>
    </x:row>
    <x:row r="44">
      <x:c r="B44" s="7" t="n"/>
      <x:c r="C44" s="7" t="n"/>
      <x:c r="D44" s="7" t="n"/>
      <x:c r="E44" s="7" t="n"/>
      <x:c r="F44" s="7" t="n"/>
      <x:c r="G44" s="7" t="n"/>
    </x:row>
    <x:row r="45">
      <x:c r="B45" s="7" t="n"/>
      <x:c r="C45" s="7" t="n"/>
      <x:c r="D45" s="7" t="n"/>
      <x:c r="E45" s="7" t="n"/>
      <x:c r="F45" s="7" t="n"/>
      <x:c r="G45" s="7" t="n"/>
    </x:row>
    <x:row r="46">
      <x:c r="B46" s="7" t="n"/>
      <x:c r="C46" s="7" t="n"/>
      <x:c r="D46" s="7" t="n"/>
      <x:c r="E46" s="7" t="n"/>
      <x:c r="F46" s="7" t="n"/>
      <x:c r="G46" s="7" t="n"/>
    </x:row>
    <x:row r="47">
      <x:c r="B47" s="7" t="n"/>
      <x:c r="C47" s="7" t="n"/>
      <x:c r="D47" s="7" t="n"/>
      <x:c r="E47" s="7" t="n"/>
      <x:c r="F47" s="7" t="n"/>
      <x:c r="G47" s="7" t="n"/>
    </x:row>
    <x:row r="48">
      <x:c r="B48" s="7" t="n"/>
      <x:c r="C48" s="7" t="n"/>
      <x:c r="D48" s="7" t="n"/>
      <x:c r="E48" s="7" t="n"/>
      <x:c r="F48" s="7" t="n"/>
      <x:c r="G48" s="7" t="n"/>
    </x:row>
    <x:row r="49">
      <x:c r="B49" s="7" t="n"/>
      <x:c r="C49" s="7" t="n"/>
      <x:c r="D49" s="7" t="n"/>
      <x:c r="E49" s="7" t="n"/>
      <x:c r="F49" s="7" t="n"/>
      <x:c r="G49" s="7" t="n"/>
    </x:row>
    <x:row r="50">
      <x:c r="B50" s="7" t="n"/>
      <x:c r="C50" s="7" t="n"/>
      <x:c r="D50" s="7" t="n"/>
      <x:c r="E50" s="7" t="n"/>
      <x:c r="F50" s="7" t="n"/>
      <x:c r="G50" s="7" t="n"/>
    </x:row>
    <x:row r="51">
      <x:c r="B51" s="7" t="n"/>
      <x:c r="C51" s="7" t="n"/>
      <x:c r="D51" s="7" t="n"/>
      <x:c r="E51" s="7" t="n"/>
      <x:c r="F51" s="7" t="n"/>
      <x:c r="G51" s="7" t="n"/>
    </x:row>
    <x:row r="52">
      <x:c r="B52" s="7" t="n"/>
      <x:c r="C52" s="7" t="n"/>
      <x:c r="D52" s="7" t="n"/>
      <x:c r="E52" s="7" t="n"/>
      <x:c r="F52" s="7" t="n"/>
      <x:c r="G52" s="7" t="n"/>
    </x:row>
    <x:row r="53">
      <x:c r="B53" s="7" t="n"/>
      <x:c r="C53" s="7" t="n"/>
      <x:c r="D53" s="7" t="n"/>
      <x:c r="E53" s="7" t="n"/>
      <x:c r="F53" s="7" t="n"/>
      <x:c r="G53" s="7" t="n"/>
    </x:row>
    <x:row r="54">
      <x:c r="B54" s="7" t="n"/>
      <x:c r="C54" s="7" t="n"/>
      <x:c r="D54" s="7" t="n"/>
      <x:c r="E54" s="7" t="n"/>
      <x:c r="F54" s="7" t="n"/>
      <x:c r="G54" s="7" t="n"/>
    </x:row>
    <x:row r="55">
      <x:c r="B55" s="7" t="n"/>
      <x:c r="C55" s="7" t="n"/>
      <x:c r="D55" s="7" t="n"/>
      <x:c r="E55" s="7" t="n"/>
      <x:c r="F55" s="7" t="n"/>
      <x:c r="G55" s="7" t="n"/>
    </x:row>
    <x:row r="56">
      <x:c r="B56" s="7" t="n"/>
      <x:c r="C56" s="7" t="n"/>
      <x:c r="D56" s="7" t="n"/>
      <x:c r="E56" s="7" t="n"/>
      <x:c r="F56" s="7" t="n"/>
      <x:c r="G56" s="7" t="n"/>
    </x:row>
    <x:row r="57">
      <x:c r="B57" s="7" t="n"/>
      <x:c r="C57" s="7" t="n"/>
      <x:c r="D57" s="7" t="n"/>
      <x:c r="E57" s="7" t="n"/>
      <x:c r="F57" s="7" t="n"/>
      <x:c r="G57" s="7" t="n"/>
    </x:row>
    <x:row r="58">
      <x:c r="B58" s="7" t="n"/>
      <x:c r="C58" s="7" t="n"/>
      <x:c r="D58" s="7" t="n"/>
      <x:c r="E58" s="7" t="n"/>
      <x:c r="F58" s="7" t="n"/>
      <x:c r="G58" s="7" t="n"/>
    </x:row>
    <x:row r="59">
      <x:c r="B59" s="7" t="n"/>
      <x:c r="C59" s="7" t="n"/>
      <x:c r="D59" s="7" t="n"/>
      <x:c r="E59" s="7" t="n"/>
      <x:c r="F59" s="7" t="n"/>
      <x:c r="G59" s="7" t="n"/>
    </x:row>
    <x:row r="60">
      <x:c r="B60" s="7" t="n"/>
      <x:c r="C60" s="7" t="n"/>
      <x:c r="D60" s="7" t="n"/>
      <x:c r="E60" s="7" t="n"/>
      <x:c r="F60" s="7" t="n"/>
      <x:c r="G60" s="7" t="n"/>
    </x:row>
    <x:row r="61">
      <x:c r="B61" s="7" t="n"/>
      <x:c r="C61" s="7" t="n"/>
      <x:c r="D61" s="7" t="n"/>
      <x:c r="E61" s="7" t="n"/>
      <x:c r="F61" s="7" t="n"/>
      <x:c r="G61" s="7" t="n"/>
    </x:row>
    <x:row r="62">
      <x:c r="B62" s="7" t="n"/>
      <x:c r="C62" s="7" t="n"/>
      <x:c r="D62" s="7" t="n"/>
      <x:c r="E62" s="7" t="n"/>
      <x:c r="F62" s="7" t="n"/>
      <x:c r="G62" s="7" t="n"/>
    </x:row>
    <x:row r="63">
      <x:c r="B63" s="7" t="n"/>
      <x:c r="C63" s="7" t="n"/>
      <x:c r="D63" s="7" t="n"/>
      <x:c r="E63" s="7" t="n"/>
      <x:c r="F63" s="7" t="n"/>
      <x:c r="G63" s="7" t="n"/>
    </x:row>
    <x:row r="64">
      <x:c r="B64" s="7" t="n"/>
      <x:c r="C64" s="7" t="n"/>
      <x:c r="D64" s="7" t="n"/>
      <x:c r="E64" s="7" t="n"/>
      <x:c r="F64" s="7" t="n"/>
      <x:c r="G64" s="7" t="n"/>
    </x:row>
    <x:row r="65">
      <x:c r="B65" s="7" t="n"/>
      <x:c r="C65" s="7" t="n"/>
      <x:c r="D65" s="7" t="n"/>
      <x:c r="E65" s="7" t="n"/>
      <x:c r="F65" s="7" t="n"/>
      <x:c r="G65" s="7" t="n"/>
    </x:row>
    <x:row r="66">
      <x:c r="B66" s="7" t="n"/>
      <x:c r="C66" s="7" t="n"/>
      <x:c r="D66" s="7" t="n"/>
      <x:c r="E66" s="7" t="n"/>
      <x:c r="F66" s="7" t="n"/>
      <x:c r="G66" s="7" t="n"/>
    </x:row>
    <x:row r="67">
      <x:c r="B67" s="7" t="n"/>
      <x:c r="C67" s="7" t="n"/>
      <x:c r="D67" s="7" t="n"/>
      <x:c r="E67" s="7" t="n"/>
      <x:c r="F67" s="7" t="n"/>
      <x:c r="G67" s="7" t="n"/>
    </x:row>
    <x:row r="68">
      <x:c r="B68" s="7" t="n"/>
      <x:c r="C68" s="7" t="n"/>
      <x:c r="D68" s="7" t="n"/>
      <x:c r="E68" s="7" t="n"/>
      <x:c r="F68" s="7" t="n"/>
      <x:c r="G68" s="7" t="n"/>
    </x:row>
    <x:row r="69">
      <x:c r="B69" s="7" t="n"/>
      <x:c r="C69" s="7" t="n"/>
      <x:c r="D69" s="7" t="n"/>
      <x:c r="E69" s="7" t="n"/>
      <x:c r="F69" s="7" t="n"/>
      <x:c r="G69" s="7" t="n"/>
    </x:row>
    <x:row r="70">
      <x:c r="B70" s="7" t="n"/>
      <x:c r="C70" s="7" t="n"/>
      <x:c r="D70" s="7" t="n"/>
      <x:c r="E70" s="7" t="n"/>
      <x:c r="F70" s="7" t="n"/>
      <x:c r="G70" s="7" t="n"/>
    </x:row>
    <x:row r="71">
      <x:c r="B71" s="7" t="n"/>
      <x:c r="C71" s="7" t="n"/>
      <x:c r="D71" s="7" t="n"/>
      <x:c r="E71" s="7" t="n"/>
      <x:c r="F71" s="7" t="n"/>
      <x:c r="G71" s="7" t="n"/>
    </x:row>
    <x:row r="72">
      <x:c r="B72" s="7" t="n"/>
      <x:c r="C72" s="7" t="n"/>
      <x:c r="D72" s="7" t="n"/>
      <x:c r="E72" s="7" t="n"/>
      <x:c r="F72" s="7" t="n"/>
      <x:c r="G72" s="7" t="n"/>
    </x:row>
    <x:row r="73">
      <x:c r="B73" s="7" t="n"/>
      <x:c r="C73" s="7" t="n"/>
      <x:c r="D73" s="7" t="n"/>
      <x:c r="E73" s="7" t="n"/>
      <x:c r="F73" s="7" t="n"/>
      <x:c r="G73" s="7" t="n"/>
    </x:row>
    <x:row r="74">
      <x:c r="B74" s="7" t="n"/>
      <x:c r="C74" s="7" t="n"/>
      <x:c r="D74" s="7" t="n"/>
      <x:c r="E74" s="7" t="n"/>
      <x:c r="F74" s="7" t="n"/>
      <x:c r="G74" s="7" t="n"/>
    </x:row>
    <x:row r="75">
      <x:c r="B75" s="7" t="n"/>
      <x:c r="C75" s="7" t="n"/>
      <x:c r="D75" s="7" t="n"/>
      <x:c r="E75" s="7" t="n"/>
      <x:c r="F75" s="7" t="n"/>
      <x:c r="G75" s="7" t="n"/>
    </x:row>
    <x:row r="76">
      <x:c r="B76" s="7" t="n"/>
      <x:c r="C76" s="7" t="n"/>
      <x:c r="D76" s="7" t="n"/>
      <x:c r="E76" s="7" t="n"/>
      <x:c r="F76" s="7" t="n"/>
      <x:c r="G76" s="7" t="n"/>
    </x:row>
    <x:row r="77">
      <x:c r="B77" s="7" t="n"/>
      <x:c r="C77" s="7" t="n"/>
      <x:c r="D77" s="7" t="n"/>
      <x:c r="E77" s="7" t="n"/>
      <x:c r="F77" s="7" t="n"/>
      <x:c r="G77" s="7" t="n"/>
    </x:row>
    <x:row r="78">
      <x:c r="B78" s="7" t="n"/>
      <x:c r="C78" s="7" t="n"/>
      <x:c r="D78" s="7" t="n"/>
      <x:c r="E78" s="7" t="n"/>
      <x:c r="F78" s="7" t="n"/>
      <x:c r="G78" s="7" t="n"/>
    </x:row>
    <x:row r="79">
      <x:c r="B79" s="7" t="n"/>
      <x:c r="C79" s="7" t="n"/>
      <x:c r="D79" s="7" t="n"/>
      <x:c r="E79" s="7" t="n"/>
      <x:c r="F79" s="7" t="n"/>
      <x:c r="G79" s="7" t="n"/>
    </x:row>
    <x:row r="80">
      <x:c r="B80" s="7" t="n"/>
      <x:c r="C80" s="7" t="n"/>
      <x:c r="D80" s="7" t="n"/>
      <x:c r="E80" s="7" t="n"/>
      <x:c r="F80" s="7" t="n"/>
      <x:c r="G80" s="7" t="n"/>
    </x:row>
    <x:row r="81">
      <x:c r="B81" s="7" t="n"/>
      <x:c r="C81" s="7" t="n"/>
      <x:c r="D81" s="7" t="n"/>
      <x:c r="E81" s="7" t="n"/>
      <x:c r="F81" s="7" t="n"/>
      <x:c r="G81" s="7" t="n"/>
    </x:row>
    <x:row r="82">
      <x:c r="B82" s="7" t="n"/>
      <x:c r="C82" s="7" t="n"/>
      <x:c r="D82" s="7" t="n"/>
      <x:c r="E82" s="7" t="n"/>
      <x:c r="F82" s="7" t="n"/>
      <x:c r="G82" s="7" t="n"/>
    </x:row>
    <x:row r="83">
      <x:c r="B83" s="7" t="n"/>
      <x:c r="C83" s="7" t="n"/>
      <x:c r="D83" s="7" t="n"/>
      <x:c r="E83" s="7" t="n"/>
      <x:c r="F83" s="7" t="n"/>
      <x:c r="G83" s="7" t="n"/>
    </x:row>
    <x:row r="84">
      <x:c r="B84" s="7" t="n"/>
      <x:c r="C84" s="7" t="n"/>
      <x:c r="D84" s="7" t="n"/>
      <x:c r="E84" s="7" t="n"/>
      <x:c r="F84" s="7" t="n"/>
      <x:c r="G84" s="7" t="n"/>
    </x:row>
    <x:row r="85">
      <x:c r="B85" s="7" t="n"/>
      <x:c r="C85" s="7" t="n"/>
      <x:c r="D85" s="7" t="n"/>
      <x:c r="E85" s="7" t="n"/>
      <x:c r="F85" s="7" t="n"/>
      <x:c r="G85" s="7" t="n"/>
    </x:row>
    <x:row r="86">
      <x:c r="B86" s="7" t="n"/>
      <x:c r="C86" s="7" t="n"/>
      <x:c r="D86" s="7" t="n"/>
      <x:c r="E86" s="7" t="n"/>
      <x:c r="F86" s="7" t="n"/>
      <x:c r="G86" s="7" t="n"/>
    </x:row>
    <x:row r="87">
      <x:c r="B87" s="7" t="n"/>
      <x:c r="C87" s="7" t="n"/>
      <x:c r="D87" s="7" t="n"/>
      <x:c r="E87" s="7" t="n"/>
      <x:c r="F87" s="7" t="n"/>
      <x:c r="G87" s="7" t="n"/>
    </x:row>
    <x:row r="88">
      <x:c r="B88" s="7" t="n"/>
      <x:c r="C88" s="7" t="n"/>
      <x:c r="D88" s="7" t="n"/>
      <x:c r="E88" s="7" t="n"/>
      <x:c r="F88" s="7" t="n"/>
      <x:c r="G88" s="7" t="n"/>
    </x:row>
    <x:row r="89">
      <x:c r="B89" s="7" t="n"/>
      <x:c r="C89" s="7" t="n"/>
      <x:c r="D89" s="7" t="n"/>
      <x:c r="E89" s="7" t="n"/>
      <x:c r="F89" s="7" t="n"/>
      <x:c r="G89" s="7" t="n"/>
    </x:row>
    <x:row r="90">
      <x:c r="B90" s="7" t="n"/>
      <x:c r="C90" s="7" t="n"/>
      <x:c r="D90" s="7" t="n"/>
      <x:c r="E90" s="7" t="n"/>
      <x:c r="F90" s="7" t="n"/>
      <x:c r="G90" s="7" t="n"/>
    </x:row>
    <x:row r="91">
      <x:c r="B91" s="7" t="n"/>
      <x:c r="C91" s="7" t="n"/>
      <x:c r="D91" s="7" t="n"/>
      <x:c r="E91" s="7" t="n"/>
      <x:c r="F91" s="7" t="n"/>
      <x:c r="G91" s="7" t="n"/>
    </x:row>
    <x:row r="92">
      <x:c r="B92" s="7" t="n"/>
      <x:c r="C92" s="7" t="n"/>
      <x:c r="D92" s="7" t="n"/>
      <x:c r="E92" s="7" t="n"/>
      <x:c r="F92" s="7" t="n"/>
      <x:c r="G92" s="7" t="n"/>
    </x:row>
    <x:row r="93">
      <x:c r="B93" s="7" t="n"/>
      <x:c r="C93" s="7" t="n"/>
      <x:c r="D93" s="7" t="n"/>
      <x:c r="E93" s="7" t="n"/>
      <x:c r="F93" s="7" t="n"/>
      <x:c r="G93" s="7" t="n"/>
    </x:row>
    <x:row r="94">
      <x:c r="B94" s="7" t="n"/>
      <x:c r="C94" s="7" t="n"/>
      <x:c r="D94" s="7" t="n"/>
      <x:c r="E94" s="7" t="n"/>
      <x:c r="F94" s="7" t="n"/>
      <x:c r="G94" s="7" t="n"/>
    </x:row>
    <x:row r="95">
      <x:c r="B95" s="7" t="n"/>
      <x:c r="C95" s="7" t="n"/>
      <x:c r="D95" s="7" t="n"/>
      <x:c r="E95" s="7" t="n"/>
      <x:c r="F95" s="7" t="n"/>
      <x:c r="G95" s="7" t="n"/>
    </x:row>
    <x:row r="96">
      <x:c r="B96" s="7" t="n"/>
      <x:c r="C96" s="7" t="n"/>
      <x:c r="D96" s="7" t="n"/>
      <x:c r="E96" s="7" t="n"/>
      <x:c r="F96" s="7" t="n"/>
      <x:c r="G96" s="7" t="n"/>
    </x:row>
    <x:row r="97">
      <x:c r="B97" s="7" t="n"/>
      <x:c r="C97" s="7" t="n"/>
      <x:c r="D97" s="7" t="n"/>
      <x:c r="E97" s="7" t="n"/>
      <x:c r="F97" s="7" t="n"/>
      <x:c r="G97" s="7" t="n"/>
    </x:row>
    <x:row r="98">
      <x:c r="B98" s="7" t="n"/>
      <x:c r="C98" s="7" t="n"/>
      <x:c r="D98" s="7" t="n"/>
      <x:c r="E98" s="7" t="n"/>
      <x:c r="F98" s="7" t="n"/>
      <x:c r="G98" s="7" t="n"/>
    </x:row>
    <x:row r="99">
      <x:c r="B99" s="7" t="n"/>
      <x:c r="C99" s="7" t="n"/>
      <x:c r="D99" s="7" t="n"/>
      <x:c r="E99" s="7" t="n"/>
      <x:c r="F99" s="7" t="n"/>
      <x:c r="G99" s="7" t="n"/>
    </x:row>
    <x:row r="100">
      <x:c r="B100" s="7" t="n"/>
      <x:c r="C100" s="7" t="n"/>
      <x:c r="D100" s="7" t="n"/>
      <x:c r="E100" s="7" t="n"/>
      <x:c r="F100" s="7" t="n"/>
      <x:c r="G100" s="7" t="n"/>
    </x:row>
    <x:row r="101">
      <x:c r="B101" s="7" t="n"/>
      <x:c r="C101" s="7" t="n"/>
      <x:c r="D101" s="7" t="n"/>
      <x:c r="E101" s="7" t="n"/>
      <x:c r="F101" s="7" t="n"/>
      <x:c r="G101" s="7" t="n"/>
    </x:row>
    <x:row r="102">
      <x:c r="B102" s="7" t="n"/>
      <x:c r="C102" s="7" t="n"/>
      <x:c r="D102" s="7" t="n"/>
      <x:c r="E102" s="7" t="n"/>
      <x:c r="F102" s="7" t="n"/>
      <x:c r="G102" s="7" t="n"/>
    </x:row>
    <x:row r="103">
      <x:c r="B103" s="7" t="n"/>
      <x:c r="C103" s="7" t="n"/>
      <x:c r="D103" s="7" t="n"/>
      <x:c r="E103" s="7" t="n"/>
      <x:c r="F103" s="7" t="n"/>
      <x:c r="G103" s="7" t="n"/>
    </x:row>
    <x:row r="104">
      <x:c r="B104" s="7" t="n"/>
      <x:c r="C104" s="7" t="n"/>
      <x:c r="D104" s="7" t="n"/>
      <x:c r="E104" s="7" t="n"/>
      <x:c r="F104" s="7" t="n"/>
      <x:c r="G104" s="7" t="n"/>
    </x:row>
    <x:row r="105">
      <x:c r="B105" s="7" t="n"/>
      <x:c r="C105" s="7" t="n"/>
      <x:c r="D105" s="7" t="n"/>
      <x:c r="E105" s="7" t="n"/>
      <x:c r="F105" s="7" t="n"/>
      <x:c r="G105" s="7" t="n"/>
    </x:row>
    <x:row r="106">
      <x:c r="B106" s="7" t="n"/>
      <x:c r="C106" s="7" t="n"/>
      <x:c r="D106" s="7" t="n"/>
      <x:c r="E106" s="7" t="n"/>
      <x:c r="F106" s="7" t="n"/>
      <x:c r="G106" s="7" t="n"/>
    </x:row>
    <x:row r="107">
      <x:c r="B107" s="7" t="n"/>
      <x:c r="C107" s="7" t="n"/>
      <x:c r="D107" s="7" t="n"/>
      <x:c r="E107" s="7" t="n"/>
      <x:c r="F107" s="7" t="n"/>
      <x:c r="G107" s="7" t="n"/>
    </x:row>
    <x:row r="108">
      <x:c r="B108" s="7" t="n"/>
      <x:c r="C108" s="7" t="n"/>
      <x:c r="D108" s="7" t="n"/>
      <x:c r="E108" s="7" t="n"/>
      <x:c r="F108" s="7" t="n"/>
      <x:c r="G108" s="7" t="n"/>
    </x:row>
    <x:row r="109">
      <x:c r="B109" s="7" t="n"/>
      <x:c r="C109" s="7" t="n"/>
      <x:c r="D109" s="7" t="n"/>
      <x:c r="E109" s="7" t="n"/>
      <x:c r="F109" s="7" t="n"/>
      <x:c r="G109" s="7" t="n"/>
    </x:row>
    <x:row r="110">
      <x:c r="B110" s="7" t="n"/>
      <x:c r="C110" s="7" t="n"/>
      <x:c r="D110" s="7" t="n"/>
      <x:c r="E110" s="7" t="n"/>
      <x:c r="F110" s="7" t="n"/>
      <x:c r="G110" s="7" t="n"/>
    </x:row>
    <x:row r="111">
      <x:c r="B111" s="7" t="n"/>
      <x:c r="C111" s="7" t="n"/>
      <x:c r="D111" s="7" t="n"/>
      <x:c r="E111" s="7" t="n"/>
      <x:c r="F111" s="7" t="n"/>
      <x:c r="G111" s="7" t="n"/>
    </x:row>
    <x:row r="112">
      <x:c r="B112" s="7" t="n"/>
      <x:c r="C112" s="7" t="n"/>
      <x:c r="D112" s="7" t="n"/>
      <x:c r="E112" s="7" t="n"/>
      <x:c r="F112" s="7" t="n"/>
      <x:c r="G112" s="7" t="n"/>
    </x:row>
    <x:row r="113">
      <x:c r="B113" s="7" t="n"/>
      <x:c r="C113" s="7" t="n"/>
      <x:c r="D113" s="7" t="n"/>
      <x:c r="E113" s="7" t="n"/>
      <x:c r="F113" s="7" t="n"/>
      <x:c r="G113" s="7" t="n"/>
    </x:row>
    <x:row r="114">
      <x:c r="B114" s="7" t="n"/>
      <x:c r="C114" s="7" t="n"/>
      <x:c r="D114" s="7" t="n"/>
      <x:c r="E114" s="7" t="n"/>
      <x:c r="F114" s="7" t="n"/>
      <x:c r="G114" s="7" t="n"/>
    </x:row>
    <x:row r="115">
      <x:c r="B115" s="7" t="n"/>
      <x:c r="C115" s="7" t="n"/>
      <x:c r="D115" s="7" t="n"/>
      <x:c r="E115" s="7" t="n"/>
      <x:c r="F115" s="7" t="n"/>
      <x:c r="G115" s="7" t="n"/>
    </x:row>
    <x:row r="116">
      <x:c r="B116" s="7" t="n"/>
      <x:c r="C116" s="7" t="n"/>
      <x:c r="D116" s="7" t="n"/>
      <x:c r="E116" s="7" t="n"/>
      <x:c r="F116" s="7" t="n"/>
      <x:c r="G116" s="7" t="n"/>
    </x:row>
    <x:row r="117">
      <x:c r="B117" s="7" t="n"/>
      <x:c r="C117" s="7" t="n"/>
      <x:c r="D117" s="7" t="n"/>
      <x:c r="E117" s="7" t="n"/>
      <x:c r="F117" s="7" t="n"/>
      <x:c r="G117" s="7" t="n"/>
    </x:row>
    <x:row r="118">
      <x:c r="B118" s="7" t="n"/>
      <x:c r="C118" s="7" t="n"/>
      <x:c r="D118" s="7" t="n"/>
      <x:c r="E118" s="7" t="n"/>
      <x:c r="F118" s="7" t="n"/>
      <x:c r="G118" s="7" t="n"/>
    </x:row>
    <x:row r="119">
      <x:c r="B119" s="7" t="n"/>
      <x:c r="C119" s="7" t="n"/>
      <x:c r="D119" s="7" t="n"/>
      <x:c r="E119" s="7" t="n"/>
      <x:c r="F119" s="7" t="n"/>
      <x:c r="G119" s="7" t="n"/>
    </x:row>
    <x:row r="120">
      <x:c r="B120" s="7" t="n"/>
      <x:c r="C120" s="7" t="n"/>
      <x:c r="D120" s="7" t="n"/>
      <x:c r="E120" s="7" t="n"/>
      <x:c r="F120" s="7" t="n"/>
      <x:c r="G120" s="7" t="n"/>
    </x:row>
    <x:row r="121">
      <x:c r="B121" s="7" t="n"/>
      <x:c r="C121" s="7" t="n"/>
      <x:c r="D121" s="7" t="n"/>
      <x:c r="E121" s="7" t="n"/>
      <x:c r="F121" s="7" t="n"/>
      <x:c r="G121" s="7" t="n"/>
    </x:row>
    <x:row r="122">
      <x:c r="B122" s="7" t="n"/>
      <x:c r="C122" s="7" t="n"/>
      <x:c r="D122" s="7" t="n"/>
      <x:c r="E122" s="7" t="n"/>
      <x:c r="F122" s="7" t="n"/>
      <x:c r="G122" s="7" t="n"/>
    </x:row>
    <x:row r="123">
      <x:c r="B123" s="7" t="n"/>
      <x:c r="C123" s="7" t="n"/>
      <x:c r="D123" s="7" t="n"/>
      <x:c r="E123" s="7" t="n"/>
      <x:c r="F123" s="7" t="n"/>
      <x:c r="G123" s="7" t="n"/>
    </x:row>
    <x:row r="124">
      <x:c r="B124" s="7" t="n"/>
      <x:c r="C124" s="7" t="n"/>
      <x:c r="D124" s="7" t="n"/>
      <x:c r="E124" s="7" t="n"/>
      <x:c r="F124" s="7" t="n"/>
      <x:c r="G124" s="7" t="n"/>
    </x:row>
    <x:row r="125">
      <x:c r="B125" s="7" t="n"/>
      <x:c r="C125" s="7" t="n"/>
      <x:c r="D125" s="7" t="n"/>
      <x:c r="E125" s="7" t="n"/>
      <x:c r="F125" s="7" t="n"/>
      <x:c r="G125" s="7" t="n"/>
    </x:row>
    <x:row r="126">
      <x:c r="B126" s="7" t="n"/>
      <x:c r="C126" s="7" t="n"/>
      <x:c r="D126" s="7" t="n"/>
      <x:c r="E126" s="7" t="n"/>
      <x:c r="F126" s="7" t="n"/>
      <x:c r="G126" s="7" t="n"/>
    </x:row>
    <x:row r="127">
      <x:c r="B127" s="7" t="n"/>
      <x:c r="C127" s="7" t="n"/>
      <x:c r="D127" s="7" t="n"/>
      <x:c r="E127" s="7" t="n"/>
      <x:c r="F127" s="7" t="n"/>
      <x:c r="G127" s="7" t="n"/>
    </x:row>
    <x:row r="128">
      <x:c r="B128" s="7" t="n"/>
      <x:c r="C128" s="7" t="n"/>
      <x:c r="D128" s="7" t="n"/>
      <x:c r="E128" s="7" t="n"/>
      <x:c r="F128" s="7" t="n"/>
      <x:c r="G128" s="7" t="n"/>
    </x:row>
    <x:row r="129">
      <x:c r="B129" s="7" t="n"/>
      <x:c r="C129" s="7" t="n"/>
      <x:c r="D129" s="7" t="n"/>
      <x:c r="E129" s="7" t="n"/>
      <x:c r="F129" s="7" t="n"/>
      <x:c r="G129" s="7" t="n"/>
    </x:row>
    <x:row r="130">
      <x:c r="B130" s="7" t="n"/>
      <x:c r="C130" s="7" t="n"/>
      <x:c r="D130" s="7" t="n"/>
      <x:c r="E130" s="7" t="n"/>
      <x:c r="F130" s="7" t="n"/>
      <x:c r="G130" s="7" t="n"/>
    </x:row>
    <x:row r="131">
      <x:c r="B131" s="7" t="n"/>
      <x:c r="C131" s="7" t="n"/>
      <x:c r="D131" s="7" t="n"/>
      <x:c r="E131" s="7" t="n"/>
      <x:c r="F131" s="7" t="n"/>
      <x:c r="G131" s="7" t="n"/>
    </x:row>
    <x:row r="132">
      <x:c r="B132" s="7" t="n"/>
      <x:c r="C132" s="7" t="n"/>
      <x:c r="D132" s="7" t="n"/>
      <x:c r="E132" s="7" t="n"/>
      <x:c r="F132" s="7" t="n"/>
      <x:c r="G132" s="7" t="n"/>
    </x:row>
    <x:row r="133">
      <x:c r="B133" s="7" t="n"/>
      <x:c r="C133" s="7" t="n"/>
      <x:c r="D133" s="7" t="n"/>
      <x:c r="E133" s="7" t="n"/>
      <x:c r="F133" s="7" t="n"/>
      <x:c r="G133" s="7" t="n"/>
    </x:row>
    <x:row r="134">
      <x:c r="B134" s="7" t="n"/>
      <x:c r="C134" s="7" t="n"/>
      <x:c r="D134" s="7" t="n"/>
      <x:c r="E134" s="7" t="n"/>
      <x:c r="F134" s="7" t="n"/>
      <x:c r="G134" s="7" t="n"/>
    </x:row>
    <x:row r="135">
      <x:c r="B135" s="7" t="n"/>
      <x:c r="C135" s="7" t="n"/>
      <x:c r="D135" s="7" t="n"/>
      <x:c r="E135" s="7" t="n"/>
      <x:c r="F135" s="7" t="n"/>
      <x:c r="G135" s="7" t="n"/>
    </x:row>
    <x:row r="136">
      <x:c r="B136" s="7" t="n"/>
      <x:c r="C136" s="7" t="n"/>
      <x:c r="D136" s="7" t="n"/>
      <x:c r="E136" s="7" t="n"/>
      <x:c r="F136" s="7" t="n"/>
      <x:c r="G136" s="7" t="n"/>
    </x:row>
    <x:row r="137">
      <x:c r="B137" s="7" t="n"/>
      <x:c r="C137" s="7" t="n"/>
      <x:c r="D137" s="7" t="n"/>
      <x:c r="E137" s="7" t="n"/>
      <x:c r="F137" s="7" t="n"/>
      <x:c r="G137" s="7" t="n"/>
    </x:row>
    <x:row r="138">
      <x:c r="B138" s="7" t="n"/>
      <x:c r="C138" s="7" t="n"/>
      <x:c r="D138" s="7" t="n"/>
      <x:c r="E138" s="7" t="n"/>
      <x:c r="F138" s="7" t="n"/>
      <x:c r="G138" s="7" t="n"/>
    </x:row>
    <x:row r="139">
      <x:c r="B139" s="7" t="n"/>
      <x:c r="C139" s="7" t="n"/>
      <x:c r="D139" s="7" t="n"/>
      <x:c r="E139" s="7" t="n"/>
      <x:c r="F139" s="7" t="n"/>
      <x:c r="G139" s="7" t="n"/>
    </x:row>
    <x:row r="140">
      <x:c r="B140" s="7" t="n"/>
      <x:c r="C140" s="7" t="n"/>
      <x:c r="D140" s="7" t="n"/>
      <x:c r="E140" s="7" t="n"/>
      <x:c r="F140" s="7" t="n"/>
      <x:c r="G140" s="7" t="n"/>
    </x:row>
    <x:row r="141">
      <x:c r="B141" s="7" t="n"/>
      <x:c r="C141" s="7" t="n"/>
      <x:c r="D141" s="7" t="n"/>
      <x:c r="E141" s="7" t="n"/>
      <x:c r="F141" s="7" t="n"/>
      <x:c r="G141" s="7" t="n"/>
    </x:row>
    <x:row r="142">
      <x:c r="B142" s="7" t="n"/>
      <x:c r="C142" s="7" t="n"/>
      <x:c r="D142" s="7" t="n"/>
      <x:c r="E142" s="7" t="n"/>
      <x:c r="F142" s="7" t="n"/>
      <x:c r="G142" s="7" t="n"/>
    </x:row>
    <x:row r="143">
      <x:c r="B143" s="7" t="n"/>
      <x:c r="C143" s="7" t="n"/>
      <x:c r="D143" s="7" t="n"/>
      <x:c r="E143" s="7" t="n"/>
      <x:c r="F143" s="7" t="n"/>
      <x:c r="G143" s="7" t="n"/>
    </x:row>
    <x:row r="144">
      <x:c r="B144" s="7" t="n"/>
      <x:c r="C144" s="7" t="n"/>
      <x:c r="D144" s="7" t="n"/>
      <x:c r="E144" s="7" t="n"/>
      <x:c r="F144" s="7" t="n"/>
      <x:c r="G144" s="7" t="n"/>
    </x:row>
    <x:row r="145">
      <x:c r="B145" s="7" t="n"/>
      <x:c r="C145" s="7" t="n"/>
      <x:c r="D145" s="7" t="n"/>
      <x:c r="E145" s="7" t="n"/>
      <x:c r="F145" s="7" t="n"/>
      <x:c r="G145" s="7" t="n"/>
    </x:row>
    <x:row r="146">
      <x:c r="B146" s="7" t="n"/>
      <x:c r="C146" s="7" t="n"/>
      <x:c r="D146" s="7" t="n"/>
      <x:c r="E146" s="7" t="n"/>
      <x:c r="F146" s="7" t="n"/>
      <x:c r="G146" s="7" t="n"/>
    </x:row>
    <x:row r="147">
      <x:c r="B147" s="7" t="n"/>
      <x:c r="C147" s="7" t="n"/>
      <x:c r="D147" s="7" t="n"/>
      <x:c r="E147" s="7" t="n"/>
      <x:c r="F147" s="7" t="n"/>
      <x:c r="G147" s="7" t="n"/>
    </x:row>
    <x:row r="148">
      <x:c r="B148" s="7" t="n"/>
      <x:c r="C148" s="7" t="n"/>
      <x:c r="D148" s="7" t="n"/>
      <x:c r="E148" s="7" t="n"/>
      <x:c r="F148" s="7" t="n"/>
      <x:c r="G148" s="7" t="n"/>
    </x:row>
    <x:row r="149">
      <x:c r="B149" s="7" t="n"/>
      <x:c r="C149" s="7" t="n"/>
      <x:c r="D149" s="7" t="n"/>
      <x:c r="E149" s="7" t="n"/>
      <x:c r="F149" s="7" t="n"/>
      <x:c r="G149" s="7" t="n"/>
    </x:row>
    <x:row r="150">
      <x:c r="B150" s="7" t="n"/>
      <x:c r="C150" s="7" t="n"/>
      <x:c r="D150" s="7" t="n"/>
      <x:c r="E150" s="7" t="n"/>
      <x:c r="F150" s="7" t="n"/>
      <x:c r="G150" s="7" t="n"/>
    </x:row>
    <x:row r="151">
      <x:c r="B151" s="7" t="n"/>
      <x:c r="C151" s="7" t="n"/>
      <x:c r="D151" s="7" t="n"/>
      <x:c r="E151" s="7" t="n"/>
      <x:c r="F151" s="7" t="n"/>
      <x:c r="G151" s="7" t="n"/>
    </x:row>
    <x:row r="152">
      <x:c r="B152" s="7" t="n"/>
      <x:c r="C152" s="7" t="n"/>
      <x:c r="D152" s="7" t="n"/>
      <x:c r="E152" s="7" t="n"/>
      <x:c r="F152" s="7" t="n"/>
      <x:c r="G152" s="7" t="n"/>
    </x:row>
    <x:row r="153">
      <x:c r="B153" s="7" t="n"/>
      <x:c r="C153" s="7" t="n"/>
      <x:c r="D153" s="7" t="n"/>
      <x:c r="E153" s="7" t="n"/>
      <x:c r="F153" s="7" t="n"/>
      <x:c r="G153" s="7" t="n"/>
    </x:row>
    <x:row r="154">
      <x:c r="B154" s="7" t="n"/>
      <x:c r="C154" s="7" t="n"/>
      <x:c r="D154" s="7" t="n"/>
      <x:c r="E154" s="7" t="n"/>
      <x:c r="F154" s="7" t="n"/>
      <x:c r="G154" s="7" t="n"/>
    </x:row>
    <x:row r="155">
      <x:c r="B155" s="7" t="n"/>
      <x:c r="C155" s="7" t="n"/>
      <x:c r="D155" s="7" t="n"/>
      <x:c r="E155" s="7" t="n"/>
      <x:c r="F155" s="7" t="n"/>
      <x:c r="G155" s="7" t="n"/>
    </x:row>
    <x:row r="156">
      <x:c r="B156" s="7" t="n"/>
      <x:c r="C156" s="7" t="n"/>
      <x:c r="D156" s="7" t="n"/>
      <x:c r="E156" s="7" t="n"/>
      <x:c r="F156" s="7" t="n"/>
      <x:c r="G156" s="7" t="n"/>
    </x:row>
    <x:row r="157">
      <x:c r="B157" s="7" t="n"/>
      <x:c r="C157" s="7" t="n"/>
      <x:c r="D157" s="7" t="n"/>
      <x:c r="E157" s="7" t="n"/>
      <x:c r="F157" s="7" t="n"/>
      <x:c r="G157" s="7" t="n"/>
    </x:row>
    <x:row r="158">
      <x:c r="B158" s="7" t="n"/>
      <x:c r="C158" s="7" t="n"/>
      <x:c r="D158" s="7" t="n"/>
      <x:c r="E158" s="7" t="n"/>
      <x:c r="F158" s="7" t="n"/>
      <x:c r="G158" s="7" t="n"/>
    </x:row>
    <x:row r="159">
      <x:c r="B159" s="7" t="n"/>
      <x:c r="C159" s="7" t="n"/>
      <x:c r="D159" s="7" t="n"/>
      <x:c r="E159" s="7" t="n"/>
      <x:c r="F159" s="7" t="n"/>
      <x:c r="G159" s="7" t="n"/>
    </x:row>
    <x:row r="160">
      <x:c r="B160" s="7" t="n"/>
      <x:c r="C160" s="7" t="n"/>
      <x:c r="D160" s="7" t="n"/>
      <x:c r="E160" s="7" t="n"/>
      <x:c r="F160" s="7" t="n"/>
      <x:c r="G160" s="7" t="n"/>
    </x:row>
    <x:row r="161">
      <x:c r="B161" s="7" t="n"/>
      <x:c r="C161" s="7" t="n"/>
      <x:c r="D161" s="7" t="n"/>
      <x:c r="E161" s="7" t="n"/>
      <x:c r="F161" s="7" t="n"/>
      <x:c r="G161" s="7" t="n"/>
    </x:row>
    <x:row r="162">
      <x:c r="B162" s="7" t="n"/>
      <x:c r="C162" s="7" t="n"/>
      <x:c r="D162" s="7" t="n"/>
      <x:c r="E162" s="7" t="n"/>
      <x:c r="F162" s="7" t="n"/>
      <x:c r="G162" s="7" t="n"/>
    </x:row>
    <x:row r="163">
      <x:c r="B163" s="7" t="n"/>
      <x:c r="C163" s="7" t="n"/>
      <x:c r="D163" s="7" t="n"/>
      <x:c r="E163" s="7" t="n"/>
      <x:c r="F163" s="7" t="n"/>
      <x:c r="G163" s="7" t="n"/>
    </x:row>
    <x:row r="164">
      <x:c r="B164" s="7" t="n"/>
      <x:c r="C164" s="7" t="n"/>
      <x:c r="D164" s="7" t="n"/>
      <x:c r="E164" s="7" t="n"/>
      <x:c r="F164" s="7" t="n"/>
      <x:c r="G164" s="7" t="n"/>
    </x:row>
    <x:row r="165">
      <x:c r="B165" s="7" t="n"/>
      <x:c r="C165" s="7" t="n"/>
      <x:c r="D165" s="7" t="n"/>
      <x:c r="E165" s="7" t="n"/>
      <x:c r="F165" s="7" t="n"/>
      <x:c r="G165" s="7" t="n"/>
    </x:row>
    <x:row r="166">
      <x:c r="B166" s="7" t="n"/>
      <x:c r="C166" s="7" t="n"/>
      <x:c r="D166" s="7" t="n"/>
      <x:c r="E166" s="7" t="n"/>
      <x:c r="F166" s="7" t="n"/>
      <x:c r="G166" s="7" t="n"/>
    </x:row>
    <x:row r="167">
      <x:c r="B167" s="7" t="n"/>
      <x:c r="C167" s="7" t="n"/>
      <x:c r="D167" s="7" t="n"/>
      <x:c r="E167" s="7" t="n"/>
      <x:c r="F167" s="7" t="n"/>
      <x:c r="G167" s="7" t="n"/>
    </x:row>
    <x:row r="168">
      <x:c r="B168" s="7" t="n"/>
      <x:c r="C168" s="7" t="n"/>
      <x:c r="D168" s="7" t="n"/>
      <x:c r="E168" s="7" t="n"/>
      <x:c r="F168" s="7" t="n"/>
      <x:c r="G168" s="7" t="n"/>
    </x:row>
    <x:row r="169">
      <x:c r="B169" s="7" t="n"/>
      <x:c r="C169" s="7" t="n"/>
      <x:c r="D169" s="7" t="n"/>
      <x:c r="E169" s="7" t="n"/>
      <x:c r="F169" s="7" t="n"/>
      <x:c r="G169" s="7" t="n"/>
    </x:row>
    <x:row r="170">
      <x:c r="B170" s="7" t="n"/>
      <x:c r="C170" s="7" t="n"/>
      <x:c r="D170" s="7" t="n"/>
      <x:c r="E170" s="7" t="n"/>
      <x:c r="F170" s="7" t="n"/>
      <x:c r="G170" s="7" t="n"/>
    </x:row>
    <x:row r="171">
      <x:c r="B171" s="7" t="n"/>
      <x:c r="C171" s="7" t="n"/>
      <x:c r="D171" s="7" t="n"/>
      <x:c r="E171" s="7" t="n"/>
      <x:c r="F171" s="7" t="n"/>
      <x:c r="G171" s="7" t="n"/>
    </x:row>
    <x:row r="172">
      <x:c r="B172" s="7" t="n"/>
      <x:c r="C172" s="7" t="n"/>
      <x:c r="D172" s="7" t="n"/>
      <x:c r="E172" s="7" t="n"/>
      <x:c r="F172" s="7" t="n"/>
      <x:c r="G172" s="7" t="n"/>
    </x:row>
    <x:row r="173">
      <x:c r="B173" s="7" t="n"/>
      <x:c r="C173" s="7" t="n"/>
      <x:c r="D173" s="7" t="n"/>
      <x:c r="E173" s="7" t="n"/>
      <x:c r="F173" s="7" t="n"/>
      <x:c r="G173" s="7" t="n"/>
    </x:row>
    <x:row r="174">
      <x:c r="B174" s="7" t="n"/>
      <x:c r="C174" s="7" t="n"/>
      <x:c r="D174" s="7" t="n"/>
      <x:c r="E174" s="7" t="n"/>
      <x:c r="F174" s="7" t="n"/>
      <x:c r="G174" s="7" t="n"/>
    </x:row>
    <x:row r="175">
      <x:c r="B175" s="7" t="n"/>
      <x:c r="C175" s="7" t="n"/>
      <x:c r="D175" s="7" t="n"/>
      <x:c r="E175" s="7" t="n"/>
      <x:c r="F175" s="7" t="n"/>
      <x:c r="G175" s="7" t="n"/>
    </x:row>
    <x:row r="176">
      <x:c r="B176" s="7" t="n"/>
      <x:c r="C176" s="7" t="n"/>
      <x:c r="D176" s="7" t="n"/>
      <x:c r="E176" s="7" t="n"/>
      <x:c r="F176" s="7" t="n"/>
      <x:c r="G176" s="7" t="n"/>
    </x:row>
    <x:row r="177">
      <x:c r="B177" s="7" t="n"/>
      <x:c r="C177" s="7" t="n"/>
      <x:c r="D177" s="7" t="n"/>
      <x:c r="E177" s="7" t="n"/>
      <x:c r="F177" s="7" t="n"/>
      <x:c r="G177" s="7" t="n"/>
    </x:row>
    <x:row r="178">
      <x:c r="B178" s="7" t="n"/>
      <x:c r="C178" s="7" t="n"/>
      <x:c r="D178" s="7" t="n"/>
      <x:c r="E178" s="7" t="n"/>
      <x:c r="F178" s="7" t="n"/>
      <x:c r="G178" s="7" t="n"/>
    </x:row>
    <x:row r="179">
      <x:c r="B179" s="7" t="n"/>
      <x:c r="C179" s="7" t="n"/>
      <x:c r="D179" s="7" t="n"/>
      <x:c r="E179" s="7" t="n"/>
      <x:c r="F179" s="7" t="n"/>
      <x:c r="G179" s="7" t="n"/>
    </x:row>
    <x:row r="180">
      <x:c r="B180" s="7" t="n"/>
      <x:c r="C180" s="7" t="n"/>
      <x:c r="D180" s="7" t="n"/>
      <x:c r="E180" s="7" t="n"/>
      <x:c r="F180" s="7" t="n"/>
      <x:c r="G180" s="7" t="n"/>
    </x:row>
    <x:row r="181">
      <x:c r="B181" s="7" t="n"/>
      <x:c r="C181" s="7" t="n"/>
      <x:c r="D181" s="7" t="n"/>
      <x:c r="E181" s="7" t="n"/>
      <x:c r="F181" s="7" t="n"/>
      <x:c r="G181" s="7" t="n"/>
    </x:row>
    <x:row r="182">
      <x:c r="B182" s="7" t="n"/>
      <x:c r="C182" s="7" t="n"/>
      <x:c r="D182" s="7" t="n"/>
      <x:c r="E182" s="7" t="n"/>
      <x:c r="F182" s="7" t="n"/>
      <x:c r="G182" s="7" t="n"/>
    </x:row>
    <x:row r="183">
      <x:c r="B183" s="7" t="n"/>
      <x:c r="C183" s="7" t="n"/>
      <x:c r="D183" s="7" t="n"/>
      <x:c r="E183" s="7" t="n"/>
      <x:c r="F183" s="7" t="n"/>
      <x:c r="G183" s="7" t="n"/>
    </x:row>
    <x:row r="184">
      <x:c r="B184" s="7" t="n"/>
      <x:c r="C184" s="7" t="n"/>
      <x:c r="D184" s="7" t="n"/>
      <x:c r="E184" s="7" t="n"/>
      <x:c r="F184" s="7" t="n"/>
      <x:c r="G184" s="7" t="n"/>
    </x:row>
    <x:row r="185">
      <x:c r="B185" s="7" t="n"/>
      <x:c r="C185" s="7" t="n"/>
      <x:c r="D185" s="7" t="n"/>
      <x:c r="E185" s="7" t="n"/>
      <x:c r="F185" s="7" t="n"/>
      <x:c r="G185" s="7" t="n"/>
    </x:row>
    <x:row r="186">
      <x:c r="B186" s="7" t="n"/>
      <x:c r="C186" s="7" t="n"/>
      <x:c r="D186" s="7" t="n"/>
      <x:c r="E186" s="7" t="n"/>
      <x:c r="F186" s="7" t="n"/>
      <x:c r="G186" s="7" t="n"/>
    </x:row>
    <x:row r="187">
      <x:c r="B187" s="7" t="n"/>
      <x:c r="C187" s="7" t="n"/>
      <x:c r="D187" s="7" t="n"/>
      <x:c r="E187" s="7" t="n"/>
      <x:c r="F187" s="7" t="n"/>
      <x:c r="G187" s="7" t="n"/>
    </x:row>
    <x:row r="188">
      <x:c r="B188" s="7" t="n"/>
      <x:c r="C188" s="7" t="n"/>
      <x:c r="D188" s="7" t="n"/>
      <x:c r="E188" s="7" t="n"/>
      <x:c r="F188" s="7" t="n"/>
      <x:c r="G188" s="7" t="n"/>
    </x:row>
    <x:row r="189">
      <x:c r="B189" s="7" t="n"/>
      <x:c r="C189" s="7" t="n"/>
      <x:c r="D189" s="7" t="n"/>
      <x:c r="E189" s="7" t="n"/>
      <x:c r="F189" s="7" t="n"/>
      <x:c r="G189" s="7" t="n"/>
    </x:row>
    <x:row r="190">
      <x:c r="B190" s="7" t="n"/>
      <x:c r="C190" s="7" t="n"/>
      <x:c r="D190" s="7" t="n"/>
      <x:c r="E190" s="7" t="n"/>
      <x:c r="F190" s="7" t="n"/>
      <x:c r="G190" s="7" t="n"/>
    </x:row>
    <x:row r="191">
      <x:c r="B191" s="7" t="n"/>
      <x:c r="C191" s="7" t="n"/>
      <x:c r="D191" s="7" t="n"/>
      <x:c r="E191" s="7" t="n"/>
      <x:c r="F191" s="7" t="n"/>
      <x:c r="G191" s="7" t="n"/>
    </x:row>
    <x:row r="192">
      <x:c r="B192" s="7" t="n"/>
      <x:c r="C192" s="7" t="n"/>
      <x:c r="D192" s="7" t="n"/>
      <x:c r="E192" s="7" t="n"/>
      <x:c r="F192" s="7" t="n"/>
      <x:c r="G192" s="7" t="n"/>
    </x:row>
    <x:row r="193">
      <x:c r="B193" s="7" t="n"/>
      <x:c r="C193" s="7" t="n"/>
      <x:c r="D193" s="7" t="n"/>
      <x:c r="E193" s="7" t="n"/>
      <x:c r="F193" s="7" t="n"/>
      <x:c r="G193" s="7" t="n"/>
    </x:row>
    <x:row r="194">
      <x:c r="B194" s="7" t="n"/>
      <x:c r="C194" s="7" t="n"/>
      <x:c r="D194" s="7" t="n"/>
      <x:c r="E194" s="7" t="n"/>
      <x:c r="F194" s="7" t="n"/>
      <x:c r="G194" s="7" t="n"/>
    </x:row>
    <x:row r="195">
      <x:c r="B195" s="7" t="n"/>
      <x:c r="C195" s="7" t="n"/>
      <x:c r="D195" s="7" t="n"/>
      <x:c r="E195" s="7" t="n"/>
      <x:c r="F195" s="7" t="n"/>
      <x:c r="G195" s="7" t="n"/>
    </x:row>
    <x:row r="196">
      <x:c r="B196" s="7" t="n"/>
      <x:c r="C196" s="7" t="n"/>
      <x:c r="D196" s="7" t="n"/>
      <x:c r="E196" s="7" t="n"/>
      <x:c r="F196" s="7" t="n"/>
      <x:c r="G196" s="7" t="n"/>
    </x:row>
    <x:row r="197">
      <x:c r="B197" s="7" t="n"/>
      <x:c r="C197" s="7" t="n"/>
      <x:c r="D197" s="7" t="n"/>
      <x:c r="E197" s="7" t="n"/>
      <x:c r="F197" s="7" t="n"/>
      <x:c r="G197" s="7" t="n"/>
    </x:row>
    <x:row r="198">
      <x:c r="B198" s="7" t="n"/>
      <x:c r="C198" s="7" t="n"/>
      <x:c r="D198" s="7" t="n"/>
      <x:c r="E198" s="7" t="n"/>
      <x:c r="F198" s="7" t="n"/>
      <x:c r="G198" s="7" t="n"/>
    </x:row>
    <x:row r="199">
      <x:c r="B199" s="7" t="n"/>
      <x:c r="C199" s="7" t="n"/>
      <x:c r="D199" s="7" t="n"/>
      <x:c r="E199" s="7" t="n"/>
      <x:c r="F199" s="7" t="n"/>
      <x:c r="G199" s="7" t="n"/>
    </x:row>
    <x:row r="200">
      <x:c r="B200" s="7" t="n"/>
      <x:c r="C200" s="7" t="n"/>
      <x:c r="D200" s="7" t="n"/>
      <x:c r="E200" s="7" t="n"/>
      <x:c r="F200" s="7" t="n"/>
      <x:c r="G200" s="7" t="n"/>
    </x:row>
    <x:row r="201">
      <x:c r="B201" s="7" t="n"/>
      <x:c r="C201" s="7" t="n"/>
      <x:c r="D201" s="7" t="n"/>
      <x:c r="E201" s="7" t="n"/>
      <x:c r="F201" s="7" t="n"/>
      <x:c r="G201" s="7" t="n"/>
    </x:row>
    <x:row r="202">
      <x:c r="B202" s="7" t="n"/>
      <x:c r="C202" s="7" t="n"/>
      <x:c r="D202" s="7" t="n"/>
      <x:c r="E202" s="7" t="n"/>
      <x:c r="F202" s="7" t="n"/>
      <x:c r="G202" s="7" t="n"/>
    </x:row>
    <x:row r="203">
      <x:c r="B203" s="7" t="n"/>
      <x:c r="C203" s="7" t="n"/>
      <x:c r="D203" s="7" t="n"/>
      <x:c r="E203" s="7" t="n"/>
      <x:c r="F203" s="7" t="n"/>
      <x:c r="G203" s="7" t="n"/>
    </x:row>
    <x:row r="204">
      <x:c r="B204" s="7" t="n"/>
      <x:c r="C204" s="7" t="n"/>
      <x:c r="D204" s="7" t="n"/>
      <x:c r="E204" s="7" t="n"/>
      <x:c r="F204" s="7" t="n"/>
      <x:c r="G204" s="7" t="n"/>
    </x:row>
    <x:row r="205">
      <x:c r="B205" s="7" t="n"/>
      <x:c r="C205" s="7" t="n"/>
      <x:c r="D205" s="7" t="n"/>
      <x:c r="E205" s="7" t="n"/>
      <x:c r="F205" s="7" t="n"/>
      <x:c r="G205" s="7" t="n"/>
    </x:row>
    <x:row r="206">
      <x:c r="B206" s="7" t="n"/>
      <x:c r="C206" s="7" t="n"/>
      <x:c r="D206" s="7" t="n"/>
      <x:c r="E206" s="7" t="n"/>
      <x:c r="F206" s="7" t="n"/>
      <x:c r="G206" s="7" t="n"/>
    </x:row>
    <x:row r="207">
      <x:c r="B207" s="7" t="n"/>
      <x:c r="C207" s="7" t="n"/>
      <x:c r="D207" s="7" t="n"/>
      <x:c r="E207" s="7" t="n"/>
      <x:c r="F207" s="7" t="n"/>
      <x:c r="G207" s="7" t="n"/>
    </x:row>
    <x:row r="208">
      <x:c r="B208" s="7" t="n"/>
      <x:c r="C208" s="7" t="n"/>
      <x:c r="D208" s="7" t="n"/>
      <x:c r="E208" s="7" t="n"/>
      <x:c r="F208" s="7" t="n"/>
      <x:c r="G208" s="7" t="n"/>
    </x:row>
    <x:row r="209">
      <x:c r="B209" s="7" t="n"/>
      <x:c r="C209" s="7" t="n"/>
      <x:c r="D209" s="7" t="n"/>
      <x:c r="E209" s="7" t="n"/>
      <x:c r="F209" s="7" t="n"/>
      <x:c r="G209" s="7" t="n"/>
    </x:row>
    <x:row r="210">
      <x:c r="B210" s="7" t="n"/>
      <x:c r="C210" s="7" t="n"/>
      <x:c r="D210" s="7" t="n"/>
      <x:c r="E210" s="7" t="n"/>
      <x:c r="F210" s="7" t="n"/>
      <x:c r="G210" s="7" t="n"/>
    </x:row>
    <x:row r="211">
      <x:c r="B211" s="7" t="n"/>
      <x:c r="C211" s="7" t="n"/>
      <x:c r="D211" s="7" t="n"/>
      <x:c r="E211" s="7" t="n"/>
      <x:c r="F211" s="7" t="n"/>
      <x:c r="G211" s="7" t="n"/>
    </x:row>
    <x:row r="212">
      <x:c r="B212" s="7" t="n"/>
      <x:c r="C212" s="7" t="n"/>
      <x:c r="D212" s="7" t="n"/>
      <x:c r="E212" s="7" t="n"/>
      <x:c r="F212" s="7" t="n"/>
      <x:c r="G212" s="7" t="n"/>
    </x:row>
    <x:row r="213">
      <x:c r="B213" s="7" t="n"/>
      <x:c r="C213" s="7" t="n"/>
      <x:c r="D213" s="7" t="n"/>
      <x:c r="E213" s="7" t="n"/>
      <x:c r="F213" s="7" t="n"/>
      <x:c r="G213" s="7" t="n"/>
    </x:row>
    <x:row r="214">
      <x:c r="B214" s="7" t="n"/>
      <x:c r="C214" s="7" t="n"/>
      <x:c r="D214" s="7" t="n"/>
      <x:c r="E214" s="7" t="n"/>
      <x:c r="F214" s="7" t="n"/>
      <x:c r="G214" s="7" t="n"/>
    </x:row>
    <x:row r="215">
      <x:c r="B215" s="7" t="n"/>
      <x:c r="C215" s="7" t="n"/>
      <x:c r="D215" s="7" t="n"/>
      <x:c r="E215" s="7" t="n"/>
      <x:c r="F215" s="7" t="n"/>
      <x:c r="G215" s="7" t="n"/>
    </x:row>
    <x:row r="216">
      <x:c r="B216" s="7" t="n"/>
      <x:c r="C216" s="7" t="n"/>
      <x:c r="D216" s="7" t="n"/>
      <x:c r="E216" s="7" t="n"/>
      <x:c r="F216" s="7" t="n"/>
      <x:c r="G216" s="7" t="n"/>
    </x:row>
    <x:row r="217">
      <x:c r="B217" s="7" t="n"/>
      <x:c r="C217" s="7" t="n"/>
      <x:c r="D217" s="7" t="n"/>
      <x:c r="E217" s="7" t="n"/>
      <x:c r="F217" s="7" t="n"/>
      <x:c r="G217" s="7" t="n"/>
    </x:row>
    <x:row r="218">
      <x:c r="B218" s="7" t="n"/>
      <x:c r="C218" s="7" t="n"/>
      <x:c r="D218" s="7" t="n"/>
      <x:c r="E218" s="7" t="n"/>
      <x:c r="F218" s="7" t="n"/>
      <x:c r="G218" s="7" t="n"/>
    </x:row>
    <x:row r="219">
      <x:c r="B219" s="7" t="n"/>
      <x:c r="C219" s="7" t="n"/>
      <x:c r="D219" s="7" t="n"/>
      <x:c r="E219" s="7" t="n"/>
      <x:c r="F219" s="7" t="n"/>
      <x:c r="G219" s="7" t="n"/>
    </x:row>
    <x:row r="220">
      <x:c r="B220" s="7" t="n"/>
      <x:c r="C220" s="7" t="n"/>
      <x:c r="D220" s="7" t="n"/>
      <x:c r="E220" s="7" t="n"/>
      <x:c r="F220" s="7" t="n"/>
      <x:c r="G220" s="7" t="n"/>
    </x:row>
    <x:row r="221">
      <x:c r="B221" s="7" t="n"/>
      <x:c r="C221" s="7" t="n"/>
      <x:c r="D221" s="7" t="n"/>
      <x:c r="E221" s="7" t="n"/>
      <x:c r="F221" s="7" t="n"/>
      <x:c r="G221" s="7" t="n"/>
    </x:row>
    <x:row r="222">
      <x:c r="B222" s="7" t="n"/>
      <x:c r="C222" s="7" t="n"/>
      <x:c r="D222" s="7" t="n"/>
      <x:c r="E222" s="7" t="n"/>
      <x:c r="F222" s="7" t="n"/>
      <x:c r="G222" s="7" t="n"/>
    </x:row>
    <x:row r="223">
      <x:c r="B223" s="7" t="n"/>
      <x:c r="C223" s="7" t="n"/>
      <x:c r="D223" s="7" t="n"/>
      <x:c r="E223" s="7" t="n"/>
      <x:c r="F223" s="7" t="n"/>
      <x:c r="G223" s="7" t="n"/>
    </x:row>
    <x:row r="224">
      <x:c r="B224" s="7" t="n"/>
      <x:c r="C224" s="7" t="n"/>
      <x:c r="D224" s="7" t="n"/>
      <x:c r="E224" s="7" t="n"/>
      <x:c r="F224" s="7" t="n"/>
      <x:c r="G224" s="7" t="n"/>
    </x:row>
    <x:row r="225">
      <x:c r="B225" s="7" t="n"/>
      <x:c r="C225" s="7" t="n"/>
      <x:c r="D225" s="7" t="n"/>
      <x:c r="E225" s="7" t="n"/>
      <x:c r="F225" s="7" t="n"/>
      <x:c r="G225" s="7" t="n"/>
    </x:row>
    <x:row r="226">
      <x:c r="B226" s="7" t="n"/>
      <x:c r="C226" s="7" t="n"/>
      <x:c r="D226" s="7" t="n"/>
      <x:c r="E226" s="7" t="n"/>
      <x:c r="F226" s="7" t="n"/>
      <x:c r="G226" s="7" t="n"/>
    </x:row>
    <x:row r="227">
      <x:c r="B227" s="7" t="n"/>
      <x:c r="C227" s="7" t="n"/>
      <x:c r="D227" s="7" t="n"/>
      <x:c r="E227" s="7" t="n"/>
      <x:c r="F227" s="7" t="n"/>
      <x:c r="G227" s="7" t="n"/>
    </x:row>
    <x:row r="228">
      <x:c r="B228" s="7" t="n"/>
      <x:c r="C228" s="7" t="n"/>
      <x:c r="D228" s="7" t="n"/>
      <x:c r="E228" s="7" t="n"/>
      <x:c r="F228" s="7" t="n"/>
      <x:c r="G228" s="7" t="n"/>
    </x:row>
    <x:row r="229">
      <x:c r="B229" s="7" t="n"/>
      <x:c r="C229" s="7" t="n"/>
      <x:c r="D229" s="7" t="n"/>
      <x:c r="E229" s="7" t="n"/>
      <x:c r="F229" s="7" t="n"/>
      <x:c r="G229" s="7" t="n"/>
    </x:row>
    <x:row r="230">
      <x:c r="B230" s="7" t="n"/>
      <x:c r="C230" s="7" t="n"/>
      <x:c r="D230" s="7" t="n"/>
      <x:c r="E230" s="7" t="n"/>
      <x:c r="F230" s="7" t="n"/>
      <x:c r="G230" s="7" t="n"/>
    </x:row>
    <x:row r="231">
      <x:c r="B231" s="7" t="n"/>
      <x:c r="C231" s="7" t="n"/>
      <x:c r="D231" s="7" t="n"/>
      <x:c r="E231" s="7" t="n"/>
      <x:c r="F231" s="7" t="n"/>
      <x:c r="G231" s="7" t="n"/>
    </x:row>
    <x:row r="232">
      <x:c r="B232" s="7" t="n"/>
      <x:c r="C232" s="7" t="n"/>
      <x:c r="D232" s="7" t="n"/>
      <x:c r="E232" s="7" t="n"/>
      <x:c r="F232" s="7" t="n"/>
      <x:c r="G232" s="7" t="n"/>
    </x:row>
    <x:row r="233">
      <x:c r="B233" s="7" t="n"/>
      <x:c r="C233" s="7" t="n"/>
      <x:c r="D233" s="7" t="n"/>
      <x:c r="E233" s="7" t="n"/>
      <x:c r="F233" s="7" t="n"/>
      <x:c r="G233" s="7" t="n"/>
    </x:row>
    <x:row r="234">
      <x:c r="B234" s="7" t="n"/>
      <x:c r="C234" s="7" t="n"/>
      <x:c r="D234" s="7" t="n"/>
      <x:c r="E234" s="7" t="n"/>
      <x:c r="F234" s="7" t="n"/>
      <x:c r="G234" s="7" t="n"/>
    </x:row>
    <x:row r="235">
      <x:c r="B235" s="7" t="n"/>
      <x:c r="C235" s="7" t="n"/>
      <x:c r="D235" s="7" t="n"/>
      <x:c r="E235" s="7" t="n"/>
      <x:c r="F235" s="7" t="n"/>
      <x:c r="G235" s="7" t="n"/>
    </x:row>
    <x:row r="236">
      <x:c r="B236" s="7" t="n"/>
      <x:c r="C236" s="7" t="n"/>
      <x:c r="D236" s="7" t="n"/>
      <x:c r="E236" s="7" t="n"/>
      <x:c r="F236" s="7" t="n"/>
      <x:c r="G236" s="7" t="n"/>
    </x:row>
    <x:row r="237">
      <x:c r="B237" s="7" t="n"/>
      <x:c r="C237" s="7" t="n"/>
      <x:c r="D237" s="7" t="n"/>
      <x:c r="E237" s="7" t="n"/>
      <x:c r="F237" s="7" t="n"/>
      <x:c r="G237" s="7" t="n"/>
    </x:row>
    <x:row r="238">
      <x:c r="B238" s="7" t="n"/>
      <x:c r="C238" s="7" t="n"/>
      <x:c r="D238" s="7" t="n"/>
      <x:c r="E238" s="7" t="n"/>
      <x:c r="F238" s="7" t="n"/>
      <x:c r="G238" s="7" t="n"/>
    </x:row>
    <x:row r="239">
      <x:c r="B239" s="7" t="n"/>
      <x:c r="C239" s="7" t="n"/>
      <x:c r="D239" s="7" t="n"/>
      <x:c r="E239" s="7" t="n"/>
      <x:c r="F239" s="7" t="n"/>
      <x:c r="G239" s="7" t="n"/>
    </x:row>
    <x:row r="240">
      <x:c r="B240" s="7" t="n"/>
      <x:c r="C240" s="7" t="n"/>
      <x:c r="D240" s="7" t="n"/>
      <x:c r="E240" s="7" t="n"/>
      <x:c r="F240" s="7" t="n"/>
      <x:c r="G240" s="7" t="n"/>
    </x:row>
    <x:row r="241">
      <x:c r="B241" s="7" t="n"/>
      <x:c r="C241" s="7" t="n"/>
      <x:c r="D241" s="7" t="n"/>
      <x:c r="E241" s="7" t="n"/>
      <x:c r="F241" s="7" t="n"/>
      <x:c r="G241" s="7" t="n"/>
    </x:row>
    <x:row r="242">
      <x:c r="B242" s="7" t="n"/>
      <x:c r="C242" s="7" t="n"/>
      <x:c r="D242" s="7" t="n"/>
      <x:c r="E242" s="7" t="n"/>
      <x:c r="F242" s="7" t="n"/>
      <x:c r="G242" s="7" t="n"/>
    </x:row>
    <x:row r="243">
      <x:c r="B243" s="7" t="n"/>
      <x:c r="C243" s="7" t="n"/>
      <x:c r="D243" s="7" t="n"/>
      <x:c r="E243" s="7" t="n"/>
      <x:c r="F243" s="7" t="n"/>
      <x:c r="G243" s="7" t="n"/>
    </x:row>
    <x:row r="244">
      <x:c r="B244" s="7" t="n"/>
      <x:c r="C244" s="7" t="n"/>
      <x:c r="D244" s="7" t="n"/>
      <x:c r="E244" s="7" t="n"/>
      <x:c r="F244" s="7" t="n"/>
      <x:c r="G244" s="7" t="n"/>
    </x:row>
    <x:row r="245">
      <x:c r="B245" s="7" t="n"/>
      <x:c r="C245" s="7" t="n"/>
      <x:c r="D245" s="7" t="n"/>
      <x:c r="E245" s="7" t="n"/>
      <x:c r="F245" s="7" t="n"/>
      <x:c r="G245" s="7" t="n"/>
    </x:row>
    <x:row r="246">
      <x:c r="B246" s="7" t="n"/>
      <x:c r="C246" s="7" t="n"/>
      <x:c r="D246" s="7" t="n"/>
      <x:c r="E246" s="7" t="n"/>
      <x:c r="F246" s="7" t="n"/>
      <x:c r="G246" s="7" t="n"/>
    </x:row>
    <x:row r="247">
      <x:c r="B247" s="7" t="n"/>
      <x:c r="C247" s="7" t="n"/>
      <x:c r="D247" s="7" t="n"/>
      <x:c r="E247" s="7" t="n"/>
      <x:c r="F247" s="7" t="n"/>
      <x:c r="G247" s="7" t="n"/>
    </x:row>
    <x:row r="248">
      <x:c r="B248" s="7" t="n"/>
      <x:c r="C248" s="7" t="n"/>
      <x:c r="D248" s="7" t="n"/>
      <x:c r="E248" s="7" t="n"/>
      <x:c r="F248" s="7" t="n"/>
      <x:c r="G248" s="7" t="n"/>
    </x:row>
    <x:row r="249">
      <x:c r="B249" s="7" t="n"/>
      <x:c r="C249" s="7" t="n"/>
      <x:c r="D249" s="7" t="n"/>
      <x:c r="E249" s="7" t="n"/>
      <x:c r="F249" s="7" t="n"/>
      <x:c r="G249" s="7" t="n"/>
    </x:row>
    <x:row r="250">
      <x:c r="B250" s="7" t="n"/>
      <x:c r="C250" s="7" t="n"/>
      <x:c r="D250" s="7" t="n"/>
      <x:c r="E250" s="7" t="n"/>
      <x:c r="F250" s="7" t="n"/>
      <x:c r="G250" s="7" t="n"/>
    </x:row>
    <x:row r="251">
      <x:c r="B251" s="7" t="n"/>
      <x:c r="C251" s="7" t="n"/>
      <x:c r="D251" s="7" t="n"/>
      <x:c r="E251" s="7" t="n"/>
      <x:c r="F251" s="7" t="n"/>
      <x:c r="G251" s="7" t="n"/>
    </x:row>
    <x:row r="252">
      <x:c r="B252" s="7" t="n"/>
      <x:c r="C252" s="7" t="n"/>
      <x:c r="D252" s="7" t="n"/>
      <x:c r="E252" s="7" t="n"/>
      <x:c r="F252" s="7" t="n"/>
      <x:c r="G252" s="7" t="n"/>
    </x:row>
    <x:row r="253">
      <x:c r="B253" s="7" t="n"/>
      <x:c r="C253" s="7" t="n"/>
      <x:c r="D253" s="7" t="n"/>
      <x:c r="E253" s="7" t="n"/>
      <x:c r="F253" s="7" t="n"/>
      <x:c r="G253" s="7" t="n"/>
    </x:row>
    <x:row r="254">
      <x:c r="B254" s="7" t="n"/>
      <x:c r="C254" s="7" t="n"/>
      <x:c r="D254" s="7" t="n"/>
      <x:c r="E254" s="7" t="n"/>
      <x:c r="F254" s="7" t="n"/>
      <x:c r="G254" s="7" t="n"/>
    </x:row>
    <x:row r="255">
      <x:c r="B255" s="7" t="n"/>
      <x:c r="C255" s="7" t="n"/>
      <x:c r="D255" s="7" t="n"/>
      <x:c r="E255" s="7" t="n"/>
      <x:c r="F255" s="7" t="n"/>
      <x:c r="G255" s="7" t="n"/>
    </x:row>
    <x:row r="256">
      <x:c r="B256" s="7" t="n"/>
      <x:c r="C256" s="7" t="n"/>
      <x:c r="D256" s="7" t="n"/>
      <x:c r="E256" s="7" t="n"/>
      <x:c r="F256" s="7" t="n"/>
      <x:c r="G256" s="7" t="n"/>
    </x:row>
    <x:row r="257">
      <x:c r="B257" s="7" t="n"/>
      <x:c r="C257" s="7" t="n"/>
      <x:c r="D257" s="7" t="n"/>
      <x:c r="E257" s="7" t="n"/>
      <x:c r="F257" s="7" t="n"/>
      <x:c r="G257" s="7" t="n"/>
    </x:row>
    <x:row r="258">
      <x:c r="B258" s="7" t="n"/>
      <x:c r="C258" s="7" t="n"/>
      <x:c r="D258" s="7" t="n"/>
      <x:c r="E258" s="7" t="n"/>
      <x:c r="F258" s="7" t="n"/>
      <x:c r="G258" s="7" t="n"/>
    </x:row>
    <x:row r="259">
      <x:c r="B259" s="7" t="n"/>
      <x:c r="C259" s="7" t="n"/>
      <x:c r="D259" s="7" t="n"/>
      <x:c r="E259" s="7" t="n"/>
      <x:c r="F259" s="7" t="n"/>
      <x:c r="G259" s="7" t="n"/>
    </x:row>
    <x:row r="260">
      <x:c r="B260" s="7" t="n"/>
      <x:c r="C260" s="7" t="n"/>
      <x:c r="D260" s="7" t="n"/>
      <x:c r="E260" s="7" t="n"/>
      <x:c r="F260" s="7" t="n"/>
      <x:c r="G260" s="7" t="n"/>
    </x:row>
    <x:row r="261">
      <x:c r="B261" s="7" t="n"/>
      <x:c r="C261" s="7" t="n"/>
      <x:c r="D261" s="7" t="n"/>
      <x:c r="E261" s="7" t="n"/>
      <x:c r="F261" s="7" t="n"/>
      <x:c r="G261" s="7" t="n"/>
    </x:row>
    <x:row r="262">
      <x:c r="B262" s="7" t="n"/>
      <x:c r="C262" s="7" t="n"/>
      <x:c r="D262" s="7" t="n"/>
      <x:c r="E262" s="7" t="n"/>
      <x:c r="F262" s="7" t="n"/>
      <x:c r="G262" s="7" t="n"/>
    </x:row>
    <x:row r="263">
      <x:c r="B263" s="7" t="n"/>
      <x:c r="C263" s="7" t="n"/>
      <x:c r="D263" s="7" t="n"/>
      <x:c r="E263" s="7" t="n"/>
      <x:c r="F263" s="7" t="n"/>
      <x:c r="G263" s="7" t="n"/>
    </x:row>
    <x:row r="264">
      <x:c r="B264" s="7" t="n"/>
      <x:c r="C264" s="7" t="n"/>
      <x:c r="D264" s="7" t="n"/>
      <x:c r="E264" s="7" t="n"/>
      <x:c r="F264" s="7" t="n"/>
      <x:c r="G264" s="7" t="n"/>
    </x:row>
    <x:row r="265">
      <x:c r="B265" s="7" t="n"/>
      <x:c r="C265" s="7" t="n"/>
      <x:c r="D265" s="7" t="n"/>
      <x:c r="E265" s="7" t="n"/>
      <x:c r="F265" s="7" t="n"/>
      <x:c r="G265" s="7" t="n"/>
    </x:row>
    <x:row r="266">
      <x:c r="B266" s="7" t="n"/>
      <x:c r="C266" s="7" t="n"/>
      <x:c r="D266" s="7" t="n"/>
      <x:c r="E266" s="7" t="n"/>
      <x:c r="F266" s="7" t="n"/>
      <x:c r="G266" s="7" t="n"/>
    </x:row>
    <x:row r="267">
      <x:c r="B267" s="7" t="n"/>
      <x:c r="C267" s="7" t="n"/>
      <x:c r="D267" s="7" t="n"/>
      <x:c r="E267" s="7" t="n"/>
      <x:c r="F267" s="7" t="n"/>
      <x:c r="G267" s="7" t="n"/>
    </x:row>
    <x:row r="268">
      <x:c r="B268" s="7" t="n"/>
      <x:c r="C268" s="7" t="n"/>
      <x:c r="D268" s="7" t="n"/>
      <x:c r="E268" s="7" t="n"/>
      <x:c r="F268" s="7" t="n"/>
      <x:c r="G268" s="7" t="n"/>
    </x:row>
    <x:row r="269">
      <x:c r="B269" s="7" t="n"/>
      <x:c r="C269" s="7" t="n"/>
      <x:c r="D269" s="7" t="n"/>
      <x:c r="E269" s="7" t="n"/>
      <x:c r="F269" s="7" t="n"/>
      <x:c r="G269" s="7" t="n"/>
    </x:row>
    <x:row r="270">
      <x:c r="B270" s="7" t="n"/>
      <x:c r="C270" s="7" t="n"/>
      <x:c r="D270" s="7" t="n"/>
      <x:c r="E270" s="7" t="n"/>
      <x:c r="F270" s="7" t="n"/>
      <x:c r="G270" s="7" t="n"/>
    </x:row>
    <x:row r="271">
      <x:c r="B271" s="7" t="n"/>
      <x:c r="C271" s="7" t="n"/>
      <x:c r="D271" s="7" t="n"/>
      <x:c r="E271" s="7" t="n"/>
      <x:c r="F271" s="7" t="n"/>
      <x:c r="G271" s="7" t="n"/>
    </x:row>
    <x:row r="272">
      <x:c r="B272" s="7" t="n"/>
      <x:c r="C272" s="7" t="n"/>
      <x:c r="D272" s="7" t="n"/>
      <x:c r="E272" s="7" t="n"/>
      <x:c r="F272" s="7" t="n"/>
      <x:c r="G272" s="7" t="n"/>
    </x:row>
    <x:row r="273">
      <x:c r="B273" s="7" t="n"/>
      <x:c r="C273" s="7" t="n"/>
      <x:c r="D273" s="7" t="n"/>
      <x:c r="E273" s="7" t="n"/>
      <x:c r="F273" s="7" t="n"/>
      <x:c r="G273" s="7" t="n"/>
    </x:row>
    <x:row r="274">
      <x:c r="B274" s="7" t="n"/>
      <x:c r="C274" s="7" t="n"/>
      <x:c r="D274" s="7" t="n"/>
      <x:c r="E274" s="7" t="n"/>
      <x:c r="F274" s="7" t="n"/>
      <x:c r="G274" s="7" t="n"/>
    </x:row>
    <x:row r="275">
      <x:c r="B275" s="7" t="n"/>
      <x:c r="C275" s="7" t="n"/>
      <x:c r="D275" s="7" t="n"/>
      <x:c r="E275" s="7" t="n"/>
      <x:c r="F275" s="7" t="n"/>
      <x:c r="G275" s="7" t="n"/>
    </x:row>
    <x:row r="276">
      <x:c r="B276" s="7" t="n"/>
      <x:c r="C276" s="7" t="n"/>
      <x:c r="D276" s="7" t="n"/>
      <x:c r="E276" s="7" t="n"/>
      <x:c r="F276" s="7" t="n"/>
      <x:c r="G276" s="7" t="n"/>
    </x:row>
    <x:row r="277">
      <x:c r="B277" s="7" t="n"/>
      <x:c r="C277" s="7" t="n"/>
      <x:c r="D277" s="7" t="n"/>
      <x:c r="E277" s="7" t="n"/>
      <x:c r="F277" s="7" t="n"/>
      <x:c r="G277" s="7" t="n"/>
    </x:row>
    <x:row r="278">
      <x:c r="B278" s="7" t="n"/>
      <x:c r="C278" s="7" t="n"/>
      <x:c r="D278" s="7" t="n"/>
      <x:c r="E278" s="7" t="n"/>
      <x:c r="F278" s="7" t="n"/>
      <x:c r="G278" s="7" t="n"/>
    </x:row>
    <x:row r="279">
      <x:c r="B279" s="7" t="n"/>
      <x:c r="C279" s="7" t="n"/>
      <x:c r="D279" s="7" t="n"/>
      <x:c r="E279" s="7" t="n"/>
      <x:c r="F279" s="7" t="n"/>
      <x:c r="G279" s="7" t="n"/>
    </x:row>
    <x:row r="280">
      <x:c r="B280" s="7" t="n"/>
      <x:c r="C280" s="7" t="n"/>
      <x:c r="D280" s="7" t="n"/>
      <x:c r="E280" s="7" t="n"/>
      <x:c r="F280" s="7" t="n"/>
      <x:c r="G280" s="7" t="n"/>
    </x:row>
    <x:row r="281">
      <x:c r="B281" s="7" t="n"/>
      <x:c r="C281" s="7" t="n"/>
      <x:c r="D281" s="7" t="n"/>
      <x:c r="E281" s="7" t="n"/>
      <x:c r="F281" s="7" t="n"/>
      <x:c r="G281" s="7" t="n"/>
    </x:row>
    <x:row r="282">
      <x:c r="B282" s="7" t="n"/>
      <x:c r="C282" s="7" t="n"/>
      <x:c r="D282" s="7" t="n"/>
      <x:c r="E282" s="7" t="n"/>
      <x:c r="F282" s="7" t="n"/>
      <x:c r="G282" s="7" t="n"/>
    </x:row>
    <x:row r="283">
      <x:c r="B283" s="7" t="n"/>
      <x:c r="C283" s="7" t="n"/>
      <x:c r="D283" s="7" t="n"/>
      <x:c r="E283" s="7" t="n"/>
      <x:c r="F283" s="7" t="n"/>
      <x:c r="G283" s="7" t="n"/>
    </x:row>
    <x:row r="284">
      <x:c r="B284" s="7" t="n"/>
      <x:c r="C284" s="7" t="n"/>
      <x:c r="D284" s="7" t="n"/>
      <x:c r="E284" s="7" t="n"/>
      <x:c r="F284" s="7" t="n"/>
      <x:c r="G284" s="7" t="n"/>
    </x:row>
    <x:row r="285">
      <x:c r="B285" s="7" t="n"/>
      <x:c r="C285" s="7" t="n"/>
      <x:c r="D285" s="7" t="n"/>
      <x:c r="E285" s="7" t="n"/>
      <x:c r="F285" s="7" t="n"/>
      <x:c r="G285" s="7" t="n"/>
    </x:row>
    <x:row r="286">
      <x:c r="B286" s="7" t="n"/>
      <x:c r="C286" s="7" t="n"/>
      <x:c r="D286" s="7" t="n"/>
      <x:c r="E286" s="7" t="n"/>
      <x:c r="F286" s="7" t="n"/>
      <x:c r="G286" s="7" t="n"/>
    </x:row>
    <x:row r="287">
      <x:c r="B287" s="7" t="n"/>
      <x:c r="C287" s="7" t="n"/>
      <x:c r="D287" s="7" t="n"/>
      <x:c r="E287" s="7" t="n"/>
      <x:c r="F287" s="7" t="n"/>
      <x:c r="G287" s="7" t="n"/>
    </x:row>
    <x:row r="288">
      <x:c r="B288" s="7" t="n"/>
      <x:c r="C288" s="7" t="n"/>
      <x:c r="D288" s="7" t="n"/>
      <x:c r="E288" s="7" t="n"/>
      <x:c r="F288" s="7" t="n"/>
      <x:c r="G288" s="7" t="n"/>
    </x:row>
    <x:row r="289">
      <x:c r="B289" s="7" t="n"/>
      <x:c r="C289" s="7" t="n"/>
      <x:c r="D289" s="7" t="n"/>
      <x:c r="E289" s="7" t="n"/>
      <x:c r="F289" s="7" t="n"/>
      <x:c r="G289" s="7" t="n"/>
    </x:row>
    <x:row r="290">
      <x:c r="B290" s="7" t="n"/>
      <x:c r="C290" s="7" t="n"/>
      <x:c r="D290" s="7" t="n"/>
      <x:c r="E290" s="7" t="n"/>
      <x:c r="F290" s="7" t="n"/>
      <x:c r="G290" s="7" t="n"/>
    </x:row>
    <x:row r="291">
      <x:c r="B291" s="7" t="n"/>
      <x:c r="C291" s="7" t="n"/>
      <x:c r="D291" s="7" t="n"/>
      <x:c r="E291" s="7" t="n"/>
      <x:c r="F291" s="7" t="n"/>
      <x:c r="G291" s="7" t="n"/>
    </x:row>
    <x:row r="292">
      <x:c r="B292" s="7" t="n"/>
      <x:c r="C292" s="7" t="n"/>
      <x:c r="D292" s="7" t="n"/>
      <x:c r="E292" s="7" t="n"/>
      <x:c r="F292" s="7" t="n"/>
      <x:c r="G292" s="7" t="n"/>
    </x:row>
    <x:row r="293">
      <x:c r="B293" s="7" t="n"/>
      <x:c r="C293" s="7" t="n"/>
      <x:c r="D293" s="7" t="n"/>
      <x:c r="E293" s="7" t="n"/>
      <x:c r="F293" s="7" t="n"/>
      <x:c r="G293" s="7" t="n"/>
    </x:row>
    <x:row r="294">
      <x:c r="B294" s="7" t="n"/>
      <x:c r="C294" s="7" t="n"/>
      <x:c r="D294" s="7" t="n"/>
      <x:c r="E294" s="7" t="n"/>
      <x:c r="F294" s="7" t="n"/>
      <x:c r="G294" s="7" t="n"/>
    </x:row>
    <x:row r="295">
      <x:c r="B295" s="7" t="n"/>
      <x:c r="C295" s="7" t="n"/>
      <x:c r="D295" s="7" t="n"/>
      <x:c r="E295" s="7" t="n"/>
      <x:c r="F295" s="7" t="n"/>
      <x:c r="G295" s="7" t="n"/>
    </x:row>
    <x:row r="296">
      <x:c r="B296" s="7" t="n"/>
      <x:c r="C296" s="7" t="n"/>
      <x:c r="D296" s="7" t="n"/>
      <x:c r="E296" s="7" t="n"/>
      <x:c r="F296" s="7" t="n"/>
      <x:c r="G296" s="7" t="n"/>
    </x:row>
    <x:row r="297">
      <x:c r="B297" s="7" t="n"/>
      <x:c r="C297" s="7" t="n"/>
      <x:c r="D297" s="7" t="n"/>
      <x:c r="E297" s="7" t="n"/>
      <x:c r="F297" s="7" t="n"/>
      <x:c r="G297" s="7" t="n"/>
    </x:row>
    <x:row r="298">
      <x:c r="B298" s="7" t="n"/>
      <x:c r="C298" s="7" t="n"/>
      <x:c r="D298" s="7" t="n"/>
      <x:c r="E298" s="7" t="n"/>
      <x:c r="F298" s="7" t="n"/>
      <x:c r="G298" s="7" t="n"/>
    </x:row>
    <x:row r="299">
      <x:c r="B299" s="7" t="n"/>
      <x:c r="C299" s="7" t="n"/>
      <x:c r="D299" s="7" t="n"/>
      <x:c r="E299" s="7" t="n"/>
      <x:c r="F299" s="7" t="n"/>
      <x:c r="G299" s="7" t="n"/>
    </x:row>
    <x:row r="300">
      <x:c r="B300" s="7" t="n"/>
      <x:c r="C300" s="7" t="n"/>
      <x:c r="D300" s="7" t="n"/>
      <x:c r="E300" s="7" t="n"/>
      <x:c r="F300" s="7" t="n"/>
      <x:c r="G300" s="7" t="n"/>
    </x:row>
    <x:row r="301">
      <x:c r="B301" s="7" t="n"/>
      <x:c r="C301" s="7" t="n"/>
      <x:c r="D301" s="7" t="n"/>
      <x:c r="E301" s="7" t="n"/>
      <x:c r="F301" s="7" t="n"/>
      <x:c r="G301" s="7" t="n"/>
    </x:row>
    <x:row r="302">
      <x:c r="B302" s="7" t="n"/>
      <x:c r="C302" s="7" t="n"/>
      <x:c r="D302" s="7" t="n"/>
      <x:c r="E302" s="7" t="n"/>
      <x:c r="F302" s="7" t="n"/>
      <x:c r="G302" s="7" t="n"/>
    </x:row>
    <x:row r="303">
      <x:c r="B303" s="7" t="n"/>
      <x:c r="C303" s="7" t="n"/>
      <x:c r="D303" s="7" t="n"/>
      <x:c r="E303" s="7" t="n"/>
      <x:c r="F303" s="7" t="n"/>
      <x:c r="G303" s="7" t="n"/>
    </x:row>
    <x:row r="304">
      <x:c r="B304" s="7" t="n"/>
      <x:c r="C304" s="7" t="n"/>
      <x:c r="D304" s="7" t="n"/>
      <x:c r="E304" s="7" t="n"/>
      <x:c r="F304" s="7" t="n"/>
      <x:c r="G304" s="7" t="n"/>
    </x:row>
    <x:row r="305">
      <x:c r="B305" s="7" t="n"/>
      <x:c r="C305" s="7" t="n"/>
      <x:c r="D305" s="7" t="n"/>
      <x:c r="E305" s="7" t="n"/>
      <x:c r="F305" s="7" t="n"/>
      <x:c r="G305" s="7" t="n"/>
    </x:row>
    <x:row r="306">
      <x:c r="B306" s="7" t="n"/>
      <x:c r="C306" s="7" t="n"/>
      <x:c r="D306" s="7" t="n"/>
      <x:c r="E306" s="7" t="n"/>
      <x:c r="F306" s="7" t="n"/>
      <x:c r="G306" s="7" t="n"/>
    </x:row>
    <x:row r="307">
      <x:c r="B307" s="7" t="n"/>
      <x:c r="C307" s="7" t="n"/>
      <x:c r="D307" s="7" t="n"/>
      <x:c r="E307" s="7" t="n"/>
      <x:c r="F307" s="7" t="n"/>
      <x:c r="G307" s="7" t="n"/>
    </x:row>
    <x:row r="308">
      <x:c r="B308" s="7" t="n"/>
      <x:c r="C308" s="7" t="n"/>
      <x:c r="D308" s="7" t="n"/>
      <x:c r="E308" s="7" t="n"/>
      <x:c r="F308" s="7" t="n"/>
      <x:c r="G308" s="7" t="n"/>
    </x:row>
    <x:row r="309">
      <x:c r="B309" s="7" t="n"/>
      <x:c r="C309" s="7" t="n"/>
      <x:c r="D309" s="7" t="n"/>
      <x:c r="E309" s="7" t="n"/>
      <x:c r="F309" s="7" t="n"/>
      <x:c r="G309" s="7" t="n"/>
    </x:row>
    <x:row r="310">
      <x:c r="B310" s="7" t="n"/>
      <x:c r="C310" s="7" t="n"/>
      <x:c r="D310" s="7" t="n"/>
      <x:c r="E310" s="7" t="n"/>
      <x:c r="F310" s="7" t="n"/>
      <x:c r="G310" s="7" t="n"/>
    </x:row>
    <x:row r="311">
      <x:c r="B311" s="7" t="n"/>
      <x:c r="C311" s="7" t="n"/>
      <x:c r="D311" s="7" t="n"/>
      <x:c r="E311" s="7" t="n"/>
      <x:c r="F311" s="7" t="n"/>
      <x:c r="G311" s="7" t="n"/>
    </x:row>
    <x:row r="312">
      <x:c r="B312" s="7" t="n"/>
      <x:c r="C312" s="7" t="n"/>
      <x:c r="D312" s="7" t="n"/>
      <x:c r="E312" s="7" t="n"/>
      <x:c r="F312" s="7" t="n"/>
      <x:c r="G312" s="7" t="n"/>
    </x:row>
    <x:row r="313">
      <x:c r="B313" s="7" t="n"/>
      <x:c r="C313" s="7" t="n"/>
      <x:c r="D313" s="7" t="n"/>
      <x:c r="E313" s="7" t="n"/>
      <x:c r="F313" s="7" t="n"/>
      <x:c r="G313" s="7" t="n"/>
    </x:row>
    <x:row r="314">
      <x:c r="B314" s="7" t="n"/>
      <x:c r="C314" s="7" t="n"/>
      <x:c r="D314" s="7" t="n"/>
      <x:c r="E314" s="7" t="n"/>
      <x:c r="F314" s="7" t="n"/>
      <x:c r="G314" s="7" t="n"/>
    </x:row>
    <x:row r="315">
      <x:c r="B315" s="7" t="n"/>
      <x:c r="C315" s="7" t="n"/>
      <x:c r="D315" s="7" t="n"/>
      <x:c r="E315" s="7" t="n"/>
      <x:c r="F315" s="7" t="n"/>
      <x:c r="G315" s="7" t="n"/>
    </x:row>
    <x:row r="316">
      <x:c r="B316" s="7" t="n"/>
      <x:c r="C316" s="7" t="n"/>
      <x:c r="D316" s="7" t="n"/>
      <x:c r="E316" s="7" t="n"/>
      <x:c r="F316" s="7" t="n"/>
      <x:c r="G316" s="7" t="n"/>
    </x:row>
    <x:row r="317">
      <x:c r="B317" s="7" t="n"/>
      <x:c r="C317" s="7" t="n"/>
      <x:c r="D317" s="7" t="n"/>
      <x:c r="E317" s="7" t="n"/>
      <x:c r="F317" s="7" t="n"/>
      <x:c r="G317" s="7" t="n"/>
    </x:row>
    <x:row r="318">
      <x:c r="B318" s="7" t="n"/>
      <x:c r="C318" s="7" t="n"/>
      <x:c r="D318" s="7" t="n"/>
      <x:c r="E318" s="7" t="n"/>
      <x:c r="F318" s="7" t="n"/>
      <x:c r="G318" s="7" t="n"/>
    </x:row>
    <x:row r="319">
      <x:c r="B319" s="7" t="n"/>
      <x:c r="C319" s="7" t="n"/>
      <x:c r="D319" s="7" t="n"/>
      <x:c r="E319" s="7" t="n"/>
      <x:c r="F319" s="7" t="n"/>
      <x:c r="G319" s="7" t="n"/>
    </x:row>
    <x:row r="320">
      <x:c r="B320" s="7" t="n"/>
      <x:c r="C320" s="7" t="n"/>
      <x:c r="D320" s="7" t="n"/>
      <x:c r="E320" s="7" t="n"/>
      <x:c r="F320" s="7" t="n"/>
      <x:c r="G320" s="7" t="n"/>
    </x:row>
    <x:row r="321">
      <x:c r="B321" s="7" t="n"/>
      <x:c r="C321" s="7" t="n"/>
      <x:c r="D321" s="7" t="n"/>
      <x:c r="E321" s="7" t="n"/>
      <x:c r="F321" s="7" t="n"/>
      <x:c r="G321" s="7" t="n"/>
    </x:row>
    <x:row r="322">
      <x:c r="B322" s="7" t="n"/>
      <x:c r="C322" s="7" t="n"/>
      <x:c r="D322" s="7" t="n"/>
      <x:c r="E322" s="7" t="n"/>
      <x:c r="F322" s="7" t="n"/>
      <x:c r="G322" s="7" t="n"/>
    </x:row>
    <x:row r="323">
      <x:c r="B323" s="7" t="n"/>
      <x:c r="C323" s="7" t="n"/>
      <x:c r="D323" s="7" t="n"/>
      <x:c r="E323" s="7" t="n"/>
      <x:c r="F323" s="7" t="n"/>
      <x:c r="G323" s="7" t="n"/>
    </x:row>
    <x:row r="324">
      <x:c r="B324" s="7" t="n"/>
      <x:c r="C324" s="7" t="n"/>
      <x:c r="D324" s="7" t="n"/>
      <x:c r="E324" s="7" t="n"/>
      <x:c r="F324" s="7" t="n"/>
      <x:c r="G324" s="7" t="n"/>
    </x:row>
    <x:row r="325">
      <x:c r="B325" s="7" t="n"/>
      <x:c r="C325" s="7" t="n"/>
      <x:c r="D325" s="7" t="n"/>
      <x:c r="E325" s="7" t="n"/>
      <x:c r="F325" s="7" t="n"/>
      <x:c r="G325" s="7" t="n"/>
    </x:row>
    <x:row r="326">
      <x:c r="B326" s="7" t="n"/>
      <x:c r="C326" s="7" t="n"/>
      <x:c r="D326" s="7" t="n"/>
      <x:c r="E326" s="7" t="n"/>
      <x:c r="F326" s="7" t="n"/>
      <x:c r="G326" s="7" t="n"/>
    </x:row>
    <x:row r="327">
      <x:c r="B327" s="7" t="n"/>
      <x:c r="C327" s="7" t="n"/>
      <x:c r="D327" s="7" t="n"/>
      <x:c r="E327" s="7" t="n"/>
      <x:c r="F327" s="7" t="n"/>
      <x:c r="G327" s="7" t="n"/>
    </x:row>
    <x:row r="328">
      <x:c r="B328" s="7" t="n"/>
      <x:c r="C328" s="7" t="n"/>
      <x:c r="D328" s="7" t="n"/>
      <x:c r="E328" s="7" t="n"/>
      <x:c r="F328" s="7" t="n"/>
      <x:c r="G328" s="7" t="n"/>
    </x:row>
    <x:row r="329">
      <x:c r="B329" s="7" t="n"/>
      <x:c r="C329" s="7" t="n"/>
      <x:c r="D329" s="7" t="n"/>
      <x:c r="E329" s="7" t="n"/>
      <x:c r="F329" s="7" t="n"/>
      <x:c r="G329" s="7" t="n"/>
    </x:row>
    <x:row r="330">
      <x:c r="B330" s="7" t="n"/>
      <x:c r="C330" s="7" t="n"/>
      <x:c r="D330" s="7" t="n"/>
      <x:c r="E330" s="7" t="n"/>
      <x:c r="F330" s="7" t="n"/>
      <x:c r="G330" s="7" t="n"/>
    </x:row>
    <x:row r="331">
      <x:c r="B331" s="7" t="n"/>
      <x:c r="C331" s="7" t="n"/>
      <x:c r="D331" s="7" t="n"/>
      <x:c r="E331" s="7" t="n"/>
      <x:c r="F331" s="7" t="n"/>
      <x:c r="G331" s="7" t="n"/>
    </x:row>
    <x:row r="332">
      <x:c r="B332" s="7" t="n"/>
      <x:c r="C332" s="7" t="n"/>
      <x:c r="D332" s="7" t="n"/>
      <x:c r="E332" s="7" t="n"/>
      <x:c r="F332" s="7" t="n"/>
      <x:c r="G332" s="7" t="n"/>
    </x:row>
    <x:row r="333">
      <x:c r="B333" s="7" t="n"/>
      <x:c r="C333" s="7" t="n"/>
      <x:c r="D333" s="7" t="n"/>
      <x:c r="E333" s="7" t="n"/>
      <x:c r="F333" s="7" t="n"/>
      <x:c r="G333" s="7" t="n"/>
    </x:row>
    <x:row r="334">
      <x:c r="B334" s="7" t="n"/>
      <x:c r="C334" s="7" t="n"/>
      <x:c r="D334" s="7" t="n"/>
      <x:c r="E334" s="7" t="n"/>
      <x:c r="F334" s="7" t="n"/>
      <x:c r="G334" s="7" t="n"/>
    </x:row>
    <x:row r="335">
      <x:c r="B335" s="7" t="n"/>
      <x:c r="C335" s="7" t="n"/>
      <x:c r="D335" s="7" t="n"/>
      <x:c r="E335" s="7" t="n"/>
      <x:c r="F335" s="7" t="n"/>
      <x:c r="G335" s="7" t="n"/>
    </x:row>
    <x:row r="336">
      <x:c r="B336" s="7" t="n"/>
      <x:c r="C336" s="7" t="n"/>
      <x:c r="D336" s="7" t="n"/>
      <x:c r="E336" s="7" t="n"/>
      <x:c r="F336" s="7" t="n"/>
      <x:c r="G336" s="7" t="n"/>
    </x:row>
    <x:row r="337">
      <x:c r="B337" s="7" t="n"/>
      <x:c r="C337" s="7" t="n"/>
      <x:c r="D337" s="7" t="n"/>
      <x:c r="E337" s="7" t="n"/>
      <x:c r="F337" s="7" t="n"/>
      <x:c r="G337" s="7" t="n"/>
    </x:row>
    <x:row r="338">
      <x:c r="B338" s="7" t="n"/>
      <x:c r="C338" s="7" t="n"/>
      <x:c r="D338" s="7" t="n"/>
      <x:c r="E338" s="7" t="n"/>
      <x:c r="F338" s="7" t="n"/>
      <x:c r="G338" s="7" t="n"/>
    </x:row>
    <x:row r="339">
      <x:c r="B339" s="7" t="n"/>
      <x:c r="C339" s="7" t="n"/>
      <x:c r="D339" s="7" t="n"/>
      <x:c r="E339" s="7" t="n"/>
      <x:c r="F339" s="7" t="n"/>
      <x:c r="G339" s="7" t="n"/>
    </x:row>
    <x:row r="340">
      <x:c r="B340" s="7" t="n"/>
      <x:c r="C340" s="7" t="n"/>
      <x:c r="D340" s="7" t="n"/>
      <x:c r="E340" s="7" t="n"/>
      <x:c r="F340" s="7" t="n"/>
      <x:c r="G340" s="7" t="n"/>
    </x:row>
    <x:row r="341">
      <x:c r="B341" s="7" t="n"/>
      <x:c r="C341" s="7" t="n"/>
      <x:c r="D341" s="7" t="n"/>
      <x:c r="E341" s="7" t="n"/>
      <x:c r="F341" s="7" t="n"/>
      <x:c r="G341" s="7" t="n"/>
    </x:row>
    <x:row r="342">
      <x:c r="B342" s="7" t="n"/>
      <x:c r="C342" s="7" t="n"/>
      <x:c r="D342" s="7" t="n"/>
      <x:c r="E342" s="7" t="n"/>
      <x:c r="F342" s="7" t="n"/>
      <x:c r="G342" s="7" t="n"/>
    </x:row>
    <x:row r="343">
      <x:c r="B343" s="7" t="n"/>
      <x:c r="C343" s="7" t="n"/>
      <x:c r="D343" s="7" t="n"/>
      <x:c r="E343" s="7" t="n"/>
      <x:c r="F343" s="7" t="n"/>
      <x:c r="G343" s="7" t="n"/>
    </x:row>
    <x:row r="344">
      <x:c r="B344" s="7" t="n"/>
      <x:c r="C344" s="7" t="n"/>
      <x:c r="D344" s="7" t="n"/>
      <x:c r="E344" s="7" t="n"/>
      <x:c r="F344" s="7" t="n"/>
      <x:c r="G344" s="7" t="n"/>
    </x:row>
    <x:row r="345">
      <x:c r="B345" s="7" t="n"/>
      <x:c r="C345" s="7" t="n"/>
      <x:c r="D345" s="7" t="n"/>
      <x:c r="E345" s="7" t="n"/>
      <x:c r="F345" s="7" t="n"/>
      <x:c r="G345" s="7" t="n"/>
    </x:row>
    <x:row r="346">
      <x:c r="B346" s="7" t="n"/>
      <x:c r="C346" s="7" t="n"/>
      <x:c r="D346" s="7" t="n"/>
      <x:c r="E346" s="7" t="n"/>
      <x:c r="F346" s="7" t="n"/>
      <x:c r="G346" s="7" t="n"/>
    </x:row>
    <x:row r="347">
      <x:c r="B347" s="7" t="n"/>
      <x:c r="C347" s="7" t="n"/>
      <x:c r="D347" s="7" t="n"/>
      <x:c r="E347" s="7" t="n"/>
      <x:c r="F347" s="7" t="n"/>
      <x:c r="G347" s="7" t="n"/>
    </x:row>
    <x:row r="348">
      <x:c r="B348" s="7" t="n"/>
      <x:c r="C348" s="7" t="n"/>
      <x:c r="D348" s="7" t="n"/>
      <x:c r="E348" s="7" t="n"/>
      <x:c r="F348" s="7" t="n"/>
      <x:c r="G348" s="7" t="n"/>
    </x:row>
    <x:row r="349">
      <x:c r="B349" s="7" t="n"/>
      <x:c r="C349" s="7" t="n"/>
      <x:c r="D349" s="7" t="n"/>
      <x:c r="E349" s="7" t="n"/>
      <x:c r="F349" s="7" t="n"/>
      <x:c r="G349" s="7" t="n"/>
    </x:row>
    <x:row r="350">
      <x:c r="B350" s="7" t="n"/>
      <x:c r="C350" s="7" t="n"/>
      <x:c r="D350" s="7" t="n"/>
      <x:c r="E350" s="7" t="n"/>
      <x:c r="F350" s="7" t="n"/>
      <x:c r="G350" s="7" t="n"/>
    </x:row>
    <x:row r="351">
      <x:c r="B351" s="7" t="n"/>
      <x:c r="C351" s="7" t="n"/>
      <x:c r="D351" s="7" t="n"/>
      <x:c r="E351" s="7" t="n"/>
      <x:c r="F351" s="7" t="n"/>
      <x:c r="G351" s="7" t="n"/>
    </x:row>
    <x:row r="352">
      <x:c r="B352" s="7" t="n"/>
      <x:c r="C352" s="7" t="n"/>
      <x:c r="D352" s="7" t="n"/>
      <x:c r="E352" s="7" t="n"/>
      <x:c r="F352" s="7" t="n"/>
      <x:c r="G352" s="7" t="n"/>
    </x:row>
    <x:row r="353">
      <x:c r="B353" s="7" t="n"/>
      <x:c r="C353" s="7" t="n"/>
      <x:c r="D353" s="7" t="n"/>
      <x:c r="E353" s="7" t="n"/>
      <x:c r="F353" s="7" t="n"/>
      <x:c r="G353" s="7" t="n"/>
    </x:row>
    <x:row r="354">
      <x:c r="B354" s="7" t="n"/>
      <x:c r="C354" s="7" t="n"/>
      <x:c r="D354" s="7" t="n"/>
      <x:c r="E354" s="7" t="n"/>
      <x:c r="F354" s="7" t="n"/>
      <x:c r="G354" s="7" t="n"/>
    </x:row>
    <x:row r="355">
      <x:c r="B355" s="7" t="n"/>
      <x:c r="C355" s="7" t="n"/>
      <x:c r="D355" s="7" t="n"/>
      <x:c r="E355" s="7" t="n"/>
      <x:c r="F355" s="7" t="n"/>
      <x:c r="G355" s="7" t="n"/>
    </x:row>
    <x:row r="356">
      <x:c r="B356" s="7" t="n"/>
      <x:c r="C356" s="7" t="n"/>
      <x:c r="D356" s="7" t="n"/>
      <x:c r="E356" s="7" t="n"/>
      <x:c r="F356" s="7" t="n"/>
      <x:c r="G356" s="7" t="n"/>
    </x:row>
    <x:row r="357">
      <x:c r="B357" s="7" t="n"/>
      <x:c r="C357" s="7" t="n"/>
      <x:c r="D357" s="7" t="n"/>
      <x:c r="E357" s="7" t="n"/>
      <x:c r="F357" s="7" t="n"/>
      <x:c r="G357" s="7" t="n"/>
    </x:row>
    <x:row r="358">
      <x:c r="B358" s="7" t="n"/>
      <x:c r="C358" s="7" t="n"/>
      <x:c r="D358" s="7" t="n"/>
      <x:c r="E358" s="7" t="n"/>
      <x:c r="F358" s="7" t="n"/>
      <x:c r="G358" s="7" t="n"/>
    </x:row>
    <x:row r="359">
      <x:c r="B359" s="7" t="n"/>
      <x:c r="C359" s="7" t="n"/>
      <x:c r="D359" s="7" t="n"/>
      <x:c r="E359" s="7" t="n"/>
      <x:c r="F359" s="7" t="n"/>
      <x:c r="G359" s="7" t="n"/>
    </x:row>
    <x:row r="360">
      <x:c r="B360" s="7" t="n"/>
      <x:c r="C360" s="7" t="n"/>
      <x:c r="D360" s="7" t="n"/>
      <x:c r="E360" s="7" t="n"/>
      <x:c r="F360" s="7" t="n"/>
      <x:c r="G360" s="7" t="n"/>
    </x:row>
    <x:row r="361">
      <x:c r="B361" s="7" t="n"/>
      <x:c r="C361" s="7" t="n"/>
      <x:c r="D361" s="7" t="n"/>
      <x:c r="E361" s="7" t="n"/>
      <x:c r="F361" s="7" t="n"/>
      <x:c r="G361" s="7" t="n"/>
    </x:row>
    <x:row r="362">
      <x:c r="B362" s="7" t="n"/>
      <x:c r="C362" s="7" t="n"/>
      <x:c r="D362" s="7" t="n"/>
      <x:c r="E362" s="7" t="n"/>
      <x:c r="F362" s="7" t="n"/>
      <x:c r="G362" s="7" t="n"/>
    </x:row>
    <x:row r="363">
      <x:c r="B363" s="7" t="n"/>
      <x:c r="C363" s="7" t="n"/>
      <x:c r="D363" s="7" t="n"/>
      <x:c r="E363" s="7" t="n"/>
      <x:c r="F363" s="7" t="n"/>
      <x:c r="G363" s="7" t="n"/>
    </x:row>
    <x:row r="364">
      <x:c r="B364" s="7" t="n"/>
      <x:c r="C364" s="7" t="n"/>
      <x:c r="D364" s="7" t="n"/>
      <x:c r="E364" s="7" t="n"/>
      <x:c r="F364" s="7" t="n"/>
      <x:c r="G364" s="7" t="n"/>
    </x:row>
    <x:row r="365">
      <x:c r="B365" s="7" t="n"/>
      <x:c r="C365" s="7" t="n"/>
      <x:c r="D365" s="7" t="n"/>
      <x:c r="E365" s="7" t="n"/>
      <x:c r="F365" s="7" t="n"/>
      <x:c r="G365" s="7" t="n"/>
    </x:row>
    <x:row r="366">
      <x:c r="B366" s="7" t="n"/>
      <x:c r="C366" s="7" t="n"/>
      <x:c r="D366" s="7" t="n"/>
      <x:c r="E366" s="7" t="n"/>
      <x:c r="F366" s="7" t="n"/>
      <x:c r="G366" s="7" t="n"/>
    </x:row>
    <x:row r="367">
      <x:c r="B367" s="7" t="n"/>
      <x:c r="C367" s="7" t="n"/>
      <x:c r="D367" s="7" t="n"/>
      <x:c r="E367" s="7" t="n"/>
      <x:c r="F367" s="7" t="n"/>
      <x:c r="G367" s="7" t="n"/>
    </x:row>
    <x:row r="368">
      <x:c r="B368" s="7" t="n"/>
      <x:c r="C368" s="7" t="n"/>
      <x:c r="D368" s="7" t="n"/>
      <x:c r="E368" s="7" t="n"/>
      <x:c r="F368" s="7" t="n"/>
      <x:c r="G368" s="7" t="n"/>
    </x:row>
    <x:row r="369">
      <x:c r="B369" s="7" t="n"/>
      <x:c r="C369" s="7" t="n"/>
      <x:c r="D369" s="7" t="n"/>
      <x:c r="E369" s="7" t="n"/>
      <x:c r="F369" s="7" t="n"/>
      <x:c r="G369" s="7" t="n"/>
    </x:row>
    <x:row r="370">
      <x:c r="B370" s="7" t="n"/>
      <x:c r="C370" s="7" t="n"/>
      <x:c r="D370" s="7" t="n"/>
      <x:c r="E370" s="7" t="n"/>
      <x:c r="F370" s="7" t="n"/>
      <x:c r="G370" s="7" t="n"/>
    </x:row>
    <x:row r="371">
      <x:c r="B371" s="7" t="n"/>
      <x:c r="C371" s="7" t="n"/>
      <x:c r="D371" s="7" t="n"/>
      <x:c r="E371" s="7" t="n"/>
      <x:c r="F371" s="7" t="n"/>
      <x:c r="G371" s="7" t="n"/>
    </x:row>
    <x:row r="372">
      <x:c r="B372" s="7" t="n"/>
      <x:c r="C372" s="7" t="n"/>
      <x:c r="D372" s="7" t="n"/>
      <x:c r="E372" s="7" t="n"/>
      <x:c r="F372" s="7" t="n"/>
      <x:c r="G372" s="7" t="n"/>
    </x:row>
    <x:row r="373">
      <x:c r="B373" s="7" t="n"/>
      <x:c r="C373" s="7" t="n"/>
      <x:c r="D373" s="7" t="n"/>
      <x:c r="E373" s="7" t="n"/>
      <x:c r="F373" s="7" t="n"/>
      <x:c r="G373" s="7" t="n"/>
    </x:row>
    <x:row r="374">
      <x:c r="B374" s="7" t="n"/>
      <x:c r="C374" s="7" t="n"/>
      <x:c r="D374" s="7" t="n"/>
      <x:c r="E374" s="7" t="n"/>
      <x:c r="F374" s="7" t="n"/>
      <x:c r="G374" s="7" t="n"/>
    </x:row>
    <x:row r="375">
      <x:c r="B375" s="7" t="n"/>
      <x:c r="C375" s="7" t="n"/>
      <x:c r="D375" s="7" t="n"/>
      <x:c r="E375" s="7" t="n"/>
      <x:c r="F375" s="7" t="n"/>
      <x:c r="G375" s="7" t="n"/>
    </x:row>
    <x:row r="376">
      <x:c r="B376" s="7" t="n"/>
      <x:c r="C376" s="7" t="n"/>
      <x:c r="D376" s="7" t="n"/>
      <x:c r="E376" s="7" t="n"/>
      <x:c r="F376" s="7" t="n"/>
      <x:c r="G376" s="7" t="n"/>
    </x:row>
    <x:row r="377">
      <x:c r="B377" s="7" t="n"/>
      <x:c r="C377" s="7" t="n"/>
      <x:c r="D377" s="7" t="n"/>
      <x:c r="E377" s="7" t="n"/>
      <x:c r="F377" s="7" t="n"/>
      <x:c r="G377" s="7" t="n"/>
    </x:row>
    <x:row r="378">
      <x:c r="B378" s="7" t="n"/>
      <x:c r="C378" s="7" t="n"/>
      <x:c r="D378" s="7" t="n"/>
      <x:c r="E378" s="7" t="n"/>
      <x:c r="F378" s="7" t="n"/>
      <x:c r="G378" s="7" t="n"/>
    </x:row>
    <x:row r="379">
      <x:c r="B379" s="7" t="n"/>
      <x:c r="C379" s="7" t="n"/>
      <x:c r="D379" s="7" t="n"/>
      <x:c r="E379" s="7" t="n"/>
      <x:c r="F379" s="7" t="n"/>
      <x:c r="G379" s="7" t="n"/>
    </x:row>
    <x:row r="380">
      <x:c r="B380" s="7" t="n"/>
      <x:c r="C380" s="7" t="n"/>
      <x:c r="D380" s="7" t="n"/>
      <x:c r="E380" s="7" t="n"/>
      <x:c r="F380" s="7" t="n"/>
      <x:c r="G380" s="7" t="n"/>
    </x:row>
    <x:row r="381">
      <x:c r="B381" s="7" t="n"/>
      <x:c r="C381" s="7" t="n"/>
      <x:c r="D381" s="7" t="n"/>
      <x:c r="E381" s="7" t="n"/>
      <x:c r="F381" s="7" t="n"/>
      <x:c r="G381" s="7" t="n"/>
    </x:row>
    <x:row r="382">
      <x:c r="B382" s="7" t="n"/>
      <x:c r="C382" s="7" t="n"/>
      <x:c r="D382" s="7" t="n"/>
      <x:c r="E382" s="7" t="n"/>
      <x:c r="F382" s="7" t="n"/>
      <x:c r="G382" s="7" t="n"/>
    </x:row>
    <x:row r="383">
      <x:c r="B383" s="7" t="n"/>
      <x:c r="C383" s="7" t="n"/>
      <x:c r="D383" s="7" t="n"/>
      <x:c r="E383" s="7" t="n"/>
      <x:c r="F383" s="7" t="n"/>
      <x:c r="G383" s="7" t="n"/>
    </x:row>
    <x:row r="384">
      <x:c r="B384" s="7" t="n"/>
      <x:c r="C384" s="7" t="n"/>
      <x:c r="D384" s="7" t="n"/>
      <x:c r="E384" s="7" t="n"/>
      <x:c r="F384" s="7" t="n"/>
      <x:c r="G384" s="7" t="n"/>
    </x:row>
    <x:row r="385">
      <x:c r="B385" s="7" t="n"/>
      <x:c r="C385" s="7" t="n"/>
      <x:c r="D385" s="7" t="n"/>
      <x:c r="E385" s="7" t="n"/>
      <x:c r="F385" s="7" t="n"/>
      <x:c r="G385" s="7" t="n"/>
    </x:row>
    <x:row r="386">
      <x:c r="B386" s="7" t="n"/>
      <x:c r="C386" s="7" t="n"/>
      <x:c r="D386" s="7" t="n"/>
      <x:c r="E386" s="7" t="n"/>
      <x:c r="F386" s="7" t="n"/>
      <x:c r="G386" s="7" t="n"/>
    </x:row>
    <x:row r="387">
      <x:c r="B387" s="7" t="n"/>
      <x:c r="C387" s="7" t="n"/>
      <x:c r="D387" s="7" t="n"/>
      <x:c r="E387" s="7" t="n"/>
      <x:c r="F387" s="7" t="n"/>
      <x:c r="G387" s="7" t="n"/>
    </x:row>
    <x:row r="388">
      <x:c r="B388" s="7" t="n"/>
      <x:c r="C388" s="7" t="n"/>
      <x:c r="D388" s="7" t="n"/>
      <x:c r="E388" s="7" t="n"/>
      <x:c r="F388" s="7" t="n"/>
      <x:c r="G388" s="7" t="n"/>
    </x:row>
    <x:row r="389">
      <x:c r="B389" s="7" t="n"/>
      <x:c r="C389" s="7" t="n"/>
      <x:c r="D389" s="7" t="n"/>
      <x:c r="E389" s="7" t="n"/>
      <x:c r="F389" s="7" t="n"/>
      <x:c r="G389" s="7" t="n"/>
    </x:row>
    <x:row r="390">
      <x:c r="B390" s="7" t="n"/>
      <x:c r="C390" s="7" t="n"/>
      <x:c r="D390" s="7" t="n"/>
      <x:c r="E390" s="7" t="n"/>
      <x:c r="F390" s="7" t="n"/>
      <x:c r="G390" s="7" t="n"/>
    </x:row>
    <x:row r="391">
      <x:c r="B391" s="7" t="n"/>
      <x:c r="C391" s="7" t="n"/>
      <x:c r="D391" s="7" t="n"/>
      <x:c r="E391" s="7" t="n"/>
      <x:c r="F391" s="7" t="n"/>
      <x:c r="G391" s="7" t="n"/>
    </x:row>
    <x:row r="392">
      <x:c r="B392" s="7" t="n"/>
      <x:c r="C392" s="7" t="n"/>
      <x:c r="D392" s="7" t="n"/>
      <x:c r="E392" s="7" t="n"/>
      <x:c r="F392" s="7" t="n"/>
      <x:c r="G392" s="7" t="n"/>
    </x:row>
    <x:row r="393">
      <x:c r="B393" s="7" t="n"/>
      <x:c r="C393" s="7" t="n"/>
      <x:c r="D393" s="7" t="n"/>
      <x:c r="E393" s="7" t="n"/>
      <x:c r="F393" s="7" t="n"/>
      <x:c r="G393" s="7" t="n"/>
    </x:row>
    <x:row r="394">
      <x:c r="B394" s="7" t="n"/>
      <x:c r="C394" s="7" t="n"/>
      <x:c r="D394" s="7" t="n"/>
      <x:c r="E394" s="7" t="n"/>
      <x:c r="F394" s="7" t="n"/>
      <x:c r="G394" s="7" t="n"/>
    </x:row>
    <x:row r="395">
      <x:c r="B395" s="7" t="n"/>
      <x:c r="C395" s="7" t="n"/>
      <x:c r="D395" s="7" t="n"/>
      <x:c r="E395" s="7" t="n"/>
      <x:c r="F395" s="7" t="n"/>
      <x:c r="G395" s="7" t="n"/>
    </x:row>
    <x:row r="396">
      <x:c r="B396" s="7" t="n"/>
      <x:c r="C396" s="7" t="n"/>
      <x:c r="D396" s="7" t="n"/>
      <x:c r="E396" s="7" t="n"/>
      <x:c r="F396" s="7" t="n"/>
      <x:c r="G396" s="7" t="n"/>
    </x:row>
    <x:row r="397">
      <x:c r="B397" s="7" t="n"/>
      <x:c r="C397" s="7" t="n"/>
      <x:c r="D397" s="7" t="n"/>
      <x:c r="E397" s="7" t="n"/>
      <x:c r="F397" s="7" t="n"/>
      <x:c r="G397" s="7" t="n"/>
    </x:row>
    <x:row r="398">
      <x:c r="B398" s="7" t="n"/>
      <x:c r="C398" s="7" t="n"/>
      <x:c r="D398" s="7" t="n"/>
      <x:c r="E398" s="7" t="n"/>
      <x:c r="F398" s="7" t="n"/>
      <x:c r="G398" s="7" t="n"/>
    </x:row>
    <x:row r="399">
      <x:c r="B399" s="7" t="n"/>
      <x:c r="C399" s="7" t="n"/>
      <x:c r="D399" s="7" t="n"/>
      <x:c r="E399" s="7" t="n"/>
      <x:c r="F399" s="7" t="n"/>
      <x:c r="G399" s="7" t="n"/>
    </x:row>
    <x:row r="400">
      <x:c r="B400" s="7" t="n"/>
      <x:c r="C400" s="7" t="n"/>
      <x:c r="D400" s="7" t="n"/>
      <x:c r="E400" s="7" t="n"/>
      <x:c r="F400" s="7" t="n"/>
      <x:c r="G400" s="7" t="n"/>
    </x:row>
    <x:row r="401">
      <x:c r="B401" s="7" t="n"/>
      <x:c r="C401" s="7" t="n"/>
      <x:c r="D401" s="7" t="n"/>
      <x:c r="E401" s="7" t="n"/>
      <x:c r="F401" s="7" t="n"/>
      <x:c r="G401" s="7" t="n"/>
    </x:row>
    <x:row r="402">
      <x:c r="B402" s="7" t="n"/>
      <x:c r="C402" s="7" t="n"/>
      <x:c r="D402" s="7" t="n"/>
      <x:c r="E402" s="7" t="n"/>
      <x:c r="F402" s="7" t="n"/>
      <x:c r="G402" s="7" t="n"/>
    </x:row>
    <x:row r="403">
      <x:c r="B403" s="7" t="n"/>
      <x:c r="C403" s="7" t="n"/>
      <x:c r="D403" s="7" t="n"/>
      <x:c r="E403" s="7" t="n"/>
      <x:c r="F403" s="7" t="n"/>
      <x:c r="G403" s="7" t="n"/>
    </x:row>
    <x:row r="404">
      <x:c r="B404" s="7" t="n"/>
      <x:c r="C404" s="7" t="n"/>
      <x:c r="D404" s="7" t="n"/>
      <x:c r="E404" s="7" t="n"/>
      <x:c r="F404" s="7" t="n"/>
      <x:c r="G404" s="7" t="n"/>
    </x:row>
    <x:row r="405">
      <x:c r="B405" s="7" t="n"/>
      <x:c r="C405" s="7" t="n"/>
      <x:c r="D405" s="7" t="n"/>
      <x:c r="E405" s="7" t="n"/>
      <x:c r="F405" s="7" t="n"/>
      <x:c r="G405" s="7" t="n"/>
    </x:row>
    <x:row r="406">
      <x:c r="B406" s="7" t="n"/>
      <x:c r="C406" s="7" t="n"/>
      <x:c r="D406" s="7" t="n"/>
      <x:c r="E406" s="7" t="n"/>
      <x:c r="F406" s="7" t="n"/>
      <x:c r="G406" s="7" t="n"/>
    </x:row>
    <x:row r="407">
      <x:c r="B407" s="7" t="n"/>
      <x:c r="C407" s="7" t="n"/>
      <x:c r="D407" s="7" t="n"/>
      <x:c r="E407" s="7" t="n"/>
      <x:c r="F407" s="7" t="n"/>
      <x:c r="G407" s="7" t="n"/>
    </x:row>
    <x:row r="408">
      <x:c r="B408" s="7" t="n"/>
      <x:c r="C408" s="7" t="n"/>
      <x:c r="D408" s="7" t="n"/>
      <x:c r="E408" s="7" t="n"/>
      <x:c r="F408" s="7" t="n"/>
      <x:c r="G408" s="7" t="n"/>
    </x:row>
    <x:row r="409">
      <x:c r="B409" s="7" t="n"/>
      <x:c r="C409" s="7" t="n"/>
      <x:c r="D409" s="7" t="n"/>
      <x:c r="E409" s="7" t="n"/>
      <x:c r="F409" s="7" t="n"/>
      <x:c r="G409" s="7" t="n"/>
    </x:row>
    <x:row r="410">
      <x:c r="B410" s="7" t="n"/>
      <x:c r="C410" s="7" t="n"/>
      <x:c r="D410" s="7" t="n"/>
      <x:c r="E410" s="7" t="n"/>
      <x:c r="F410" s="7" t="n"/>
      <x:c r="G410" s="7" t="n"/>
    </x:row>
    <x:row r="411">
      <x:c r="B411" s="7" t="n"/>
      <x:c r="C411" s="7" t="n"/>
      <x:c r="D411" s="7" t="n"/>
      <x:c r="E411" s="7" t="n"/>
      <x:c r="F411" s="7" t="n"/>
      <x:c r="G411" s="7" t="n"/>
    </x:row>
    <x:row r="412">
      <x:c r="B412" s="7" t="n"/>
      <x:c r="C412" s="7" t="n"/>
      <x:c r="D412" s="7" t="n"/>
      <x:c r="E412" s="7" t="n"/>
      <x:c r="F412" s="7" t="n"/>
      <x:c r="G412" s="7" t="n"/>
    </x:row>
    <x:row r="413">
      <x:c r="B413" s="7" t="n"/>
      <x:c r="C413" s="7" t="n"/>
      <x:c r="D413" s="7" t="n"/>
      <x:c r="E413" s="7" t="n"/>
      <x:c r="F413" s="7" t="n"/>
      <x:c r="G413" s="7" t="n"/>
    </x:row>
    <x:row r="414">
      <x:c r="B414" s="7" t="n"/>
      <x:c r="C414" s="7" t="n"/>
      <x:c r="D414" s="7" t="n"/>
      <x:c r="E414" s="7" t="n"/>
      <x:c r="F414" s="7" t="n"/>
      <x:c r="G414" s="7" t="n"/>
    </x:row>
    <x:row r="415">
      <x:c r="B415" s="7" t="n"/>
      <x:c r="C415" s="7" t="n"/>
      <x:c r="D415" s="7" t="n"/>
      <x:c r="E415" s="7" t="n"/>
      <x:c r="F415" s="7" t="n"/>
      <x:c r="G415" s="7" t="n"/>
    </x:row>
    <x:row r="416">
      <x:c r="B416" s="7" t="n"/>
      <x:c r="C416" s="7" t="n"/>
      <x:c r="D416" s="7" t="n"/>
      <x:c r="E416" s="7" t="n"/>
      <x:c r="F416" s="7" t="n"/>
      <x:c r="G416" s="7" t="n"/>
    </x:row>
    <x:row r="417">
      <x:c r="B417" s="7" t="n"/>
      <x:c r="C417" s="7" t="n"/>
      <x:c r="D417" s="7" t="n"/>
      <x:c r="E417" s="7" t="n"/>
      <x:c r="F417" s="7" t="n"/>
      <x:c r="G417" s="7" t="n"/>
    </x:row>
    <x:row r="418">
      <x:c r="B418" s="7" t="n"/>
      <x:c r="C418" s="7" t="n"/>
      <x:c r="D418" s="7" t="n"/>
      <x:c r="E418" s="7" t="n"/>
      <x:c r="F418" s="7" t="n"/>
      <x:c r="G418" s="7" t="n"/>
    </x:row>
    <x:row r="419">
      <x:c r="B419" s="7" t="n"/>
      <x:c r="C419" s="7" t="n"/>
      <x:c r="D419" s="7" t="n"/>
      <x:c r="E419" s="7" t="n"/>
      <x:c r="F419" s="7" t="n"/>
      <x:c r="G419" s="7" t="n"/>
    </x:row>
    <x:row r="420">
      <x:c r="B420" s="7" t="n"/>
      <x:c r="C420" s="7" t="n"/>
      <x:c r="D420" s="7" t="n"/>
      <x:c r="E420" s="7" t="n"/>
      <x:c r="F420" s="7" t="n"/>
      <x:c r="G420" s="7" t="n"/>
    </x:row>
    <x:row r="421">
      <x:c r="B421" s="7" t="n"/>
      <x:c r="C421" s="7" t="n"/>
      <x:c r="D421" s="7" t="n"/>
      <x:c r="E421" s="7" t="n"/>
      <x:c r="F421" s="7" t="n"/>
      <x:c r="G421" s="7" t="n"/>
    </x:row>
    <x:row r="422">
      <x:c r="B422" s="7" t="n"/>
      <x:c r="C422" s="7" t="n"/>
      <x:c r="D422" s="7" t="n"/>
      <x:c r="E422" s="7" t="n"/>
      <x:c r="F422" s="7" t="n"/>
      <x:c r="G422" s="7" t="n"/>
    </x:row>
    <x:row r="423">
      <x:c r="B423" s="7" t="n"/>
      <x:c r="C423" s="7" t="n"/>
      <x:c r="D423" s="7" t="n"/>
      <x:c r="E423" s="7" t="n"/>
      <x:c r="F423" s="7" t="n"/>
      <x:c r="G423" s="7" t="n"/>
    </x:row>
    <x:row r="424">
      <x:c r="B424" s="7" t="n"/>
      <x:c r="C424" s="7" t="n"/>
      <x:c r="D424" s="7" t="n"/>
      <x:c r="E424" s="7" t="n"/>
      <x:c r="F424" s="7" t="n"/>
      <x:c r="G424" s="7" t="n"/>
    </x:row>
    <x:row r="425">
      <x:c r="B425" s="7" t="n"/>
      <x:c r="C425" s="7" t="n"/>
      <x:c r="D425" s="7" t="n"/>
      <x:c r="E425" s="7" t="n"/>
      <x:c r="F425" s="7" t="n"/>
      <x:c r="G425" s="7" t="n"/>
    </x:row>
    <x:row r="426">
      <x:c r="B426" s="7" t="n"/>
      <x:c r="C426" s="7" t="n"/>
      <x:c r="D426" s="7" t="n"/>
      <x:c r="E426" s="7" t="n"/>
      <x:c r="F426" s="7" t="n"/>
      <x:c r="G426" s="7" t="n"/>
    </x:row>
    <x:row r="427">
      <x:c r="B427" s="7" t="n"/>
      <x:c r="C427" s="7" t="n"/>
      <x:c r="D427" s="7" t="n"/>
      <x:c r="E427" s="7" t="n"/>
      <x:c r="F427" s="7" t="n"/>
      <x:c r="G427" s="7" t="n"/>
    </x:row>
    <x:row r="428">
      <x:c r="B428" s="7" t="n"/>
      <x:c r="C428" s="7" t="n"/>
      <x:c r="D428" s="7" t="n"/>
      <x:c r="E428" s="7" t="n"/>
      <x:c r="F428" s="7" t="n"/>
      <x:c r="G428" s="7" t="n"/>
    </x:row>
    <x:row r="429">
      <x:c r="B429" s="7" t="n"/>
      <x:c r="C429" s="7" t="n"/>
      <x:c r="D429" s="7" t="n"/>
      <x:c r="E429" s="7" t="n"/>
      <x:c r="F429" s="7" t="n"/>
      <x:c r="G429" s="7" t="n"/>
    </x:row>
    <x:row r="430">
      <x:c r="B430" s="7" t="n"/>
      <x:c r="C430" s="7" t="n"/>
      <x:c r="D430" s="7" t="n"/>
      <x:c r="E430" s="7" t="n"/>
      <x:c r="F430" s="7" t="n"/>
      <x:c r="G430" s="7" t="n"/>
    </x:row>
    <x:row r="431">
      <x:c r="B431" s="7" t="n"/>
      <x:c r="C431" s="7" t="n"/>
      <x:c r="D431" s="7" t="n"/>
      <x:c r="E431" s="7" t="n"/>
      <x:c r="F431" s="7" t="n"/>
      <x:c r="G431" s="7" t="n"/>
    </x:row>
    <x:row r="432">
      <x:c r="B432" s="7" t="n"/>
      <x:c r="C432" s="7" t="n"/>
      <x:c r="D432" s="7" t="n"/>
      <x:c r="E432" s="7" t="n"/>
      <x:c r="F432" s="7" t="n"/>
      <x:c r="G432" s="7" t="n"/>
    </x:row>
    <x:row r="433">
      <x:c r="B433" s="7" t="n"/>
      <x:c r="C433" s="7" t="n"/>
      <x:c r="D433" s="7" t="n"/>
      <x:c r="E433" s="7" t="n"/>
      <x:c r="F433" s="7" t="n"/>
      <x:c r="G433" s="7" t="n"/>
    </x:row>
    <x:row r="434">
      <x:c r="B434" s="7" t="n"/>
      <x:c r="C434" s="7" t="n"/>
      <x:c r="D434" s="7" t="n"/>
      <x:c r="E434" s="7" t="n"/>
      <x:c r="F434" s="7" t="n"/>
      <x:c r="G434" s="7" t="n"/>
    </x:row>
    <x:row r="435">
      <x:c r="B435" s="7" t="n"/>
      <x:c r="C435" s="7" t="n"/>
      <x:c r="D435" s="7" t="n"/>
      <x:c r="E435" s="7" t="n"/>
      <x:c r="F435" s="7" t="n"/>
      <x:c r="G435" s="7" t="n"/>
    </x:row>
    <x:row r="436">
      <x:c r="B436" s="7" t="n"/>
      <x:c r="C436" s="7" t="n"/>
      <x:c r="D436" s="7" t="n"/>
      <x:c r="E436" s="7" t="n"/>
      <x:c r="F436" s="7" t="n"/>
      <x:c r="G436" s="7" t="n"/>
    </x:row>
    <x:row r="437">
      <x:c r="B437" s="7" t="n"/>
      <x:c r="C437" s="7" t="n"/>
      <x:c r="D437" s="7" t="n"/>
      <x:c r="E437" s="7" t="n"/>
      <x:c r="F437" s="7" t="n"/>
      <x:c r="G437" s="7" t="n"/>
    </x:row>
    <x:row r="438">
      <x:c r="B438" s="7" t="n"/>
      <x:c r="C438" s="7" t="n"/>
      <x:c r="D438" s="7" t="n"/>
      <x:c r="E438" s="7" t="n"/>
      <x:c r="F438" s="7" t="n"/>
      <x:c r="G438" s="7" t="n"/>
    </x:row>
    <x:row r="439">
      <x:c r="B439" s="7" t="n"/>
      <x:c r="C439" s="7" t="n"/>
      <x:c r="D439" s="7" t="n"/>
      <x:c r="E439" s="7" t="n"/>
      <x:c r="F439" s="7" t="n"/>
      <x:c r="G439" s="7" t="n"/>
    </x:row>
    <x:row r="440">
      <x:c r="B440" s="7" t="n"/>
      <x:c r="C440" s="7" t="n"/>
      <x:c r="D440" s="7" t="n"/>
      <x:c r="E440" s="7" t="n"/>
      <x:c r="F440" s="7" t="n"/>
      <x:c r="G440" s="7" t="n"/>
    </x:row>
    <x:row r="441">
      <x:c r="B441" s="7" t="n"/>
      <x:c r="C441" s="7" t="n"/>
      <x:c r="D441" s="7" t="n"/>
      <x:c r="E441" s="7" t="n"/>
      <x:c r="F441" s="7" t="n"/>
      <x:c r="G441" s="7" t="n"/>
    </x:row>
    <x:row r="442">
      <x:c r="B442" s="7" t="n"/>
      <x:c r="C442" s="7" t="n"/>
      <x:c r="D442" s="7" t="n"/>
      <x:c r="E442" s="7" t="n"/>
      <x:c r="F442" s="7" t="n"/>
      <x:c r="G442" s="7" t="n"/>
    </x:row>
    <x:row r="443">
      <x:c r="B443" s="7" t="n"/>
      <x:c r="C443" s="7" t="n"/>
      <x:c r="D443" s="7" t="n"/>
      <x:c r="E443" s="7" t="n"/>
      <x:c r="F443" s="7" t="n"/>
      <x:c r="G443" s="7" t="n"/>
    </x:row>
    <x:row r="444">
      <x:c r="B444" s="7" t="n"/>
      <x:c r="C444" s="7" t="n"/>
      <x:c r="D444" s="7" t="n"/>
      <x:c r="E444" s="7" t="n"/>
      <x:c r="F444" s="7" t="n"/>
      <x:c r="G444" s="7" t="n"/>
    </x:row>
    <x:row r="445">
      <x:c r="B445" s="7" t="n"/>
      <x:c r="C445" s="7" t="n"/>
      <x:c r="D445" s="7" t="n"/>
      <x:c r="E445" s="7" t="n"/>
      <x:c r="F445" s="7" t="n"/>
      <x:c r="G445" s="7" t="n"/>
    </x:row>
    <x:row r="446">
      <x:c r="B446" s="7" t="n"/>
      <x:c r="C446" s="7" t="n"/>
      <x:c r="D446" s="7" t="n"/>
      <x:c r="E446" s="7" t="n"/>
      <x:c r="F446" s="7" t="n"/>
      <x:c r="G446" s="7" t="n"/>
    </x:row>
    <x:row r="447">
      <x:c r="B447" s="7" t="n"/>
      <x:c r="C447" s="7" t="n"/>
      <x:c r="D447" s="7" t="n"/>
      <x:c r="E447" s="7" t="n"/>
      <x:c r="F447" s="7" t="n"/>
      <x:c r="G447" s="7" t="n"/>
    </x:row>
    <x:row r="448">
      <x:c r="B448" s="7" t="n"/>
      <x:c r="C448" s="7" t="n"/>
      <x:c r="D448" s="7" t="n"/>
      <x:c r="E448" s="7" t="n"/>
      <x:c r="F448" s="7" t="n"/>
      <x:c r="G448" s="7" t="n"/>
    </x:row>
    <x:row r="449">
      <x:c r="B449" s="7" t="n"/>
      <x:c r="C449" s="7" t="n"/>
      <x:c r="D449" s="7" t="n"/>
      <x:c r="E449" s="7" t="n"/>
      <x:c r="F449" s="7" t="n"/>
      <x:c r="G449" s="7" t="n"/>
    </x:row>
    <x:row r="450">
      <x:c r="B450" s="7" t="n"/>
      <x:c r="C450" s="7" t="n"/>
      <x:c r="D450" s="7" t="n"/>
      <x:c r="E450" s="7" t="n"/>
      <x:c r="F450" s="7" t="n"/>
      <x:c r="G450" s="7" t="n"/>
    </x:row>
    <x:row r="451">
      <x:c r="B451" s="7" t="n"/>
      <x:c r="C451" s="7" t="n"/>
      <x:c r="D451" s="7" t="n"/>
      <x:c r="E451" s="7" t="n"/>
      <x:c r="F451" s="7" t="n"/>
      <x:c r="G451" s="7" t="n"/>
    </x:row>
    <x:row r="452">
      <x:c r="B452" s="7" t="n"/>
      <x:c r="C452" s="7" t="n"/>
      <x:c r="D452" s="7" t="n"/>
      <x:c r="E452" s="7" t="n"/>
      <x:c r="F452" s="7" t="n"/>
      <x:c r="G452" s="7" t="n"/>
    </x:row>
    <x:row r="453">
      <x:c r="B453" s="7" t="n"/>
      <x:c r="C453" s="7" t="n"/>
      <x:c r="D453" s="7" t="n"/>
      <x:c r="E453" s="7" t="n"/>
      <x:c r="F453" s="7" t="n"/>
      <x:c r="G453" s="7" t="n"/>
    </x:row>
    <x:row r="454">
      <x:c r="B454" s="7" t="n"/>
      <x:c r="C454" s="7" t="n"/>
      <x:c r="D454" s="7" t="n"/>
      <x:c r="E454" s="7" t="n"/>
      <x:c r="F454" s="7" t="n"/>
      <x:c r="G454" s="7" t="n"/>
    </x:row>
    <x:row r="455">
      <x:c r="B455" s="7" t="n"/>
      <x:c r="C455" s="7" t="n"/>
      <x:c r="D455" s="7" t="n"/>
      <x:c r="E455" s="7" t="n"/>
      <x:c r="F455" s="7" t="n"/>
      <x:c r="G455" s="7" t="n"/>
    </x:row>
    <x:row r="456">
      <x:c r="B456" s="7" t="n"/>
      <x:c r="C456" s="7" t="n"/>
      <x:c r="D456" s="7" t="n"/>
      <x:c r="E456" s="7" t="n"/>
      <x:c r="F456" s="7" t="n"/>
      <x:c r="G456" s="7" t="n"/>
    </x:row>
    <x:row r="457">
      <x:c r="B457" s="7" t="n"/>
      <x:c r="C457" s="7" t="n"/>
      <x:c r="D457" s="7" t="n"/>
      <x:c r="E457" s="7" t="n"/>
      <x:c r="F457" s="7" t="n"/>
      <x:c r="G457" s="7" t="n"/>
    </x:row>
    <x:row r="458">
      <x:c r="B458" s="7" t="n"/>
      <x:c r="C458" s="7" t="n"/>
      <x:c r="D458" s="7" t="n"/>
      <x:c r="E458" s="7" t="n"/>
      <x:c r="F458" s="7" t="n"/>
      <x:c r="G458" s="7" t="n"/>
    </x:row>
    <x:row r="459">
      <x:c r="B459" s="7" t="n"/>
      <x:c r="C459" s="7" t="n"/>
      <x:c r="D459" s="7" t="n"/>
      <x:c r="E459" s="7" t="n"/>
      <x:c r="F459" s="7" t="n"/>
      <x:c r="G459" s="7" t="n"/>
    </x:row>
    <x:row r="460">
      <x:c r="B460" s="7" t="n"/>
      <x:c r="C460" s="7" t="n"/>
      <x:c r="D460" s="7" t="n"/>
      <x:c r="E460" s="7" t="n"/>
      <x:c r="F460" s="7" t="n"/>
      <x:c r="G460" s="7" t="n"/>
    </x:row>
    <x:row r="461">
      <x:c r="B461" s="7" t="n"/>
      <x:c r="C461" s="7" t="n"/>
      <x:c r="D461" s="7" t="n"/>
      <x:c r="E461" s="7" t="n"/>
      <x:c r="F461" s="7" t="n"/>
      <x:c r="G461" s="7" t="n"/>
    </x:row>
    <x:row r="462">
      <x:c r="B462" s="7" t="n"/>
      <x:c r="C462" s="7" t="n"/>
      <x:c r="D462" s="7" t="n"/>
      <x:c r="E462" s="7" t="n"/>
      <x:c r="F462" s="7" t="n"/>
      <x:c r="G462" s="7" t="n"/>
    </x:row>
    <x:row r="463">
      <x:c r="B463" s="7" t="n"/>
      <x:c r="C463" s="7" t="n"/>
      <x:c r="D463" s="7" t="n"/>
      <x:c r="E463" s="7" t="n"/>
      <x:c r="F463" s="7" t="n"/>
      <x:c r="G463" s="7" t="n"/>
    </x:row>
    <x:row r="464">
      <x:c r="B464" s="7" t="n"/>
      <x:c r="C464" s="7" t="n"/>
      <x:c r="D464" s="7" t="n"/>
      <x:c r="E464" s="7" t="n"/>
      <x:c r="F464" s="7" t="n"/>
      <x:c r="G464" s="7" t="n"/>
    </x:row>
    <x:row r="465">
      <x:c r="B465" s="7" t="n"/>
      <x:c r="C465" s="7" t="n"/>
      <x:c r="D465" s="7" t="n"/>
      <x:c r="E465" s="7" t="n"/>
      <x:c r="F465" s="7" t="n"/>
      <x:c r="G465" s="7" t="n"/>
    </x:row>
    <x:row r="466">
      <x:c r="B466" s="7" t="n"/>
      <x:c r="C466" s="7" t="n"/>
      <x:c r="D466" s="7" t="n"/>
      <x:c r="E466" s="7" t="n"/>
      <x:c r="F466" s="7" t="n"/>
      <x:c r="G466" s="7" t="n"/>
    </x:row>
    <x:row r="467">
      <x:c r="B467" s="7" t="n"/>
      <x:c r="C467" s="7" t="n"/>
      <x:c r="D467" s="7" t="n"/>
      <x:c r="E467" s="7" t="n"/>
      <x:c r="F467" s="7" t="n"/>
      <x:c r="G467" s="7" t="n"/>
    </x:row>
    <x:row r="468">
      <x:c r="B468" s="7" t="n"/>
      <x:c r="C468" s="7" t="n"/>
      <x:c r="D468" s="7" t="n"/>
      <x:c r="E468" s="7" t="n"/>
      <x:c r="F468" s="7" t="n"/>
      <x:c r="G468" s="7" t="n"/>
    </x:row>
    <x:row r="469">
      <x:c r="B469" s="7" t="n"/>
      <x:c r="C469" s="7" t="n"/>
      <x:c r="D469" s="7" t="n"/>
      <x:c r="E469" s="7" t="n"/>
      <x:c r="F469" s="7" t="n"/>
      <x:c r="G469" s="7" t="n"/>
    </x:row>
    <x:row r="470">
      <x:c r="B470" s="7" t="n"/>
      <x:c r="C470" s="7" t="n"/>
      <x:c r="D470" s="7" t="n"/>
      <x:c r="E470" s="7" t="n"/>
      <x:c r="F470" s="7" t="n"/>
      <x:c r="G470" s="7" t="n"/>
    </x:row>
    <x:row r="471">
      <x:c r="B471" s="7" t="n"/>
      <x:c r="C471" s="7" t="n"/>
      <x:c r="D471" s="7" t="n"/>
      <x:c r="E471" s="7" t="n"/>
      <x:c r="F471" s="7" t="n"/>
      <x:c r="G471" s="7" t="n"/>
    </x:row>
    <x:row r="472">
      <x:c r="B472" s="7" t="n"/>
      <x:c r="C472" s="7" t="n"/>
      <x:c r="D472" s="7" t="n"/>
      <x:c r="E472" s="7" t="n"/>
      <x:c r="F472" s="7" t="n"/>
      <x:c r="G472" s="7" t="n"/>
    </x:row>
    <x:row r="473">
      <x:c r="B473" s="7" t="n"/>
      <x:c r="C473" s="7" t="n"/>
      <x:c r="D473" s="7" t="n"/>
      <x:c r="E473" s="7" t="n"/>
      <x:c r="F473" s="7" t="n"/>
      <x:c r="G473" s="7" t="n"/>
    </x:row>
    <x:row r="474">
      <x:c r="B474" s="7" t="n"/>
      <x:c r="C474" s="7" t="n"/>
      <x:c r="D474" s="7" t="n"/>
      <x:c r="E474" s="7" t="n"/>
      <x:c r="F474" s="7" t="n"/>
      <x:c r="G474" s="7" t="n"/>
    </x:row>
    <x:row r="475">
      <x:c r="B475" s="7" t="n"/>
      <x:c r="C475" s="7" t="n"/>
      <x:c r="D475" s="7" t="n"/>
      <x:c r="E475" s="7" t="n"/>
      <x:c r="F475" s="7" t="n"/>
      <x:c r="G475" s="7" t="n"/>
    </x:row>
    <x:row r="476">
      <x:c r="B476" s="7" t="n"/>
      <x:c r="C476" s="7" t="n"/>
      <x:c r="D476" s="7" t="n"/>
      <x:c r="E476" s="7" t="n"/>
      <x:c r="F476" s="7" t="n"/>
      <x:c r="G476" s="7" t="n"/>
    </x:row>
    <x:row r="477">
      <x:c r="B477" s="7" t="n"/>
      <x:c r="C477" s="7" t="n"/>
      <x:c r="D477" s="7" t="n"/>
      <x:c r="E477" s="7" t="n"/>
      <x:c r="F477" s="7" t="n"/>
      <x:c r="G477" s="7" t="n"/>
    </x:row>
    <x:row r="478">
      <x:c r="B478" s="7" t="n"/>
      <x:c r="C478" s="7" t="n"/>
      <x:c r="D478" s="7" t="n"/>
      <x:c r="E478" s="7" t="n"/>
      <x:c r="F478" s="7" t="n"/>
      <x:c r="G478" s="7" t="n"/>
    </x:row>
    <x:row r="479">
      <x:c r="B479" s="7" t="n"/>
      <x:c r="C479" s="7" t="n"/>
      <x:c r="D479" s="7" t="n"/>
      <x:c r="E479" s="7" t="n"/>
      <x:c r="F479" s="7" t="n"/>
      <x:c r="G479" s="7" t="n"/>
    </x:row>
    <x:row r="480">
      <x:c r="B480" s="7" t="n"/>
      <x:c r="C480" s="7" t="n"/>
      <x:c r="D480" s="7" t="n"/>
      <x:c r="E480" s="7" t="n"/>
      <x:c r="F480" s="7" t="n"/>
      <x:c r="G480" s="7" t="n"/>
    </x:row>
    <x:row r="481">
      <x:c r="B481" s="7" t="n"/>
      <x:c r="C481" s="7" t="n"/>
      <x:c r="D481" s="7" t="n"/>
      <x:c r="E481" s="7" t="n"/>
      <x:c r="F481" s="7" t="n"/>
      <x:c r="G481" s="7" t="n"/>
    </x:row>
    <x:row r="482">
      <x:c r="B482" s="7" t="n"/>
      <x:c r="C482" s="7" t="n"/>
      <x:c r="D482" s="7" t="n"/>
      <x:c r="E482" s="7" t="n"/>
      <x:c r="F482" s="7" t="n"/>
      <x:c r="G482" s="7" t="n"/>
    </x:row>
    <x:row r="483">
      <x:c r="B483" s="7" t="n"/>
      <x:c r="C483" s="7" t="n"/>
      <x:c r="D483" s="7" t="n"/>
      <x:c r="E483" s="7" t="n"/>
      <x:c r="F483" s="7" t="n"/>
      <x:c r="G483" s="7" t="n"/>
    </x:row>
    <x:row r="484">
      <x:c r="B484" s="7" t="n"/>
      <x:c r="C484" s="7" t="n"/>
      <x:c r="D484" s="7" t="n"/>
      <x:c r="E484" s="7" t="n"/>
      <x:c r="F484" s="7" t="n"/>
      <x:c r="G484" s="7" t="n"/>
    </x:row>
    <x:row r="485">
      <x:c r="B485" s="7" t="n"/>
      <x:c r="C485" s="7" t="n"/>
      <x:c r="D485" s="7" t="n"/>
      <x:c r="E485" s="7" t="n"/>
      <x:c r="F485" s="7" t="n"/>
      <x:c r="G485" s="7" t="n"/>
    </x:row>
    <x:row r="486">
      <x:c r="B486" s="7" t="n"/>
      <x:c r="C486" s="7" t="n"/>
      <x:c r="D486" s="7" t="n"/>
      <x:c r="E486" s="7" t="n"/>
      <x:c r="F486" s="7" t="n"/>
      <x:c r="G486" s="7" t="n"/>
    </x:row>
    <x:row r="487">
      <x:c r="B487" s="7" t="n"/>
      <x:c r="C487" s="7" t="n"/>
      <x:c r="D487" s="7" t="n"/>
      <x:c r="E487" s="7" t="n"/>
      <x:c r="F487" s="7" t="n"/>
      <x:c r="G487" s="7" t="n"/>
    </x:row>
    <x:row r="488">
      <x:c r="B488" s="7" t="n"/>
      <x:c r="C488" s="7" t="n"/>
      <x:c r="D488" s="7" t="n"/>
      <x:c r="E488" s="7" t="n"/>
      <x:c r="F488" s="7" t="n"/>
      <x:c r="G488" s="7" t="n"/>
    </x:row>
    <x:row r="489">
      <x:c r="B489" s="7" t="n"/>
      <x:c r="C489" s="7" t="n"/>
      <x:c r="D489" s="7" t="n"/>
      <x:c r="E489" s="7" t="n"/>
      <x:c r="F489" s="7" t="n"/>
      <x:c r="G489" s="7" t="n"/>
    </x:row>
    <x:row r="490">
      <x:c r="B490" s="7" t="n"/>
      <x:c r="C490" s="7" t="n"/>
      <x:c r="D490" s="7" t="n"/>
      <x:c r="E490" s="7" t="n"/>
      <x:c r="F490" s="7" t="n"/>
      <x:c r="G490" s="7" t="n"/>
    </x:row>
    <x:row r="491">
      <x:c r="B491" s="7" t="n"/>
      <x:c r="C491" s="7" t="n"/>
      <x:c r="D491" s="7" t="n"/>
      <x:c r="E491" s="7" t="n"/>
      <x:c r="F491" s="7" t="n"/>
      <x:c r="G491" s="7" t="n"/>
    </x:row>
    <x:row r="492">
      <x:c r="B492" s="7" t="n"/>
      <x:c r="C492" s="7" t="n"/>
      <x:c r="D492" s="7" t="n"/>
      <x:c r="E492" s="7" t="n"/>
      <x:c r="F492" s="7" t="n"/>
      <x:c r="G492" s="7" t="n"/>
    </x:row>
    <x:row r="493">
      <x:c r="B493" s="7" t="n"/>
      <x:c r="C493" s="7" t="n"/>
      <x:c r="D493" s="7" t="n"/>
      <x:c r="E493" s="7" t="n"/>
      <x:c r="F493" s="7" t="n"/>
      <x:c r="G493" s="7" t="n"/>
    </x:row>
    <x:row r="494">
      <x:c r="B494" s="7" t="n"/>
      <x:c r="C494" s="7" t="n"/>
      <x:c r="D494" s="7" t="n"/>
      <x:c r="E494" s="7" t="n"/>
      <x:c r="F494" s="7" t="n"/>
      <x:c r="G494" s="7" t="n"/>
    </x:row>
    <x:row r="495">
      <x:c r="B495" s="7" t="n"/>
      <x:c r="C495" s="7" t="n"/>
      <x:c r="D495" s="7" t="n"/>
      <x:c r="E495" s="7" t="n"/>
      <x:c r="F495" s="7" t="n"/>
      <x:c r="G495" s="7" t="n"/>
    </x:row>
    <x:row r="496">
      <x:c r="B496" s="7" t="n"/>
      <x:c r="C496" s="7" t="n"/>
      <x:c r="D496" s="7" t="n"/>
      <x:c r="E496" s="7" t="n"/>
      <x:c r="F496" s="7" t="n"/>
      <x:c r="G496" s="7" t="n"/>
    </x:row>
    <x:row r="497">
      <x:c r="B497" s="7" t="n"/>
      <x:c r="C497" s="7" t="n"/>
      <x:c r="D497" s="7" t="n"/>
      <x:c r="E497" s="7" t="n"/>
      <x:c r="F497" s="7" t="n"/>
      <x:c r="G497" s="7" t="n"/>
    </x:row>
    <x:row r="498">
      <x:c r="B498" s="7" t="n"/>
      <x:c r="C498" s="7" t="n"/>
      <x:c r="D498" s="7" t="n"/>
      <x:c r="E498" s="7" t="n"/>
      <x:c r="F498" s="7" t="n"/>
      <x:c r="G498" s="7" t="n"/>
    </x:row>
    <x:row r="499">
      <x:c r="B499" s="7" t="n"/>
      <x:c r="C499" s="7" t="n"/>
      <x:c r="D499" s="7" t="n"/>
      <x:c r="E499" s="7" t="n"/>
      <x:c r="F499" s="7" t="n"/>
      <x:c r="G499" s="7" t="n"/>
    </x:row>
    <x:row r="500">
      <x:c r="B500" s="7" t="n"/>
      <x:c r="C500" s="7" t="n"/>
      <x:c r="D500" s="7" t="n"/>
      <x:c r="E500" s="7" t="n"/>
      <x:c r="F500" s="7" t="n"/>
      <x:c r="G500" s="7" t="n"/>
    </x:row>
  </x:sheetData>
  <x:pageMargins left="0.7" right="0.7" top="0.75" bottom="0.75" header="0.3" footer="0.3"/>
  <x:drawing xmlns:r="http://schemas.openxmlformats.org/officeDocument/2006/relationships" r:id="R7dcfbd1856ff40e8"/>
  <x:tableParts count="1">
    <x:tablePart xmlns:r="http://schemas.openxmlformats.org/officeDocument/2006/relationships" r:id="Rea4838bab5cd49bb"/>
  </x:tableParts>
</x:worksheet>
</file>

<file path=xl/worksheets/sheet14.xml><?xml version="1.0" encoding="utf-8"?>
<x:worksheet xmlns:x="http://schemas.openxmlformats.org/spreadsheetml/2006/main">
  <x:sheetFormatPr baseColWidth="8" defaultRowHeight="14.25"/>
  <x:cols>
    <x:col min="1" max="10" width="19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Risco</x:t>
        </x:is>
      </x:c>
      <x:c r="C1" s="4" t="inlineStr">
        <x:is>
          <x:t xml:space="preserve">Área</x:t>
        </x:is>
      </x:c>
      <x:c r="D1" s="4" t="inlineStr">
        <x:is>
          <x:t xml:space="preserve">Cidade/UF</x:t>
        </x:is>
      </x:c>
      <x:c r="E1" s="4" t="inlineStr">
        <x:is>
          <x:t xml:space="preserve">Probabilidade</x:t>
        </x:is>
      </x:c>
      <x:c r="F1" s="4" t="inlineStr">
        <x:is>
          <x:t xml:space="preserve">Impacto</x:t>
        </x:is>
      </x:c>
      <x:c r="G1" s="4" t="inlineStr">
        <x:is>
          <x:t xml:space="preserve">Nível</x:t>
        </x:is>
      </x:c>
      <x:c r="H1" s="4" t="inlineStr">
        <x:is>
          <x:t xml:space="preserve">Responsável</x:t>
        </x:is>
      </x:c>
      <x:c r="I1" s="4" t="inlineStr">
        <x:is>
          <x:t xml:space="preserve">Plano de Mitigação</x:t>
        </x:is>
      </x:c>
      <x:c r="J1" s="4" t="inlineStr">
        <x:is>
          <x:t xml:space="preserve">Status</x:t>
        </x:is>
      </x:c>
    </x:row>
    <x:row r="2">
      <x:c r="A2" s="23" t="inlineStr">
        <x:is>
          <x:t xml:space="preserve">RSK-001</x:t>
        </x:is>
      </x:c>
      <x:c r="B2" s="23" t="inlineStr">
        <x:is>
          <x:t xml:space="preserve">Atraso em obra</x:t>
        </x:is>
      </x:c>
      <x:c r="C2" s="23" t="inlineStr">
        <x:is>
          <x:t xml:space="preserve">Infraestrutura</x:t>
        </x:is>
      </x:c>
      <x:c r="D2" s="23" t="inlineStr">
        <x:is>
          <x:t xml:space="preserve">São Paulo/SP</x:t>
        </x:is>
      </x:c>
      <x:c r="E2" s="23" t="inlineStr">
        <x:is>
          <x:t xml:space="preserve">Alta</x:t>
        </x:is>
      </x:c>
      <x:c r="F2" s="23" t="inlineStr">
        <x:is>
          <x:t xml:space="preserve">Alto</x:t>
        </x:is>
      </x:c>
      <x:c r="G2" s="23" t="inlineStr">
        <x:is>
          <x:t xml:space="preserve">Crítico</x:t>
        </x:is>
      </x:c>
      <x:c r="H2" s="23" t="inlineStr">
        <x:is>
          <x:t xml:space="preserve">Gestor local</x:t>
        </x:is>
      </x:c>
      <x:c r="I2" s="23" t="inlineStr">
        <x:is>
          <x:t xml:space="preserve">Plano de contingência</x:t>
        </x:is>
      </x:c>
      <x:c r="J2" s="23" t="inlineStr">
        <x:is>
          <x:t xml:space="preserve">Aberto</x:t>
        </x:is>
      </x:c>
    </x:row>
    <x:row r="3">
      <x:c r="A3" s="23" t="inlineStr">
        <x:is>
          <x:t xml:space="preserve">RSK-002</x:t>
        </x:is>
      </x:c>
      <x:c r="B3" s="23" t="inlineStr">
        <x:is>
          <x:t xml:space="preserve">Baixa adesão voluntária</x:t>
        </x:is>
      </x:c>
      <x:c r="C3" s="23" t="inlineStr">
        <x:is>
          <x:t xml:space="preserve">Voluntariado</x:t>
        </x:is>
      </x:c>
      <x:c r="D3" s="23" t="inlineStr">
        <x:is>
          <x:t xml:space="preserve">Recife/PE</x:t>
        </x:is>
      </x:c>
      <x:c r="E3" s="23" t="inlineStr">
        <x:is>
          <x:t xml:space="preserve">Média</x:t>
        </x:is>
      </x:c>
      <x:c r="F3" s="23" t="inlineStr">
        <x:is>
          <x:t xml:space="preserve">Médio</x:t>
        </x:is>
      </x:c>
      <x:c r="G3" s="23" t="inlineStr">
        <x:is>
          <x:t xml:space="preserve">Médio</x:t>
        </x:is>
      </x:c>
      <x:c r="H3" s="23" t="inlineStr">
        <x:is>
          <x:t xml:space="preserve">Coordenação</x:t>
        </x:is>
      </x:c>
      <x:c r="I3" s="23" t="inlineStr">
        <x:is>
          <x:t xml:space="preserve">Campanha de recrutamento</x:t>
        </x:is>
      </x:c>
      <x:c r="J3" s="23" t="inlineStr">
        <x:is>
          <x:t xml:space="preserve">Aberto</x:t>
        </x:is>
      </x:c>
    </x:row>
    <x:row r="4">
      <x:c r="A4" s="23" t="inlineStr">
        <x:is>
          <x:t xml:space="preserve">RSK-003</x:t>
        </x:is>
      </x:c>
      <x:c r="B4" s="23" t="inlineStr">
        <x:is>
          <x:t xml:space="preserve">Evento sem licença</x:t>
        </x:is>
      </x:c>
      <x:c r="C4" s="23" t="inlineStr">
        <x:is>
          <x:t xml:space="preserve">Operação</x:t>
        </x:is>
      </x:c>
      <x:c r="D4" s="23" t="inlineStr">
        <x:is>
          <x:t xml:space="preserve">Rio de Janeiro/RJ</x:t>
        </x:is>
      </x:c>
      <x:c r="E4" s="23" t="inlineStr">
        <x:is>
          <x:t xml:space="preserve">Baixa</x:t>
        </x:is>
      </x:c>
      <x:c r="F4" s="23" t="inlineStr">
        <x:is>
          <x:t xml:space="preserve">Alto</x:t>
        </x:is>
      </x:c>
      <x:c r="G4" s="23" t="inlineStr">
        <x:is>
          <x:t xml:space="preserve">Alto</x:t>
        </x:is>
      </x:c>
      <x:c r="H4" s="23" t="inlineStr">
        <x:is>
          <x:t xml:space="preserve">Produção</x:t>
        </x:is>
      </x:c>
      <x:c r="I4" s="23" t="inlineStr">
        <x:is>
          <x:t xml:space="preserve">Checklist legal</x:t>
        </x:is>
      </x:c>
      <x:c r="J4" s="23" t="inlineStr">
        <x:is>
          <x:t xml:space="preserve">Monitorado</x:t>
        </x:is>
      </x:c>
    </x:row>
    <x:row r="5">
      <x:c r="A5" s="23" t="inlineStr">
        <x:is>
          <x:t xml:space="preserve">RSK-004</x:t>
        </x:is>
      </x:c>
      <x:c r="B5" s="23" t="inlineStr">
        <x:is>
          <x:t xml:space="preserve">Cobertura negativa</x:t>
        </x:is>
      </x:c>
      <x:c r="C5" s="23" t="inlineStr">
        <x:is>
          <x:t xml:space="preserve">Comunicação</x:t>
        </x:is>
      </x:c>
      <x:c r="D5" s="23" t="inlineStr">
        <x:is>
          <x:t xml:space="preserve">Brasil</x:t>
        </x:is>
      </x:c>
      <x:c r="E5" s="23" t="inlineStr">
        <x:is>
          <x:t xml:space="preserve">Média</x:t>
        </x:is>
      </x:c>
      <x:c r="F5" s="23" t="inlineStr">
        <x:is>
          <x:t xml:space="preserve">Médio</x:t>
        </x:is>
      </x:c>
      <x:c r="G5" s="23" t="inlineStr">
        <x:is>
          <x:t xml:space="preserve">Médio</x:t>
        </x:is>
      </x:c>
      <x:c r="H5" s="23" t="inlineStr">
        <x:is>
          <x:t xml:space="preserve">Imprensa</x:t>
        </x:is>
      </x:c>
      <x:c r="I5" s="23" t="inlineStr">
        <x:is>
          <x:t xml:space="preserve">Plano de resposta</x:t>
        </x:is>
      </x:c>
      <x:c r="J5" s="23" t="inlineStr">
        <x:is>
          <x:t xml:space="preserve">Monitorado</x:t>
        </x:is>
      </x:c>
    </x:row>
  </x:sheetData>
  <x:conditionalFormatting sqref="G2:G500">
    <x:cfRule type="expression" dxfId="0" priority="1">
      <x:formula>G2="Crítico"</x:formula>
    </x:cfRule>
  </x:conditionalFormatting>
  <x:dataValidations count="3">
    <x:dataValidation type="list" allowBlank="0" showDropDown="0" showInputMessage="0" showErrorMessage="0" sqref="E2:E500">
      <x:formula1>"Baixa,Média,Alta"</x:formula1>
    </x:dataValidation>
    <x:dataValidation type="list" allowBlank="0" showDropDown="0" showInputMessage="0" showErrorMessage="0" sqref="F2:G500">
      <x:formula1>"Baixo,Médio,Alto,Crítico"</x:formula1>
    </x:dataValidation>
    <x:dataValidation type="list" allowBlank="0" showDropDown="0" showInputMessage="0" showErrorMessage="0" sqref="J2:J500">
      <x:formula1>"Aberto,Monitorado,Mitigado,Encerrado"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85f45b154254ad8"/>
  </x:tableParts>
</x:worksheet>
</file>

<file path=xl/worksheets/sheet15.xml><?xml version="1.0" encoding="utf-8"?>
<x:worksheet xmlns:x="http://schemas.openxmlformats.org/spreadsheetml/2006/main">
  <x:sheetFormatPr baseColWidth="8" defaultRowHeight="14.25"/>
  <x:cols>
    <x:col min="1" max="4" width="22" style="1" customWidth="1"/>
  </x:cols>
  <x:sheetData>
    <x:row r="1" s="1" customFormat="1" ht="24" customHeight="1">
      <x:c r="A1" s="4" t="inlineStr">
        <x:is>
          <x:t xml:space="preserve">UF</x:t>
        </x:is>
      </x:c>
      <x:c r="B1" s="4" t="inlineStr">
        <x:is>
          <x:t xml:space="preserve">Região</x:t>
        </x:is>
      </x:c>
      <x:c r="C1" s="4" t="inlineStr">
        <x:is>
          <x:t xml:space="preserve">Status Evento</x:t>
        </x:is>
      </x:c>
      <x:c r="D1" s="4" t="inlineStr">
        <x:is>
          <x:t xml:space="preserve">Categoria</x:t>
        </x:is>
      </x:c>
    </x:row>
    <x:row r="2">
      <x:c r="A2" s="23" t="inlineStr">
        <x:is>
          <x:t xml:space="preserve">AC</x:t>
        </x:is>
      </x:c>
      <x:c r="B2" s="23" t="inlineStr">
        <x:is>
          <x:t xml:space="preserve">Norte</x:t>
        </x:is>
      </x:c>
      <x:c r="C2" s="23" t="inlineStr">
        <x:is>
          <x:t xml:space="preserve">Planejado</x:t>
        </x:is>
      </x:c>
      <x:c r="D2" s="23" t="inlineStr">
        <x:is>
          <x:t xml:space="preserve">Fan Fest</x:t>
        </x:is>
      </x:c>
    </x:row>
    <x:row r="3">
      <x:c r="A3" s="23" t="inlineStr">
        <x:is>
          <x:t xml:space="preserve">AL</x:t>
        </x:is>
      </x:c>
      <x:c r="B3" s="23" t="inlineStr">
        <x:is>
          <x:t xml:space="preserve">Nordeste</x:t>
        </x:is>
      </x:c>
      <x:c r="C3" s="23" t="inlineStr">
        <x:is>
          <x:t xml:space="preserve">Confirmado</x:t>
        </x:is>
      </x:c>
      <x:c r="D3" s="23" t="inlineStr">
        <x:is>
          <x:t xml:space="preserve">Workshop</x:t>
        </x:is>
      </x:c>
    </x:row>
    <x:row r="4">
      <x:c r="A4" s="23" t="inlineStr">
        <x:is>
          <x:t xml:space="preserve">AP</x:t>
        </x:is>
      </x:c>
      <x:c r="B4" s="23" t="inlineStr">
        <x:is>
          <x:t xml:space="preserve">Norte</x:t>
        </x:is>
      </x:c>
      <x:c r="C4" s="23" t="inlineStr">
        <x:is>
          <x:t xml:space="preserve">Em execução</x:t>
        </x:is>
      </x:c>
      <x:c r="D4" s="23" t="inlineStr">
        <x:is>
          <x:t xml:space="preserve">Clínica esportiva</x:t>
        </x:is>
      </x:c>
    </x:row>
    <x:row r="5">
      <x:c r="A5" s="23" t="inlineStr">
        <x:is>
          <x:t xml:space="preserve">AM</x:t>
        </x:is>
      </x:c>
      <x:c r="B5" s="23" t="inlineStr">
        <x:is>
          <x:t xml:space="preserve">Norte</x:t>
        </x:is>
      </x:c>
      <x:c r="C5" s="23" t="inlineStr">
        <x:is>
          <x:t xml:space="preserve">Realizado</x:t>
        </x:is>
      </x:c>
      <x:c r="D5" s="23" t="inlineStr">
        <x:is>
          <x:t xml:space="preserve">Seminário</x:t>
        </x:is>
      </x:c>
    </x:row>
    <x:row r="6">
      <x:c r="A6" s="23" t="inlineStr">
        <x:is>
          <x:t xml:space="preserve">BA</x:t>
        </x:is>
      </x:c>
      <x:c r="B6" s="23" t="inlineStr">
        <x:is>
          <x:t xml:space="preserve">Nordeste</x:t>
        </x:is>
      </x:c>
      <x:c r="C6" s="23" t="inlineStr">
        <x:is>
          <x:t xml:space="preserve">Cancelado</x:t>
        </x:is>
      </x:c>
      <x:c r="D6" s="23" t="inlineStr">
        <x:is>
          <x:t xml:space="preserve">Ativação patrocinador</x:t>
        </x:is>
      </x:c>
    </x:row>
    <x:row r="7">
      <x:c r="A7" s="23" t="inlineStr">
        <x:is>
          <x:t xml:space="preserve">CE</x:t>
        </x:is>
      </x:c>
      <x:c r="B7" s="23" t="inlineStr">
        <x:is>
          <x:t xml:space="preserve">Nordeste</x:t>
        </x:is>
      </x:c>
      <x:c r="C7" s="23" t="n"/>
      <x:c r="D7" s="23" t="inlineStr">
        <x:is>
          <x:t xml:space="preserve">Legado</x:t>
        </x:is>
      </x:c>
    </x:row>
    <x:row r="8">
      <x:c r="A8" s="23" t="inlineStr">
        <x:is>
          <x:t xml:space="preserve">DF</x:t>
        </x:is>
      </x:c>
      <x:c r="B8" s="23" t="inlineStr">
        <x:is>
          <x:t xml:space="preserve">Centro-Oeste</x:t>
        </x:is>
      </x:c>
      <x:c r="C8" s="23" t="n"/>
      <x:c r="D8" s="23" t="inlineStr">
        <x:is>
          <x:t xml:space="preserve">Outro</x:t>
        </x:is>
      </x:c>
    </x:row>
    <x:row r="9">
      <x:c r="A9" s="23" t="inlineStr">
        <x:is>
          <x:t xml:space="preserve">ES</x:t>
        </x:is>
      </x:c>
      <x:c r="B9" s="23" t="inlineStr">
        <x:is>
          <x:t xml:space="preserve">Sudeste</x:t>
        </x:is>
      </x:c>
      <x:c r="C9" s="23" t="n"/>
      <x:c r="D9" s="23" t="n"/>
    </x:row>
    <x:row r="10">
      <x:c r="A10" s="23" t="inlineStr">
        <x:is>
          <x:t xml:space="preserve">GO</x:t>
        </x:is>
      </x:c>
      <x:c r="B10" s="23" t="inlineStr">
        <x:is>
          <x:t xml:space="preserve">Centro-Oeste</x:t>
        </x:is>
      </x:c>
      <x:c r="C10" s="23" t="n"/>
      <x:c r="D10" s="23" t="n"/>
    </x:row>
    <x:row r="11">
      <x:c r="A11" s="23" t="inlineStr">
        <x:is>
          <x:t xml:space="preserve">MA</x:t>
        </x:is>
      </x:c>
      <x:c r="B11" s="23" t="inlineStr">
        <x:is>
          <x:t xml:space="preserve">Nordeste</x:t>
        </x:is>
      </x:c>
      <x:c r="C11" s="23" t="n"/>
      <x:c r="D11" s="23" t="n"/>
    </x:row>
    <x:row r="12">
      <x:c r="A12" s="23" t="inlineStr">
        <x:is>
          <x:t xml:space="preserve">MT</x:t>
        </x:is>
      </x:c>
      <x:c r="B12" s="23" t="inlineStr">
        <x:is>
          <x:t xml:space="preserve">Centro-Oeste</x:t>
        </x:is>
      </x:c>
      <x:c r="C12" s="23" t="n"/>
      <x:c r="D12" s="23" t="n"/>
    </x:row>
    <x:row r="13">
      <x:c r="A13" s="23" t="inlineStr">
        <x:is>
          <x:t xml:space="preserve">MS</x:t>
        </x:is>
      </x:c>
      <x:c r="B13" s="23" t="inlineStr">
        <x:is>
          <x:t xml:space="preserve">Centro-Oeste</x:t>
        </x:is>
      </x:c>
      <x:c r="C13" s="23" t="n"/>
      <x:c r="D13" s="23" t="n"/>
    </x:row>
    <x:row r="14">
      <x:c r="A14" s="23" t="inlineStr">
        <x:is>
          <x:t xml:space="preserve">MG</x:t>
        </x:is>
      </x:c>
      <x:c r="B14" s="23" t="inlineStr">
        <x:is>
          <x:t xml:space="preserve">Sudeste</x:t>
        </x:is>
      </x:c>
      <x:c r="C14" s="23" t="n"/>
      <x:c r="D14" s="23" t="n"/>
    </x:row>
    <x:row r="15">
      <x:c r="A15" s="23" t="inlineStr">
        <x:is>
          <x:t xml:space="preserve">PA</x:t>
        </x:is>
      </x:c>
      <x:c r="B15" s="23" t="inlineStr">
        <x:is>
          <x:t xml:space="preserve">Norte</x:t>
        </x:is>
      </x:c>
      <x:c r="C15" s="23" t="n"/>
      <x:c r="D15" s="23" t="n"/>
    </x:row>
    <x:row r="16">
      <x:c r="A16" s="23" t="inlineStr">
        <x:is>
          <x:t xml:space="preserve">PB</x:t>
        </x:is>
      </x:c>
      <x:c r="B16" s="23" t="inlineStr">
        <x:is>
          <x:t xml:space="preserve">Nordeste</x:t>
        </x:is>
      </x:c>
      <x:c r="C16" s="23" t="n"/>
      <x:c r="D16" s="23" t="n"/>
    </x:row>
    <x:row r="17">
      <x:c r="A17" s="23" t="inlineStr">
        <x:is>
          <x:t xml:space="preserve">PR</x:t>
        </x:is>
      </x:c>
      <x:c r="B17" s="23" t="inlineStr">
        <x:is>
          <x:t xml:space="preserve">Sul</x:t>
        </x:is>
      </x:c>
    </x:row>
    <x:row r="18">
      <x:c r="A18" s="23" t="inlineStr">
        <x:is>
          <x:t xml:space="preserve">PE</x:t>
        </x:is>
      </x:c>
      <x:c r="B18" s="23" t="inlineStr">
        <x:is>
          <x:t xml:space="preserve">Nordeste</x:t>
        </x:is>
      </x:c>
    </x:row>
    <x:row r="19">
      <x:c r="A19" s="23" t="inlineStr">
        <x:is>
          <x:t xml:space="preserve">PI</x:t>
        </x:is>
      </x:c>
      <x:c r="B19" s="23" t="inlineStr">
        <x:is>
          <x:t xml:space="preserve">Nordeste</x:t>
        </x:is>
      </x:c>
    </x:row>
    <x:row r="20">
      <x:c r="A20" s="23" t="inlineStr">
        <x:is>
          <x:t xml:space="preserve">RJ</x:t>
        </x:is>
      </x:c>
      <x:c r="B20" s="23" t="inlineStr">
        <x:is>
          <x:t xml:space="preserve">Sudeste</x:t>
        </x:is>
      </x:c>
    </x:row>
    <x:row r="21">
      <x:c r="A21" s="23" t="inlineStr">
        <x:is>
          <x:t xml:space="preserve">RN</x:t>
        </x:is>
      </x:c>
      <x:c r="B21" s="23" t="inlineStr">
        <x:is>
          <x:t xml:space="preserve">Nordeste</x:t>
        </x:is>
      </x:c>
    </x:row>
    <x:row r="22">
      <x:c r="A22" s="23" t="inlineStr">
        <x:is>
          <x:t xml:space="preserve">RS</x:t>
        </x:is>
      </x:c>
      <x:c r="B22" s="23" t="inlineStr">
        <x:is>
          <x:t xml:space="preserve">Sul</x:t>
        </x:is>
      </x:c>
    </x:row>
    <x:row r="23">
      <x:c r="A23" s="23" t="inlineStr">
        <x:is>
          <x:t xml:space="preserve">RO</x:t>
        </x:is>
      </x:c>
      <x:c r="B23" s="23" t="inlineStr">
        <x:is>
          <x:t xml:space="preserve">Norte</x:t>
        </x:is>
      </x:c>
    </x:row>
    <x:row r="24">
      <x:c r="A24" s="23" t="inlineStr">
        <x:is>
          <x:t xml:space="preserve">RR</x:t>
        </x:is>
      </x:c>
      <x:c r="B24" s="23" t="inlineStr">
        <x:is>
          <x:t xml:space="preserve">Norte</x:t>
        </x:is>
      </x:c>
    </x:row>
    <x:row r="25">
      <x:c r="A25" s="23" t="inlineStr">
        <x:is>
          <x:t xml:space="preserve">SC</x:t>
        </x:is>
      </x:c>
      <x:c r="B25" s="23" t="inlineStr">
        <x:is>
          <x:t xml:space="preserve">Sul</x:t>
        </x:is>
      </x:c>
    </x:row>
    <x:row r="26">
      <x:c r="A26" s="23" t="inlineStr">
        <x:is>
          <x:t xml:space="preserve">SP</x:t>
        </x:is>
      </x:c>
      <x:c r="B26" s="23" t="inlineStr">
        <x:is>
          <x:t xml:space="preserve">Sudeste</x:t>
        </x:is>
      </x:c>
    </x:row>
    <x:row r="27">
      <x:c r="A27" s="23" t="inlineStr">
        <x:is>
          <x:t xml:space="preserve">SE</x:t>
        </x:is>
      </x:c>
      <x:c r="B27" s="23" t="inlineStr">
        <x:is>
          <x:t xml:space="preserve">Nordeste</x:t>
        </x:is>
      </x:c>
    </x:row>
    <x:row r="28">
      <x:c r="A28" s="23" t="inlineStr">
        <x:is>
          <x:t xml:space="preserve">TO</x:t>
        </x:is>
      </x:c>
      <x:c r="B28" s="23" t="inlineStr">
        <x:is>
          <x:t xml:space="preserve">Norte</x:t>
        </x:is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4.25"/>
  <x:cols>
    <x:col min="1" max="1" width="26" style="1" customWidth="1"/>
    <x:col min="2" max="2" width="42" style="1" customWidth="1"/>
    <x:col min="3" max="5" width="26" style="1" customWidth="1"/>
    <x:col min="6" max="6" width="34" style="1" customWidth="1"/>
  </x:cols>
  <x:sheetData>
    <x:row r="1" s="1" customFormat="1" ht="24" customHeight="1">
      <x:c r="A1" s="26" t="inlineStr">
        <x:is>
          <x:t xml:space="preserve">MANUAL RÁPIDO | RADAR BRASIL 2027 V5</x:t>
        </x:is>
      </x:c>
      <x:c r="B1" s="23" t="n"/>
      <x:c r="C1" s="23" t="n"/>
      <x:c r="D1" s="23" t="n"/>
      <x:c r="E1" s="23" t="n"/>
      <x:c r="F1" s="23" t="n"/>
    </x:row>
    <x:row r="2">
      <x:c r="A2" s="23" t="n"/>
      <x:c r="B2" s="23" t="n"/>
      <x:c r="C2" s="23" t="n"/>
      <x:c r="D2" s="23" t="n"/>
      <x:c r="E2" s="23" t="n"/>
      <x:c r="F2" s="23" t="n"/>
    </x:row>
    <x:row r="4" s="1" customFormat="1" ht="15" customHeight="1">
      <x:c r="A4" s="4" t="inlineStr">
        <x:is>
          <x:t xml:space="preserve">Etapa</x:t>
        </x:is>
      </x:c>
      <x:c r="B4" s="4" t="inlineStr">
        <x:is>
          <x:t xml:space="preserve">O que fazer</x:t>
        </x:is>
      </x:c>
      <x:c r="C4" s="4" t="inlineStr">
        <x:is>
          <x:t xml:space="preserve">Aba principal</x:t>
        </x:is>
      </x:c>
      <x:c r="D4" s="4" t="inlineStr">
        <x:is>
          <x:t xml:space="preserve">Periodicidade</x:t>
        </x:is>
      </x:c>
      <x:c r="E4" s="4" t="inlineStr">
        <x:is>
          <x:t xml:space="preserve">Responsável</x:t>
        </x:is>
      </x:c>
      <x:c r="F4" s="4" t="inlineStr">
        <x:is>
          <x:t xml:space="preserve">Observação</x:t>
        </x:is>
      </x:c>
    </x:row>
    <x:row r="5">
      <x:c r="A5" s="23" t="inlineStr">
        <x:is>
          <x:t xml:space="preserve">1</x:t>
        </x:is>
      </x:c>
      <x:c r="B5" s="23" t="inlineStr">
        <x:is>
          <x:t xml:space="preserve">Cadastrar ou atualizar eventos</x:t>
        </x:is>
      </x:c>
      <x:c r="C5" s="23" t="inlineStr">
        <x:is>
          <x:t xml:space="preserve">02_Eventos</x:t>
        </x:is>
      </x:c>
      <x:c r="D5" s="23" t="inlineStr">
        <x:is>
          <x:t xml:space="preserve">Semanal</x:t>
        </x:is>
      </x:c>
      <x:c r="E5" s="23" t="inlineStr">
        <x:is>
          <x:t xml:space="preserve">Equipe de inteligência</x:t>
        </x:is>
      </x:c>
      <x:c r="F5" s="23" t="inlineStr">
        <x:is>
          <x:t xml:space="preserve">Preencher links e coordenadas</x:t>
        </x:is>
      </x:c>
    </x:row>
    <x:row r="6">
      <x:c r="A6" s="23" t="inlineStr">
        <x:is>
          <x:t xml:space="preserve">2</x:t>
        </x:is>
      </x:c>
      <x:c r="B6" s="23" t="inlineStr">
        <x:is>
          <x:t xml:space="preserve">Revisar agenda futura</x:t>
        </x:is>
      </x:c>
      <x:c r="C6" s="23" t="inlineStr">
        <x:is>
          <x:t xml:space="preserve">03_Agenda</x:t>
        </x:is>
      </x:c>
      <x:c r="D6" s="23" t="inlineStr">
        <x:is>
          <x:t xml:space="preserve">Semanal</x:t>
        </x:is>
      </x:c>
      <x:c r="E6" s="23" t="inlineStr">
        <x:is>
          <x:t xml:space="preserve">Coordenação</x:t>
        </x:is>
      </x:c>
      <x:c r="F6" s="23" t="inlineStr">
        <x:is>
          <x:t xml:space="preserve">Alimentada automaticamente</x:t>
        </x:is>
      </x:c>
    </x:row>
    <x:row r="7">
      <x:c r="A7" s="23" t="inlineStr">
        <x:is>
          <x:t xml:space="preserve">3</x:t>
        </x:is>
      </x:c>
      <x:c r="B7" s="23" t="inlineStr">
        <x:is>
          <x:t xml:space="preserve">Atualizar indicadores IAC e INP</x:t>
        </x:is>
      </x:c>
      <x:c r="C7" s="23" t="inlineStr">
        <x:is>
          <x:t xml:space="preserve">04_Radar_IAC / 05_Radar_INP</x:t>
        </x:is>
      </x:c>
      <x:c r="D7" s="23" t="inlineStr">
        <x:is>
          <x:t xml:space="preserve">Mensal</x:t>
        </x:is>
      </x:c>
      <x:c r="E7" s="23" t="inlineStr">
        <x:is>
          <x:t xml:space="preserve">Analistas</x:t>
        </x:is>
      </x:c>
      <x:c r="F7" s="23" t="inlineStr">
        <x:is>
          <x:t xml:space="preserve">Ajustar notas qualitativas</x:t>
        </x:is>
      </x:c>
    </x:row>
    <x:row r="8">
      <x:c r="A8" s="23" t="inlineStr">
        <x:is>
          <x:t xml:space="preserve">4</x:t>
        </x:is>
      </x:c>
      <x:c r="B8" s="23" t="inlineStr">
        <x:is>
          <x:t xml:space="preserve">Registrar notícias e mídia</x:t>
        </x:is>
      </x:c>
      <x:c r="C8" s="23" t="inlineStr">
        <x:is>
          <x:t xml:space="preserve">06_Noticias / 13_Midia</x:t>
        </x:is>
      </x:c>
      <x:c r="D8" s="23" t="inlineStr">
        <x:is>
          <x:t xml:space="preserve">Diária</x:t>
        </x:is>
      </x:c>
      <x:c r="E8" s="23" t="inlineStr">
        <x:is>
          <x:t xml:space="preserve">Comunicação</x:t>
        </x:is>
      </x:c>
      <x:c r="F8" s="23" t="inlineStr">
        <x:is>
          <x:t xml:space="preserve">Salvar URL da fonte</x:t>
        </x:is>
      </x:c>
    </x:row>
    <x:row r="9">
      <x:c r="A9" s="23" t="inlineStr">
        <x:is>
          <x:t xml:space="preserve">5</x:t>
        </x:is>
      </x:c>
      <x:c r="B9" s="23" t="inlineStr">
        <x:is>
          <x:t xml:space="preserve">Atualizar obras, legado e riscos</x:t>
        </x:is>
      </x:c>
      <x:c r="C9" s="23" t="inlineStr">
        <x:is>
          <x:t xml:space="preserve">10_Legado / 11_Obras / 14_Riscos</x:t>
        </x:is>
      </x:c>
      <x:c r="D9" s="23" t="inlineStr">
        <x:is>
          <x:t xml:space="preserve">Quinzenal</x:t>
        </x:is>
      </x:c>
      <x:c r="E9" s="23" t="inlineStr">
        <x:is>
          <x:t xml:space="preserve">PMO</x:t>
        </x:is>
      </x:c>
      <x:c r="F9" s="23" t="inlineStr">
        <x:is>
          <x:t xml:space="preserve">Priorizar itens críticos</x:t>
        </x:is>
      </x:c>
    </x:row>
    <x:row r="10">
      <x:c r="A10" s="23" t="inlineStr">
        <x:is>
          <x:t xml:space="preserve">6</x:t>
        </x:is>
      </x:c>
      <x:c r="B10" s="23" t="inlineStr">
        <x:is>
          <x:t xml:space="preserve">Apresentar painel executivo</x:t>
        </x:is>
      </x:c>
      <x:c r="C10" s="23" t="inlineStr">
        <x:is>
          <x:t xml:space="preserve">01_Dashboard</x:t>
        </x:is>
      </x:c>
      <x:c r="D10" s="23" t="inlineStr">
        <x:is>
          <x:t xml:space="preserve">Mensal</x:t>
        </x:is>
      </x:c>
      <x:c r="E10" s="23" t="inlineStr">
        <x:is>
          <x:t xml:space="preserve">Diretoria</x:t>
        </x:is>
      </x:c>
      <x:c r="F10" s="23" t="inlineStr">
        <x:is>
          <x:t xml:space="preserve">Atualizar arquivo antes da reunião</x:t>
        </x:is>
      </x:c>
    </x:row>
  </x:sheetData>
  <x:mergeCells>
    <x:mergeCell ref="A1:F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4.25"/>
  <x:sheetData>
    <x:row r="1" s="1" customFormat="1" ht="15" customHeight="1">
      <x:c r="A1" s="18" t="inlineStr">
        <x:is>
          <x:t xml:space="preserve">Município</x:t>
        </x:is>
      </x:c>
      <x:c r="B1" s="18" t="inlineStr">
        <x:is>
          <x:t xml:space="preserve">UF</x:t>
        </x:is>
      </x:c>
      <x:c r="C1" s="18" t="inlineStr">
        <x:is>
          <x:t xml:space="preserve">Região</x:t>
        </x:is>
      </x:c>
      <x:c r="D1" s="18" t="inlineStr">
        <x:is>
          <x:t xml:space="preserve">Latitude</x:t>
        </x:is>
      </x:c>
      <x:c r="E1" s="18" t="inlineStr">
        <x:is>
          <x:t xml:space="preserve">Longitude</x:t>
        </x:is>
      </x:c>
      <x:c r="F1" s="18" t="inlineStr">
        <x:is>
          <x:t xml:space="preserve">Cidade-Sede</x:t>
        </x:is>
      </x:c>
      <x:c r="G1" s="18" t="inlineStr">
        <x:is>
          <x:t xml:space="preserve">Distância Estimada (km)</x:t>
        </x:is>
      </x:c>
      <x:c r="H1" s="18" t="inlineStr">
        <x:is>
          <x:t xml:space="preserve">Aeroporto Principal</x:t>
        </x:is>
      </x:c>
      <x:c r="I1" s="18" t="inlineStr">
        <x:is>
          <x:t xml:space="preserve">Potencial de Ativação</x:t>
        </x:is>
      </x:c>
      <x:c r="J1" s="18" t="inlineStr">
        <x:is>
          <x:t xml:space="preserve">Observações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23" t="inlineStr">
        <x:is>
          <x:t xml:space="preserve">Sudeste</x:t>
        </x:is>
      </x:c>
      <x:c r="D2" s="23" t="n">
        <x:v>-22.9068</x:v>
      </x:c>
      <x:c r="E2" s="23" t="n">
        <x:v>-43.1729</x:v>
      </x:c>
      <x:c r="F2" s="23" t="inlineStr">
        <x:is>
          <x:t xml:space="preserve">Sim</x:t>
        </x:is>
      </x:c>
      <x:c r="G2" s="23" t="n">
        <x:v>0</x:v>
      </x:c>
      <x:c r="H2" s="23" t="inlineStr">
        <x:is>
          <x:t xml:space="preserve">GIG/SDU</x:t>
        </x:is>
      </x:c>
      <x:c r="I2" s="23" t="inlineStr">
        <x:is>
          <x:t xml:space="preserve">Muito Alto</x:t>
        </x:is>
      </x:c>
      <x:c r="J2" s="23" t="inlineStr">
        <x:is>
          <x:t xml:space="preserve">Cidade-sede</x:t>
        </x:is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23" t="inlineStr">
        <x:is>
          <x:t xml:space="preserve">Sudeste</x:t>
        </x:is>
      </x:c>
      <x:c r="D3" s="23" t="n">
        <x:v>-23.5505</x:v>
      </x:c>
      <x:c r="E3" s="23" t="n">
        <x:v>-46.6333</x:v>
      </x:c>
      <x:c r="F3" s="23" t="inlineStr">
        <x:is>
          <x:t xml:space="preserve">Sim</x:t>
        </x:is>
      </x:c>
      <x:c r="G3" s="23" t="n">
        <x:v>0</x:v>
      </x:c>
      <x:c r="H3" s="23" t="inlineStr">
        <x:is>
          <x:t xml:space="preserve">GRU/CGH</x:t>
        </x:is>
      </x:c>
      <x:c r="I3" s="23" t="inlineStr">
        <x:is>
          <x:t xml:space="preserve">Muito Alto</x:t>
        </x:is>
      </x:c>
      <x:c r="J3" s="23" t="inlineStr">
        <x:is>
          <x:t xml:space="preserve">Cidade-sede</x:t>
        </x:is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23" t="inlineStr">
        <x:is>
          <x:t xml:space="preserve">Sudeste</x:t>
        </x:is>
      </x:c>
      <x:c r="D4" s="23" t="n">
        <x:v>-19.9167</x:v>
      </x:c>
      <x:c r="E4" s="23" t="n">
        <x:v>-43.9345</x:v>
      </x:c>
      <x:c r="F4" s="23" t="inlineStr">
        <x:is>
          <x:t xml:space="preserve">Sim</x:t>
        </x:is>
      </x:c>
      <x:c r="G4" s="23" t="n">
        <x:v>0</x:v>
      </x:c>
      <x:c r="H4" s="23" t="inlineStr">
        <x:is>
          <x:t xml:space="preserve">CNF</x:t>
        </x:is>
      </x:c>
      <x:c r="I4" s="23" t="inlineStr">
        <x:is>
          <x:t xml:space="preserve">Alto</x:t>
        </x:is>
      </x:c>
      <x:c r="J4" s="23" t="inlineStr">
        <x:is>
          <x:t xml:space="preserve">Cidade-sede</x:t>
        </x:is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23" t="inlineStr">
        <x:is>
          <x:t xml:space="preserve">Nordeste</x:t>
        </x:is>
      </x:c>
      <x:c r="D5" s="23" t="n">
        <x:v>-12.9777</x:v>
      </x:c>
      <x:c r="E5" s="23" t="n">
        <x:v>-38.5016</x:v>
      </x:c>
      <x:c r="F5" s="23" t="inlineStr">
        <x:is>
          <x:t xml:space="preserve">Sim</x:t>
        </x:is>
      </x:c>
      <x:c r="G5" s="23" t="n">
        <x:v>0</x:v>
      </x:c>
      <x:c r="H5" s="23" t="inlineStr">
        <x:is>
          <x:t xml:space="preserve">SSA</x:t>
        </x:is>
      </x:c>
      <x:c r="I5" s="23" t="inlineStr">
        <x:is>
          <x:t xml:space="preserve">Alto</x:t>
        </x:is>
      </x:c>
      <x:c r="J5" s="23" t="inlineStr">
        <x:is>
          <x:t xml:space="preserve">Cidade-sede</x:t>
        </x:is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23" t="inlineStr">
        <x:is>
          <x:t xml:space="preserve">Nordeste</x:t>
        </x:is>
      </x:c>
      <x:c r="D6" s="23" t="n">
        <x:v>-8.047599999999999</x:v>
      </x:c>
      <x:c r="E6" s="23" t="n">
        <x:v>-34.877</x:v>
      </x:c>
      <x:c r="F6" s="23" t="inlineStr">
        <x:is>
          <x:t xml:space="preserve">Sim</x:t>
        </x:is>
      </x:c>
      <x:c r="G6" s="23" t="n">
        <x:v>0</x:v>
      </x:c>
      <x:c r="H6" s="23" t="inlineStr">
        <x:is>
          <x:t xml:space="preserve">REC</x:t>
        </x:is>
      </x:c>
      <x:c r="I6" s="23" t="inlineStr">
        <x:is>
          <x:t xml:space="preserve">Alto</x:t>
        </x:is>
      </x:c>
      <x:c r="J6" s="23" t="inlineStr">
        <x:is>
          <x:t xml:space="preserve">Cidade-sede</x:t>
        </x:is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23" t="inlineStr">
        <x:is>
          <x:t xml:space="preserve">Nordeste</x:t>
        </x:is>
      </x:c>
      <x:c r="D7" s="23" t="n">
        <x:v>-3.7319</x:v>
      </x:c>
      <x:c r="E7" s="23" t="n">
        <x:v>-38.5267</x:v>
      </x:c>
      <x:c r="F7" s="23" t="inlineStr">
        <x:is>
          <x:t xml:space="preserve">Sim</x:t>
        </x:is>
      </x:c>
      <x:c r="G7" s="23" t="n">
        <x:v>0</x:v>
      </x:c>
      <x:c r="H7" s="23" t="inlineStr">
        <x:is>
          <x:t xml:space="preserve">FOR</x:t>
        </x:is>
      </x:c>
      <x:c r="I7" s="23" t="inlineStr">
        <x:is>
          <x:t xml:space="preserve">Alto</x:t>
        </x:is>
      </x:c>
      <x:c r="J7" s="23" t="inlineStr">
        <x:is>
          <x:t xml:space="preserve">Cidade-sede</x:t>
        </x:is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23" t="inlineStr">
        <x:is>
          <x:t xml:space="preserve">Centro-Oeste</x:t>
        </x:is>
      </x:c>
      <x:c r="D8" s="23" t="n">
        <x:v>-15.7939</x:v>
      </x:c>
      <x:c r="E8" s="23" t="n">
        <x:v>-47.8828</x:v>
      </x:c>
      <x:c r="F8" s="23" t="inlineStr">
        <x:is>
          <x:t xml:space="preserve">Sim</x:t>
        </x:is>
      </x:c>
      <x:c r="G8" s="23" t="n">
        <x:v>0</x:v>
      </x:c>
      <x:c r="H8" s="23" t="inlineStr">
        <x:is>
          <x:t xml:space="preserve">BSB</x:t>
        </x:is>
      </x:c>
      <x:c r="I8" s="23" t="inlineStr">
        <x:is>
          <x:t xml:space="preserve">Alto</x:t>
        </x:is>
      </x:c>
      <x:c r="J8" s="23" t="inlineStr">
        <x:is>
          <x:t xml:space="preserve">Cidade-sede</x:t>
        </x:is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23" t="inlineStr">
        <x:is>
          <x:t xml:space="preserve">Sul</x:t>
        </x:is>
      </x:c>
      <x:c r="D9" s="23" t="n">
        <x:v>-30.0346</x:v>
      </x:c>
      <x:c r="E9" s="23" t="n">
        <x:v>-51.2177</x:v>
      </x:c>
      <x:c r="F9" s="23" t="inlineStr">
        <x:is>
          <x:t xml:space="preserve">Sim</x:t>
        </x:is>
      </x:c>
      <x:c r="G9" s="23" t="n">
        <x:v>0</x:v>
      </x:c>
      <x:c r="H9" s="23" t="inlineStr">
        <x:is>
          <x:t xml:space="preserve">POA</x:t>
        </x:is>
      </x:c>
      <x:c r="I9" s="23" t="inlineStr">
        <x:is>
          <x:t xml:space="preserve">Alto</x:t>
        </x:is>
      </x:c>
      <x:c r="J9" s="23" t="inlineStr">
        <x:is>
          <x:t xml:space="preserve">Cidade-sede</x:t>
        </x:is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4.25"/>
  <x:sheetData>
    <x:row r="1" s="1" customFormat="1" ht="20.25" customHeight="1">
      <x:c r="A1" s="19" t="inlineStr">
        <x:is>
          <x:t xml:space="preserve">Guia de Integração Power BI</x:t>
        </x:is>
      </x:c>
    </x:row>
    <x:row r="3">
      <x:c r="A3" s="23" t="inlineStr">
        <x:is>
          <x:t xml:space="preserve">Importe as abas de Eventos, Mapa_Base, IAC, INP e Base_Geografica.</x:t>
        </x:is>
      </x:c>
    </x:row>
    <x:row r="4">
      <x:c r="A4" s="23" t="inlineStr">
        <x:is>
          <x:t xml:space="preserve">Relacione Cidade e UF.</x:t>
        </x:is>
      </x:c>
    </x:row>
    <x:row r="5">
      <x:c r="A5" s="23" t="inlineStr">
        <x:is>
          <x:t xml:space="preserve">Defina Latitude e Longitude como categorias geográficas.</x:t>
        </x:is>
      </x:c>
    </x:row>
    <x:row r="6">
      <x:c r="A6" s="23" t="inlineStr">
        <x:is>
          <x:t xml:space="preserve">Crie mapas, rankings e segmentações.</x:t>
        </x:is>
      </x:c>
    </x:row>
    <x:row r="7">
      <x:c r="A7" s="23" t="inlineStr">
        <x:is>
          <x:t xml:space="preserve">Publique no Power BI Service.</x:t>
        </x:is>
      </x:c>
    </x:row>
  </x:sheetData>
  <x:pageMargins left="0.7" right="0.7" top="0.75" bottom="0.75" header="0.3" footer="0.3"/>
</x:worksheet>
</file>