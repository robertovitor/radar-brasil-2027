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_Dashboard" sheetId="1" state="visible" r:id="rId1"/>
    <sheet name="02_Eventos" sheetId="2" state="visible" r:id="rId2"/>
    <sheet name="03_Agenda" sheetId="3" state="visible" r:id="rId3"/>
    <sheet name="04_Radar_IAC" sheetId="4" state="visible" r:id="rId4"/>
    <sheet name="05_Radar_INP" sheetId="5" state="visible" r:id="rId5"/>
    <sheet name="06_Noticias" sheetId="6" state="visible" r:id="rId6"/>
    <sheet name="07_Mapa_Base" sheetId="7" state="visible" r:id="rId7"/>
    <sheet name="08_Patrocinadores" sheetId="8" state="visible" r:id="rId8"/>
    <sheet name="09_Cidades" sheetId="9" state="visible" r:id="rId9"/>
    <sheet name="10_Legado" sheetId="10" state="visible" r:id="rId10"/>
    <sheet name="11_Obras" sheetId="11" state="visible" r:id="rId11"/>
    <sheet name="12_Voluntariado" sheetId="12" state="visible" r:id="rId12"/>
    <sheet name="13_Midia" sheetId="13" state="visible" r:id="rId13"/>
    <sheet name="14_Riscos" sheetId="14" state="visible" r:id="rId14"/>
    <sheet name="15_Config" sheetId="15" state="visible" r:id="rId15"/>
    <sheet name="16_Manual" sheetId="16" state="visible" r:id="rId16"/>
    <sheet name="17_Base_Geografica_Brasil" sheetId="17" state="visible" r:id="rId17"/>
    <sheet name="18_PowerBI_Guia" sheetId="18" state="visible" r:id="rId18"/>
  </sheets>
  <definedNames/>
</workbook>
</file>

<file path=xl/styles.xml><?xml version="1.0" encoding="utf-8"?>
<styleSheet xmlns="http://schemas.openxmlformats.org/spreadsheetml/2006/main">
  <numFmts count="5">
    <numFmt numFmtId="164" formatCode="0.0000"/>
    <numFmt numFmtId="165" formatCode="0.0"/>
    <numFmt numFmtId="166" formatCode="\R\$\ #,##0.00"/>
    <numFmt numFmtId="167" formatCode="0&quot;%&quot;"/>
    <numFmt numFmtId="168" formatCode="dd/mm/yyyy"/>
  </numFmts>
  <fonts count="8">
    <font>
      <name val="Carlito"/>
      <sz val="11"/>
    </font>
    <font>
      <name val="Carlito"/>
      <b val="1"/>
      <color rgb="FFFFFFFF"/>
      <sz val="20"/>
    </font>
    <font>
      <name val="Carlito"/>
      <i val="1"/>
      <color rgb="FF17365D"/>
      <sz val="11"/>
    </font>
    <font>
      <name val="Carlito"/>
      <b val="1"/>
      <color rgb="FF17365D"/>
      <sz val="14"/>
    </font>
    <font>
      <name val="Carlito"/>
      <b val="1"/>
      <color rgb="FFFFFFFF"/>
      <sz val="11"/>
    </font>
    <font>
      <name val="Carlito"/>
      <b val="1"/>
      <color rgb="FF1F1F1F"/>
      <sz val="11"/>
    </font>
    <font>
      <name val="Carlito"/>
      <b val="1"/>
      <color rgb="FFFFFFFF"/>
      <sz val="18"/>
    </font>
    <font>
      <name val="Carlito"/>
      <b val="1"/>
      <sz val="16"/>
    </font>
  </fonts>
  <fills count="7">
    <fill>
      <patternFill/>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2F75B5"/>
      </patternFill>
    </fill>
    <fill>
      <patternFill patternType="solid">
        <fgColor rgb="FF1F4E78"/>
      </patternFill>
    </fill>
  </fills>
  <borders count="2">
    <border/>
    <border/>
  </borders>
  <cellStyleXfs count="1">
    <xf numFmtId="0" fontId="0" fillId="0" borderId="1"/>
  </cellStyleXfs>
  <cellXfs count="34">
    <xf numFmtId="0" fontId="0" fillId="0" borderId="0" pivotButton="0" quotePrefix="0" xfId="0"/>
    <xf numFmtId="0" fontId="0" fillId="0" borderId="0" pivotButton="0" quotePrefix="0" xfId="0"/>
    <xf numFmtId="0" fontId="0" fillId="0" borderId="1" applyAlignment="1" pivotButton="0" quotePrefix="0" xfId="0">
      <alignment wrapText="1"/>
    </xf>
    <xf numFmtId="0" fontId="5" fillId="3" borderId="1" applyAlignment="1" pivotButton="0" quotePrefix="0" xfId="0">
      <alignment horizontal="center" vertical="center" wrapText="1"/>
    </xf>
    <xf numFmtId="0" fontId="4" fillId="2" borderId="1" applyAlignment="1" pivotButton="0" quotePrefix="0" xfId="0">
      <alignment horizontal="center" vertical="center"/>
    </xf>
    <xf numFmtId="0" fontId="0" fillId="0" borderId="1" pivotButton="0" quotePrefix="0" xfId="0"/>
    <xf numFmtId="14" fontId="0" fillId="0" borderId="1" pivotButton="0" quotePrefix="0" xfId="0"/>
    <xf numFmtId="3" fontId="0" fillId="0" borderId="1" pivotButton="0" quotePrefix="0" xfId="0"/>
    <xf numFmtId="164" fontId="0" fillId="0" borderId="1" pivotButton="0" quotePrefix="0" xfId="0"/>
    <xf numFmtId="0" fontId="0" fillId="0" borderId="1" applyAlignment="1" pivotButton="0" quotePrefix="0" xfId="0">
      <alignment wrapText="1"/>
    </xf>
    <xf numFmtId="14" fontId="0" fillId="0" borderId="1" applyAlignment="1" pivotButton="0" quotePrefix="0" xfId="0">
      <alignment wrapText="1"/>
    </xf>
    <xf numFmtId="3" fontId="0" fillId="0" borderId="1" applyAlignment="1" pivotButton="0" quotePrefix="0" xfId="0">
      <alignment wrapText="1"/>
    </xf>
    <xf numFmtId="164" fontId="0" fillId="0" borderId="1" applyAlignment="1" pivotButton="0" quotePrefix="0" xfId="0">
      <alignment wrapText="1"/>
    </xf>
    <xf numFmtId="165" fontId="0" fillId="0" borderId="1" pivotButton="0" quotePrefix="0" xfId="0"/>
    <xf numFmtId="2" fontId="0" fillId="0" borderId="1" pivotButton="0" quotePrefix="0" xfId="0"/>
    <xf numFmtId="166" fontId="0" fillId="0" borderId="1" pivotButton="0" quotePrefix="0" xfId="0"/>
    <xf numFmtId="167" fontId="0" fillId="0" borderId="1" pivotButton="0" quotePrefix="0" xfId="0"/>
    <xf numFmtId="9" fontId="0" fillId="0" borderId="1" pivotButton="0" quotePrefix="0" xfId="0"/>
    <xf numFmtId="0" fontId="4" fillId="6" borderId="1" pivotButton="0" quotePrefix="0" xfId="0"/>
    <xf numFmtId="0" fontId="7" fillId="0" borderId="1" pivotButton="0" quotePrefix="0" xfId="0"/>
    <xf numFmtId="0" fontId="4" fillId="5" borderId="1" applyAlignment="1" pivotButton="0" quotePrefix="0" xfId="0">
      <alignment horizontal="left" vertical="center" wrapText="1"/>
    </xf>
    <xf numFmtId="0" fontId="0" fillId="0" borderId="1" pivotButton="0" quotePrefix="0" xfId="0"/>
    <xf numFmtId="0" fontId="3" fillId="4" borderId="1" applyAlignment="1" pivotButton="0" quotePrefix="0" xfId="0">
      <alignment horizontal="center" vertical="center" wrapText="1"/>
    </xf>
    <xf numFmtId="0" fontId="0" fillId="0" borderId="1"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wrapText="1"/>
    </xf>
    <xf numFmtId="0" fontId="6" fillId="2" borderId="1" applyAlignment="1" pivotButton="0" quotePrefix="0" xfId="0">
      <alignment horizontal="center" vertical="center"/>
    </xf>
    <xf numFmtId="168" fontId="0" fillId="0" borderId="0" pivotButton="0" quotePrefix="0" xfId="0"/>
    <xf numFmtId="168" fontId="0" fillId="0" borderId="0" applyAlignment="1" pivotButton="0" quotePrefix="0" xfId="0">
      <alignment wrapText="1"/>
    </xf>
    <xf numFmtId="168" fontId="0" fillId="0" borderId="0" pivotButton="0" quotePrefix="0" xfId="0"/>
    <xf numFmtId="168" fontId="0" fillId="0" borderId="0" applyAlignment="1" pivotButton="0" quotePrefix="0" xfId="0">
      <alignment wrapText="1"/>
    </xf>
    <xf numFmtId="168" fontId="0" fillId="0" borderId="0" applyAlignment="1" pivotButton="0" quotePrefix="0" xfId="0">
      <alignment wrapText="1"/>
    </xf>
    <xf numFmtId="168" fontId="0" fillId="0" borderId="0" pivotButton="0" quotePrefix="0" xfId="0"/>
    <xf numFmtId="168" fontId="0" fillId="0" borderId="1" pivotButton="0" quotePrefix="0" xfId="0"/>
  </cellXfs>
  <cellStyles count="1">
    <cellStyle name="Normal" xfId="0"/>
  </cellStyles>
  <dxfs count="3">
    <dxf>
      <font>
        <b val="1"/>
        <color rgb="FFC00000"/>
      </font>
      <fill>
        <patternFill>
          <bgColor rgb="FFF4CCCC"/>
        </patternFill>
      </fill>
    </dxf>
    <dxf>
      <font>
        <color rgb="FF70AD47"/>
      </font>
      <fill>
        <patternFill>
          <bgColor rgb="FFE2F0D9"/>
        </patternFill>
      </fill>
    </dxf>
    <dxf>
      <font>
        <color rgb="FFC00000"/>
      </font>
      <fill>
        <patternFill>
          <b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lstStyle/>
          <a:p>
            <a:r>
              <a:t>Eventos por Status</a:t>
            </a:r>
          </a:p>
        </rich>
      </tx>
      <overlay val="1"/>
    </title>
    <plotArea>
      <barChart>
        <barDir val="col"/>
        <grouping val="clustered"/>
        <varyColors val="0"/>
        <ser>
          <idx val="0"/>
          <order val="0"/>
          <tx>
            <v>Eventos</v>
          </tx>
          <spPr>
            <a:ln>
              <a:prstDash val="solid"/>
            </a:ln>
          </spPr>
          <cat>
            <strRef>
              <f>'01_Dashboard'!$A$16:$A$20</f>
              <strCache>
                <ptCount val="5"/>
                <pt idx="0">
                  <v>Planejado</v>
                </pt>
                <pt idx="1">
                  <v>Confirmado</v>
                </pt>
                <pt idx="2">
                  <v>Em execução</v>
                </pt>
                <pt idx="3">
                  <v>Realizado</v>
                </pt>
                <pt idx="4">
                  <v>Cancelado</v>
                </pt>
              </strCache>
            </strRef>
          </cat>
          <val>
            <numRef>
              <f>'01_Dashboard'!$B$16:$B$20</f>
              <numCache>
                <formatCode>General</formatCode>
                <ptCount val="5"/>
                <pt idx="0">
                  <v>7</v>
                </pt>
                <pt idx="1">
                  <v>1</v>
                </pt>
                <pt idx="2">
                  <v>0</v>
                </pt>
                <pt idx="3">
                  <v>3</v>
                </pt>
                <pt idx="4">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Offset val="10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50112"/>
        <crosses val="autoZero"/>
        <crossBetween val="between"/>
      </valAx>
    </plotArea>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t>Eventos por Categoria</a:t>
            </a:r>
          </a:p>
        </rich>
      </tx>
      <overlay val="1"/>
    </title>
    <plotArea>
      <pieChart>
        <varyColors val="1"/>
        <ser>
          <idx val="0"/>
          <order val="0"/>
          <tx>
            <v>Eventos</v>
          </tx>
          <spPr>
            <a:ln>
              <a:prstDash val="solid"/>
            </a:ln>
          </spPr>
          <cat>
            <strRef>
              <f>'01_Dashboard'!$D$16:$D$22</f>
              <strCache>
                <ptCount val="7"/>
                <pt idx="0">
                  <v>Fan Fest</v>
                </pt>
                <pt idx="1">
                  <v>Workshop</v>
                </pt>
                <pt idx="2">
                  <v>Clínica esportiva</v>
                </pt>
                <pt idx="3">
                  <v>Seminário</v>
                </pt>
                <pt idx="4">
                  <v>Ativação patrocinador</v>
                </pt>
                <pt idx="5">
                  <v>Legado</v>
                </pt>
                <pt idx="6">
                  <v>Outro</v>
                </pt>
              </strCache>
            </strRef>
          </cat>
          <val>
            <numRef>
              <f>'01_Dashboard'!$E$16:$E$22</f>
              <numCache>
                <formatCode>General</formatCode>
                <ptCount val="7"/>
                <pt idx="0">
                  <v>0</v>
                </pt>
                <pt idx="1">
                  <v>1</v>
                </pt>
                <pt idx="2">
                  <v>0</v>
                </pt>
                <pt idx="3">
                  <v>1</v>
                </pt>
                <pt idx="4">
                  <v>1</v>
                </pt>
                <pt idx="5">
                  <v>0</v>
                </pt>
                <pt idx="6">
                  <v>0</v>
                </pt>
              </numCache>
            </numRef>
          </val>
        </ser>
        <dLbls>
          <showLegendKey val="0"/>
          <showVal val="0"/>
          <showCatName val="0"/>
          <showSerName val="0"/>
          <showPercent val="0"/>
          <showBubbleSize val="0"/>
          <showLeaderLines val="0"/>
        </dLbls>
        <firstSliceAng val="0"/>
      </pieChart>
    </plotArea>
    <legend>
      <legendPos val="r"/>
      <overlay val="0"/>
    </legend>
    <plotVisOnly val="1"/>
    <dispBlanksAs val="gap"/>
  </chart>
  <spPr>
    <a:ln w="9525">
      <a:solidFill>
        <a:srgbClr val="D9D9D9"/>
      </a:solidFill>
      <a:prstDash val="solid"/>
    </a:ln>
  </spPr>
</chartSpace>
</file>

<file path=xl/charts/chart3.xml><?xml version="1.0" encoding="utf-8"?>
<chartSpace xmlns:a="http://schemas.openxmlformats.org/drawingml/2006/main" xmlns="http://schemas.openxmlformats.org/drawingml/2006/chart">
  <chart>
    <title>
      <tx>
        <rich>
          <a:bodyPr/>
          <a:lstStyle/>
          <a:p>
            <a:r>
              <a:t>IAC por Cidade</a:t>
            </a:r>
          </a:p>
        </rich>
      </tx>
      <overlay val="1"/>
    </title>
    <plotArea>
      <barChart>
        <barDir val="col"/>
        <grouping val="clustered"/>
        <varyColors val="0"/>
        <ser>
          <idx val="0"/>
          <order val="0"/>
          <tx>
            <v>IAC</v>
          </tx>
          <spPr>
            <a:ln>
              <a:prstDash val="solid"/>
            </a:ln>
          </spPr>
          <cat>
            <strRef>
              <f>'01_Dashboard'!$G$16:$G$23</f>
              <strCache>
                <ptCount val="8"/>
                <pt idx="0">
                  <v>Rio de Janeiro</v>
                </pt>
                <pt idx="1">
                  <v>São Paulo</v>
                </pt>
                <pt idx="2">
                  <v>Belo Horizonte</v>
                </pt>
                <pt idx="3">
                  <v>Salvador</v>
                </pt>
                <pt idx="4">
                  <v>Recife</v>
                </pt>
                <pt idx="5">
                  <v>Fortaleza</v>
                </pt>
                <pt idx="6">
                  <v>Brasília</v>
                </pt>
                <pt idx="7">
                  <v>Porto Alegre</v>
                </pt>
              </strCache>
            </strRef>
          </cat>
          <val>
            <numRef>
              <f>'01_Dashboard'!$H$16:$H$23</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Offset val="10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50112"/>
        <crosses val="autoZero"/>
        <crossBetween val="between"/>
      </valAx>
    </plotArea>
    <plotVisOnly val="1"/>
    <dispBlanksAs val="gap"/>
  </chart>
  <spPr>
    <a:ln w="9525">
      <a:solidFill>
        <a:srgbClr val="D9D9D9"/>
      </a:solidFill>
      <a:prstDash val="solid"/>
    </a:ln>
  </spPr>
</chartSpace>
</file>

<file path=xl/charts/chart4.xml><?xml version="1.0" encoding="utf-8"?>
<chartSpace xmlns:a="http://schemas.openxmlformats.org/drawingml/2006/main" xmlns="http://schemas.openxmlformats.org/drawingml/2006/chart">
  <chart>
    <title>
      <tx>
        <rich>
          <a:bodyPr/>
          <a:lstStyle/>
          <a:p>
            <a:r>
              <a:t>INP por Cidade</a:t>
            </a:r>
          </a:p>
        </rich>
      </tx>
      <overlay val="1"/>
    </title>
    <plotArea>
      <barChart>
        <barDir val="col"/>
        <grouping val="clustered"/>
        <varyColors val="0"/>
        <ser>
          <idx val="0"/>
          <order val="0"/>
          <tx>
            <v>INP</v>
          </tx>
          <spPr>
            <a:ln>
              <a:prstDash val="solid"/>
            </a:ln>
          </spPr>
          <cat>
            <strRef>
              <f>'01_Dashboard'!$J$16:$J$23</f>
              <strCache>
                <ptCount val="8"/>
                <pt idx="0">
                  <v>Rio de Janeiro</v>
                </pt>
                <pt idx="1">
                  <v>São Paulo</v>
                </pt>
                <pt idx="2">
                  <v>Belo Horizonte</v>
                </pt>
                <pt idx="3">
                  <v>Salvador</v>
                </pt>
                <pt idx="4">
                  <v>Recife</v>
                </pt>
                <pt idx="5">
                  <v>Fortaleza</v>
                </pt>
                <pt idx="6">
                  <v>Brasília</v>
                </pt>
                <pt idx="7">
                  <v>Porto Alegre</v>
                </pt>
              </strCache>
            </strRef>
          </cat>
          <val>
            <numRef>
              <f>'01_Dashboard'!$K$16:$K$23</f>
              <numCache>
                <formatCode>General</formatCode>
                <ptCount val="8"/>
                <pt idx="0">
                  <v>0</v>
                </pt>
                <pt idx="1">
                  <v>0</v>
                </pt>
                <pt idx="2">
                  <v>0</v>
                </pt>
                <pt idx="3">
                  <v>0</v>
                </pt>
                <pt idx="4">
                  <v>0</v>
                </pt>
                <pt idx="5">
                  <v>0</v>
                </pt>
                <pt idx="6">
                  <v>0</v>
                </pt>
                <pt idx="7">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Offset val="10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50112"/>
        <crosses val="autoZero"/>
        <crossBetween val="between"/>
      </valAx>
    </plotArea>
    <plotVisOnly val="1"/>
    <dispBlanksAs val="gap"/>
  </chart>
  <spPr>
    <a:ln w="9525">
      <a:solidFill>
        <a:srgbClr val="D9D9D9"/>
      </a:solidFill>
      <a:prstDash val="solid"/>
    </a:ln>
  </spPr>
</chartSpace>
</file>

<file path=xl/charts/chart5.xml><?xml version="1.0" encoding="utf-8"?>
<chartSpace xmlns:a="http://schemas.openxmlformats.org/drawingml/2006/main" xmlns="http://schemas.openxmlformats.org/drawingml/2006/chart">
  <chart>
    <title>
      <tx>
        <rich>
          <a:bodyPr/>
          <a:lstStyle/>
          <a:p>
            <a:r>
              <a:t>Evolução de Menções</a:t>
            </a:r>
          </a:p>
        </rich>
      </tx>
      <overlay val="1"/>
    </title>
    <plotArea>
      <lineChart>
        <grouping val="standard"/>
        <varyColors val="0"/>
        <ser>
          <idx val="0"/>
          <order val="0"/>
          <tx>
            <v>Menções</v>
          </tx>
          <spPr>
            <a:ln>
              <a:prstDash val="solid"/>
            </a:ln>
          </spPr>
          <marker>
            <symbol val="none"/>
            <spPr>
              <a:ln>
                <a:prstDash val="solid"/>
              </a:ln>
            </spPr>
          </marker>
          <cat>
            <strRef>
              <f>'13_Midia'!$A$2:$A$5</f>
              <strCache>
                <ptCount val="4"/>
                <pt idx="0">
                  <v>Jul/2026</v>
                </pt>
                <pt idx="1">
                  <v>Ago/2026</v>
                </pt>
                <pt idx="2">
                  <v>Set/2026</v>
                </pt>
                <pt idx="3">
                  <v>Out/2026</v>
                </pt>
              </strCache>
            </strRef>
          </cat>
          <val>
            <numRef>
              <f>'13_Midia'!$B$2:$B$5</f>
              <numCache>
                <formatCode>#,##0</formatCode>
                <ptCount val="4"/>
                <pt idx="0">
                  <v>1250</v>
                </pt>
                <pt idx="1">
                  <v>1640</v>
                </pt>
                <pt idx="2">
                  <v>1920</v>
                </pt>
                <pt idx="3">
                  <v>0</v>
                </pt>
              </numCache>
            </numRef>
          </val>
          <smooth val="1"/>
        </ser>
        <dLbls>
          <showLegendKey val="0"/>
          <showVal val="0"/>
          <showCatName val="0"/>
          <showSerName val="0"/>
          <showPercent val="0"/>
          <showBubbleSize val="0"/>
        </dLbls>
        <smooth val="0"/>
        <axId val="48650112"/>
        <axId val="48672768"/>
      </line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lblOffset val="10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24</row>
      <rowOff>0</rowOff>
    </from>
    <to>
      <col>6</col>
      <colOff>0</colOff>
      <row>42</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6</col>
      <colOff>0</colOff>
      <row>24</row>
      <rowOff>0</rowOff>
    </from>
    <to>
      <col>14</col>
      <colOff>0</colOff>
      <row>42</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43</row>
      <rowOff>0</rowOff>
    </from>
    <to>
      <col>6</col>
      <colOff>0</colOff>
      <row>61</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6</col>
      <colOff>0</colOff>
      <row>43</row>
      <rowOff>0</rowOff>
    </from>
    <to>
      <col>14</col>
      <colOff>0</colOff>
      <row>61</row>
      <rowOff>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10</col>
      <colOff>0</colOff>
      <row>1</row>
      <rowOff>0</rowOff>
    </from>
    <to>
      <col>18</col>
      <colOff>0</colOff>
      <row>18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EventosTable" displayName="EventosTable" ref="A1:U117" headerRowCount="1" totalsRowCount="0" totalsRowShown="0">
  <autoFilter ref="A1:P87"/>
  <tableColumns count="16">
    <tableColumn id="1" name="ID"/>
    <tableColumn id="2" name="Status"/>
    <tableColumn id="3" name="Data"/>
    <tableColumn id="4" name="UF"/>
    <tableColumn id="5" name="Cidade"/>
    <tableColumn id="6" name="Categoria"/>
    <tableColumn id="7" name="Organizador"/>
    <tableColumn id="8" name="Público Estimado"/>
    <tableColumn id="9" name="Patrocinador"/>
    <tableColumn id="10" name="Local"/>
    <tableColumn id="11" name="Latitude"/>
    <tableColumn id="12" name="Longitude"/>
    <tableColumn id="13" name="Link/Fonte"/>
    <tableColumn id="14" name="Observações"/>
    <tableColumn id="15" name="Mês"/>
    <tableColumn id="16" name="Ano"/>
  </tableColumns>
  <tableStyleInfo name="TableStyleMedium2" showFirstColumn="0" showLastColumn="0" showRowStripes="1" showColumnStripes="0"/>
</table>
</file>

<file path=xl/tables/table2.xml><?xml version="1.0" encoding="utf-8"?>
<table xmlns="http://schemas.openxmlformats.org/spreadsheetml/2006/main" id="2" name="IACTable" displayName="IACTable" ref="A1:K100" headerRowCount="1">
  <tableColumns count="11">
    <tableColumn id="1" name="Cidade"/>
    <tableColumn id="2" name="UF"/>
    <tableColumn id="3" name="Nº Eventos"/>
    <tableColumn id="4" name="Público"/>
    <tableColumn id="5" name="Patrocinadores"/>
    <tableColumn id="6" name="Diversidade"/>
    <tableColumn id="7" name="Eventos Oficiais"/>
    <tableColumn id="8" name="Mídia"/>
    <tableColumn id="9" name="Legado"/>
    <tableColumn id="10" name="IAC"/>
    <tableColumn id="11" name="Classificação"/>
  </tableColumns>
  <tableStyleInfo name="TableStyleMedium2" showFirstColumn="0" showLastColumn="0" showRowStripes="1" showColumnStripes="0"/>
</table>
</file>

<file path=xl/tables/table3.xml><?xml version="1.0" encoding="utf-8"?>
<table xmlns="http://schemas.openxmlformats.org/spreadsheetml/2006/main" id="3" name="INPTable" displayName="INPTable" ref="A1:K100" headerRowCount="1">
  <tableColumns count="11">
    <tableColumn id="1" name="Cidade"/>
    <tableColumn id="2" name="UF"/>
    <tableColumn id="3" name="Infraestrutura"/>
    <tableColumn id="4" name="Mobilidade"/>
    <tableColumn id="5" name="Turismo"/>
    <tableColumn id="6" name="Hospitalidade"/>
    <tableColumn id="7" name="Voluntariado"/>
    <tableColumn id="8" name="Comunicação"/>
    <tableColumn id="9" name="Segurança"/>
    <tableColumn id="10" name="INP"/>
    <tableColumn id="11" name="Classificação"/>
  </tableColumns>
  <tableStyleInfo name="TableStyleMedium2" showFirstColumn="0" showLastColumn="0" showRowStripes="1" showColumnStripes="0"/>
</table>
</file>

<file path=xl/tables/table4.xml><?xml version="1.0" encoding="utf-8"?>
<table xmlns="http://schemas.openxmlformats.org/spreadsheetml/2006/main" id="4" name="NoticiasTable" displayName="NoticiasTable" ref="A1:I278" headerRowCount="1" totalsRowCount="0" totalsRowShown="0">
  <autoFilter ref="A1:I58"/>
  <tableColumns count="9">
    <tableColumn id="1" name="Data"/>
    <tableColumn id="2" name="Título"/>
    <tableColumn id="3" name="Tema"/>
    <tableColumn id="4" name="Cidade/UF"/>
    <tableColumn id="5" name="Veículo"/>
    <tableColumn id="6" name="Link"/>
    <tableColumn id="7" name="Sentimento"/>
    <tableColumn id="8" name="Impacto"/>
    <tableColumn id="9" name="Resumo"/>
  </tableColumns>
  <tableStyleInfo name="TableStyleMedium2" showFirstColumn="0" showLastColumn="0" showRowStripes="1" showColumnStripes="0"/>
</table>
</file>

<file path=xl/tables/table5.xml><?xml version="1.0" encoding="utf-8"?>
<table xmlns="http://schemas.openxmlformats.org/spreadsheetml/2006/main" id="5" name="MapaTable" displayName="MapaTable" ref="A1:H100" headerRowCount="1">
  <tableColumns count="8">
    <tableColumn id="1" name="Cidade"/>
    <tableColumn id="2" name="UF"/>
    <tableColumn id="3" name="Latitude"/>
    <tableColumn id="4" name="Longitude"/>
    <tableColumn id="5" name="IAC"/>
    <tableColumn id="6" name="INP"/>
    <tableColumn id="7" name="Eventos"/>
    <tableColumn id="8" name="Público"/>
  </tableColumns>
  <tableStyleInfo name="TableStyleMedium2" showFirstColumn="0" showLastColumn="0" showRowStripes="1" showColumnStripes="0"/>
</table>
</file>

<file path=xl/tables/table6.xml><?xml version="1.0" encoding="utf-8"?>
<table xmlns="http://schemas.openxmlformats.org/spreadsheetml/2006/main" id="6" name="PatrocinadoresTable" displayName="PatrocinadoresTable" ref="A1:H200" headerRowCount="1">
  <tableColumns count="8">
    <tableColumn id="1" name="Patrocinador"/>
    <tableColumn id="2" name="Segmento"/>
    <tableColumn id="3" name="Status"/>
    <tableColumn id="4" name="Nº Ativações"/>
    <tableColumn id="5" name="Público Alcançado"/>
    <tableColumn id="6" name="Cidades"/>
    <tableColumn id="7" name="Investimento Estimado"/>
    <tableColumn id="8" name="Observações"/>
  </tableColumns>
  <tableStyleInfo name="TableStyleMedium2" showFirstColumn="0" showLastColumn="0" showRowStripes="1" showColumnStripes="0"/>
</table>
</file>

<file path=xl/tables/table7.xml><?xml version="1.0" encoding="utf-8"?>
<table xmlns="http://schemas.openxmlformats.org/spreadsheetml/2006/main" id="7" name="CidadesTable" displayName="CidadesTable" ref="A1:J100" headerRowCount="1">
  <tableColumns count="10">
    <tableColumn id="1" name="Cidade"/>
    <tableColumn id="2" name="UF"/>
    <tableColumn id="3" name="Região"/>
    <tableColumn id="4" name="População"/>
    <tableColumn id="5" name="Estádio/Arena"/>
    <tableColumn id="6" name="Aeroporto"/>
    <tableColumn id="7" name="IAC"/>
    <tableColumn id="8" name="INP"/>
    <tableColumn id="9" name="Eventos"/>
    <tableColumn id="10" name="Observações"/>
  </tableColumns>
  <tableStyleInfo name="TableStyleMedium2" showFirstColumn="0" showLastColumn="0" showRowStripes="1" showColumnStripes="0"/>
</table>
</file>

<file path=xl/tables/table8.xml><?xml version="1.0" encoding="utf-8"?>
<table xmlns="http://schemas.openxmlformats.org/spreadsheetml/2006/main" id="8" name="LegadoTable" displayName="LegadoTable" ref="A1:J500" headerRowCount="1">
  <tableColumns count="10">
    <tableColumn id="1" name="ID"/>
    <tableColumn id="2" name="Projeto"/>
    <tableColumn id="3" name="Cidade/UF"/>
    <tableColumn id="4" name="Eixo"/>
    <tableColumn id="5" name="Responsável"/>
    <tableColumn id="6" name="Início"/>
    <tableColumn id="7" name="Fim"/>
    <tableColumn id="8" name="Status"/>
    <tableColumn id="9" name="Beneficiários"/>
    <tableColumn id="10" name="Resultado Esperado"/>
  </tableColumns>
  <tableStyleInfo name="TableStyleMedium2" showFirstColumn="0" showLastColumn="0" showRowStripes="1" showColumnStripes="0"/>
</table>
</file>

<file path=xl/tables/table9.xml><?xml version="1.0" encoding="utf-8"?>
<table xmlns="http://schemas.openxmlformats.org/spreadsheetml/2006/main" id="9" name="ObrasTable" displayName="ObrasTable" ref="A1:J500" headerRowCount="1">
  <tableColumns count="10">
    <tableColumn id="1" name="ID"/>
    <tableColumn id="2" name="Obra"/>
    <tableColumn id="3" name="Cidade/UF"/>
    <tableColumn id="4" name="Tipo"/>
    <tableColumn id="5" name="Responsável"/>
    <tableColumn id="6" name="Prazo"/>
    <tableColumn id="7" name="% Conclusão"/>
    <tableColumn id="8" name="Status"/>
    <tableColumn id="9" name="Risco"/>
    <tableColumn id="10" name="Observações"/>
  </tableColumns>
  <tableStyleInfo name="TableStyleMedium2" showFirstColumn="0" showLastColumn="0" showRowStripes="1" showColumnStripes="0"/>
</table>
</file>

<file path=xl/tables/table10.xml><?xml version="1.0" encoding="utf-8"?>
<table xmlns="http://schemas.openxmlformats.org/spreadsheetml/2006/main" id="10" name="VoluntariadoTable" displayName="VoluntariadoTable" ref="A1:I100" headerRowCount="1">
  <tableColumns count="9">
    <tableColumn id="1" name="Cidade"/>
    <tableColumn id="2" name="Meta"/>
    <tableColumn id="3" name="Inscritos"/>
    <tableColumn id="4" name="Selecionados"/>
    <tableColumn id="5" name="Treinados"/>
    <tableColumn id="6" name="% Meta"/>
    <tableColumn id="7" name="Status"/>
    <tableColumn id="8" name="Responsável"/>
    <tableColumn id="9" name="Observações"/>
  </tableColumns>
  <tableStyleInfo name="TableStyleMedium2" showFirstColumn="0" showLastColumn="0" showRowStripes="1" showColumnStripes="0"/>
</table>
</file>

<file path=xl/tables/table11.xml><?xml version="1.0" encoding="utf-8"?>
<table xmlns="http://schemas.openxmlformats.org/spreadsheetml/2006/main" id="11" name="MidiaTable" displayName="MidiaTable" ref="A1:I500" headerRowCount="1">
  <tableColumns count="9">
    <tableColumn id="1" name="Período"/>
    <tableColumn id="2" name="Menções"/>
    <tableColumn id="3" name="Positivas"/>
    <tableColumn id="4" name="Neutras"/>
    <tableColumn id="5" name="Negativas"/>
    <tableColumn id="6" name="Alcance"/>
    <tableColumn id="7" name="Engajamento"/>
    <tableColumn id="8" name="Tema Principal"/>
    <tableColumn id="9" name="Observações"/>
  </tableColumns>
  <tableStyleInfo name="TableStyleMedium2" showFirstColumn="0" showLastColumn="0" showRowStripes="1" showColumnStripes="0"/>
</table>
</file>

<file path=xl/tables/table12.xml><?xml version="1.0" encoding="utf-8"?>
<table xmlns="http://schemas.openxmlformats.org/spreadsheetml/2006/main" id="12" name="RiscosTable" displayName="RiscosTable" ref="A1:J500" headerRowCount="1">
  <tableColumns count="10">
    <tableColumn id="1" name="ID"/>
    <tableColumn id="2" name="Risco"/>
    <tableColumn id="3" name="Área"/>
    <tableColumn id="4" name="Cidade/UF"/>
    <tableColumn id="5" name="Probabilidade"/>
    <tableColumn id="6" name="Impacto"/>
    <tableColumn id="7" name="Nível"/>
    <tableColumn id="8" name="Responsável"/>
    <tableColumn id="9" name="Plano de Mitigação"/>
    <tableColumn id="1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11.xml" Id="rId2"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4.25"/>
  <cols>
    <col width="14" customWidth="1" style="1" min="1" max="14"/>
  </cols>
  <sheetData>
    <row r="1" ht="24" customHeight="1" s="1">
      <c r="A1" s="24" t="inlineStr">
        <is>
          <t>RADAR BRASIL 2027 | VERSÃO 6.1</t>
        </is>
      </c>
      <c r="B1" s="23" t="n"/>
      <c r="C1" s="23" t="n"/>
      <c r="D1" s="23" t="n"/>
      <c r="E1" s="23" t="n"/>
      <c r="F1" s="23" t="n"/>
      <c r="G1" s="23" t="n"/>
      <c r="H1" s="23" t="n"/>
      <c r="I1" s="23" t="n"/>
      <c r="J1" s="23" t="n"/>
      <c r="K1" s="23" t="n"/>
      <c r="L1" s="23" t="n"/>
      <c r="M1" s="23" t="n"/>
      <c r="N1" s="23" t="n"/>
    </row>
    <row r="2">
      <c r="A2" s="23" t="n"/>
      <c r="B2" s="23" t="n"/>
      <c r="C2" s="23" t="n"/>
      <c r="D2" s="23" t="n"/>
      <c r="E2" s="23" t="n"/>
      <c r="F2" s="23" t="n"/>
      <c r="G2" s="23" t="n"/>
      <c r="H2" s="23" t="n"/>
      <c r="I2" s="23" t="n"/>
      <c r="J2" s="23" t="n"/>
      <c r="K2" s="23" t="n"/>
      <c r="L2" s="23" t="n"/>
      <c r="M2" s="23" t="n"/>
      <c r="N2" s="23" t="n"/>
    </row>
    <row r="3">
      <c r="A3" s="25" t="inlineStr">
        <is>
          <t>Centro de Inteligência da Copa do Mundo Feminina FIFA Brasil 2027</t>
        </is>
      </c>
      <c r="B3" s="23" t="n"/>
      <c r="C3" s="23" t="n"/>
      <c r="D3" s="23" t="n"/>
      <c r="E3" s="23" t="n"/>
      <c r="F3" s="23" t="n"/>
      <c r="G3" s="23" t="n"/>
      <c r="H3" s="23" t="n"/>
      <c r="I3" s="23" t="n"/>
      <c r="J3" s="23" t="n"/>
      <c r="K3" s="23" t="n"/>
      <c r="L3" s="23" t="n"/>
      <c r="M3" s="23" t="n"/>
      <c r="N3" s="23" t="n"/>
    </row>
    <row r="4">
      <c r="A4" s="9" t="n"/>
      <c r="B4" s="9" t="n"/>
      <c r="C4" s="9" t="n"/>
      <c r="D4" s="9" t="n"/>
      <c r="E4" s="9" t="n"/>
      <c r="F4" s="9" t="n"/>
      <c r="G4" s="9" t="n"/>
      <c r="H4" s="9" t="n"/>
      <c r="I4" s="9" t="n"/>
      <c r="J4" s="9" t="n"/>
      <c r="K4" s="9" t="n"/>
      <c r="L4" s="9" t="n"/>
      <c r="M4" s="9" t="n"/>
      <c r="N4" s="9" t="n"/>
    </row>
    <row r="5">
      <c r="A5" s="22" t="inlineStr">
        <is>
          <t>TOTAL DE EVENTOS
86</t>
        </is>
      </c>
      <c r="B5" s="23" t="n"/>
      <c r="C5" s="23" t="n"/>
      <c r="D5" s="22" t="inlineStr">
        <is>
          <t>EVENTOS FUTUROS
27</t>
        </is>
      </c>
      <c r="E5" s="23" t="n"/>
      <c r="F5" s="23" t="n"/>
      <c r="G5" s="22" t="inlineStr">
        <is>
          <t>PÚBLICO ESTIMADO
127.244</t>
        </is>
      </c>
      <c r="H5" s="23" t="n"/>
      <c r="I5" s="23" t="n"/>
      <c r="J5" s="22" t="inlineStr">
        <is>
          <t>PATROCINADORES
5</t>
        </is>
      </c>
      <c r="K5" s="23" t="n"/>
      <c r="L5" s="23" t="n"/>
      <c r="M5" s="9" t="n"/>
      <c r="N5" s="9" t="n"/>
    </row>
    <row r="6">
      <c r="A6" s="23" t="n"/>
      <c r="C6" s="23" t="n"/>
      <c r="D6" s="23" t="n"/>
      <c r="F6" s="23" t="n"/>
      <c r="G6" s="23" t="n"/>
      <c r="I6" s="23" t="n"/>
      <c r="J6" s="23" t="n"/>
      <c r="L6" s="23" t="n"/>
      <c r="M6" s="9" t="n"/>
      <c r="N6" s="9" t="n"/>
    </row>
    <row r="7">
      <c r="A7" s="23" t="n"/>
      <c r="B7" s="23" t="n"/>
      <c r="C7" s="23" t="n"/>
      <c r="D7" s="23" t="n"/>
      <c r="E7" s="23" t="n"/>
      <c r="F7" s="23" t="n"/>
      <c r="G7" s="23" t="n"/>
      <c r="H7" s="23" t="n"/>
      <c r="I7" s="23" t="n"/>
      <c r="J7" s="23" t="n"/>
      <c r="K7" s="23" t="n"/>
      <c r="L7" s="23" t="n"/>
      <c r="M7" s="9" t="n"/>
      <c r="N7" s="9" t="n"/>
    </row>
    <row r="8">
      <c r="A8" s="9" t="n"/>
      <c r="B8" s="9" t="n"/>
      <c r="C8" s="9" t="n"/>
      <c r="D8" s="9" t="n"/>
      <c r="E8" s="9" t="n"/>
      <c r="F8" s="9" t="n"/>
      <c r="G8" s="9" t="n"/>
      <c r="H8" s="9" t="n"/>
      <c r="I8" s="9" t="n"/>
      <c r="J8" s="9" t="n"/>
      <c r="K8" s="9" t="n"/>
      <c r="L8" s="9" t="n"/>
      <c r="M8" s="9" t="n"/>
      <c r="N8" s="9" t="n"/>
    </row>
    <row r="9">
      <c r="A9" s="22" t="inlineStr">
        <is>
          <t>CIDADES MONITORADAS
14</t>
        </is>
      </c>
      <c r="B9" s="23" t="n"/>
      <c r="C9" s="23" t="n"/>
      <c r="D9" s="22" t="inlineStr">
        <is>
          <t>IAC MÉDIO
32.9</t>
        </is>
      </c>
      <c r="E9" s="23" t="n"/>
      <c r="F9" s="23" t="n"/>
      <c r="G9" s="22" t="inlineStr">
        <is>
          <t>INP MÉDIO
76.8</t>
        </is>
      </c>
      <c r="H9" s="23" t="n"/>
      <c r="I9" s="23" t="n"/>
      <c r="J9" s="22" t="inlineStr">
        <is>
          <t>ALERTAS CRÍTICOS
0.0</t>
        </is>
      </c>
      <c r="K9" s="23" t="n"/>
      <c r="L9" s="23" t="n"/>
      <c r="M9" s="9" t="n"/>
      <c r="N9" s="9" t="n"/>
    </row>
    <row r="10">
      <c r="A10" s="23" t="n"/>
      <c r="C10" s="23" t="n"/>
      <c r="D10" s="23" t="n"/>
      <c r="F10" s="23" t="n"/>
      <c r="G10" s="23" t="n"/>
      <c r="I10" s="23" t="n"/>
      <c r="J10" s="23" t="n"/>
      <c r="L10" s="23" t="n"/>
      <c r="M10" s="9" t="n"/>
      <c r="N10" s="9" t="n"/>
    </row>
    <row r="11">
      <c r="A11" s="23" t="n"/>
      <c r="B11" s="23" t="n"/>
      <c r="C11" s="23" t="n"/>
      <c r="D11" s="23" t="n"/>
      <c r="E11" s="23" t="n"/>
      <c r="F11" s="23" t="n"/>
      <c r="G11" s="23" t="n"/>
      <c r="H11" s="23" t="n"/>
      <c r="I11" s="23" t="n"/>
      <c r="J11" s="23" t="n"/>
      <c r="K11" s="23" t="n"/>
      <c r="L11" s="23" t="n"/>
      <c r="M11" s="9" t="n"/>
      <c r="N11" s="9" t="n"/>
    </row>
    <row r="12">
      <c r="A12" s="9" t="n"/>
      <c r="B12" s="9" t="n"/>
      <c r="C12" s="9" t="n"/>
      <c r="D12" s="9" t="n"/>
      <c r="E12" s="9" t="n"/>
      <c r="F12" s="9" t="n"/>
      <c r="G12" s="9" t="n"/>
      <c r="H12" s="9" t="n"/>
      <c r="I12" s="9" t="n"/>
      <c r="J12" s="9" t="n"/>
      <c r="K12" s="9" t="n"/>
      <c r="L12" s="9" t="n"/>
      <c r="M12" s="9" t="n"/>
      <c r="N12" s="9" t="n"/>
    </row>
    <row r="13">
      <c r="A13" s="20" t="inlineStr">
        <is>
          <t>VISÃO EXECUTIVA</t>
        </is>
      </c>
      <c r="B13" s="23" t="n"/>
      <c r="C13" s="23" t="n"/>
      <c r="D13" s="23" t="n"/>
      <c r="E13" s="23" t="n"/>
      <c r="F13" s="23" t="n"/>
      <c r="G13" s="23" t="n"/>
      <c r="H13" s="23" t="n"/>
      <c r="I13" s="23" t="n"/>
      <c r="J13" s="23" t="n"/>
      <c r="K13" s="23" t="n"/>
      <c r="L13" s="23" t="n"/>
      <c r="M13" s="23" t="n"/>
      <c r="N13" s="23" t="n"/>
    </row>
    <row r="14">
      <c r="A14" s="9" t="n"/>
      <c r="B14" s="9" t="n"/>
      <c r="C14" s="9" t="n"/>
      <c r="D14" s="9" t="n"/>
      <c r="E14" s="9" t="n"/>
      <c r="F14" s="9" t="n"/>
      <c r="G14" s="9" t="n"/>
      <c r="H14" s="9" t="n"/>
      <c r="I14" s="9" t="n"/>
      <c r="J14" s="9" t="n"/>
      <c r="K14" s="9" t="n"/>
      <c r="L14" s="9" t="n"/>
      <c r="M14" s="9" t="n"/>
      <c r="N14" s="9" t="n"/>
    </row>
    <row r="15" ht="15" customHeight="1" s="1">
      <c r="A15" s="3" t="inlineStr">
        <is>
          <t>Status</t>
        </is>
      </c>
      <c r="B15" s="9" t="inlineStr">
        <is>
          <t>Eventos</t>
        </is>
      </c>
      <c r="C15" s="9" t="n"/>
      <c r="D15" s="3" t="inlineStr">
        <is>
          <t>Categoria</t>
        </is>
      </c>
      <c r="E15" s="9" t="inlineStr">
        <is>
          <t>Eventos</t>
        </is>
      </c>
      <c r="F15" s="9" t="n"/>
      <c r="G15" s="3" t="inlineStr">
        <is>
          <t>Cidade</t>
        </is>
      </c>
      <c r="H15" s="9" t="inlineStr">
        <is>
          <t>IAC</t>
        </is>
      </c>
      <c r="I15" s="9" t="n"/>
      <c r="J15" s="3" t="inlineStr">
        <is>
          <t>Cidade</t>
        </is>
      </c>
      <c r="K15" s="9" t="inlineStr">
        <is>
          <t>INP</t>
        </is>
      </c>
      <c r="L15" s="9" t="n"/>
      <c r="M15" s="9" t="n"/>
      <c r="N15" s="9" t="n"/>
    </row>
    <row r="16">
      <c r="A16" s="9" t="inlineStr">
        <is>
          <t>Planejado</t>
        </is>
      </c>
      <c r="B16" s="9" t="n">
        <v>27</v>
      </c>
      <c r="C16" s="9" t="n"/>
      <c r="D16" s="9" t="inlineStr">
        <is>
          <t>Fan Fest</t>
        </is>
      </c>
      <c r="E16" s="9">
        <f>COUNTIF('02_Eventos'!F2:F495,"Fan Fest")</f>
        <v/>
      </c>
      <c r="F16" s="9" t="n"/>
      <c r="G16" s="9" t="inlineStr">
        <is>
          <t>Rio de Janeiro</t>
        </is>
      </c>
      <c r="H16" s="9">
        <f>IFERROR(_xludf.XLOOKUP(G16,'04_Radar_IAC'!A:A,'04_Radar_IAC'!J:J),0)</f>
        <v/>
      </c>
      <c r="I16" s="9" t="n"/>
      <c r="J16" s="9" t="inlineStr">
        <is>
          <t>Rio de Janeiro</t>
        </is>
      </c>
      <c r="K16" s="9">
        <f>IFERROR(_xludf.XLOOKUP(J16,'05_Radar_INP'!A:A,'05_Radar_INP'!J:J),0)</f>
        <v/>
      </c>
      <c r="L16" s="9" t="n"/>
      <c r="M16" s="9" t="n"/>
      <c r="N16" s="9" t="n"/>
    </row>
    <row r="17">
      <c r="A17" s="9" t="inlineStr">
        <is>
          <t>Confirmado</t>
        </is>
      </c>
      <c r="B17" s="9" t="n">
        <v>0</v>
      </c>
      <c r="C17" s="9" t="n"/>
      <c r="D17" s="9" t="inlineStr">
        <is>
          <t>Workshop</t>
        </is>
      </c>
      <c r="E17" s="9">
        <f>COUNTIF('02_Eventos'!F2:F495,"Workshop")</f>
        <v/>
      </c>
      <c r="F17" s="9" t="n"/>
      <c r="G17" s="9" t="inlineStr">
        <is>
          <t>São Paulo</t>
        </is>
      </c>
      <c r="H17" s="9">
        <f>IFERROR(_xludf.XLOOKUP(G17,'04_Radar_IAC'!A:A,'04_Radar_IAC'!J:J),0)</f>
        <v/>
      </c>
      <c r="I17" s="9" t="n"/>
      <c r="J17" s="9" t="inlineStr">
        <is>
          <t>São Paulo</t>
        </is>
      </c>
      <c r="K17" s="9">
        <f>IFERROR(_xludf.XLOOKUP(J17,'05_Radar_INP'!A:A,'05_Radar_INP'!J:J),0)</f>
        <v/>
      </c>
      <c r="L17" s="9" t="n"/>
      <c r="M17" s="9" t="n"/>
      <c r="N17" s="9" t="n"/>
    </row>
    <row r="18" ht="28.5" customHeight="1" s="1">
      <c r="A18" s="9" t="inlineStr">
        <is>
          <t>Em execução</t>
        </is>
      </c>
      <c r="B18" s="9" t="n">
        <v>0</v>
      </c>
      <c r="C18" s="9" t="n"/>
      <c r="D18" s="9" t="inlineStr">
        <is>
          <t>Clínica esportiva</t>
        </is>
      </c>
      <c r="E18" s="9">
        <f>COUNTIF('02_Eventos'!F2:F495,"Clínica esportiva")</f>
        <v/>
      </c>
      <c r="F18" s="9" t="n"/>
      <c r="G18" s="9" t="inlineStr">
        <is>
          <t>Belo Horizonte</t>
        </is>
      </c>
      <c r="H18" s="9">
        <f>IFERROR(_xludf.XLOOKUP(G18,'04_Radar_IAC'!A:A,'04_Radar_IAC'!J:J),0)</f>
        <v/>
      </c>
      <c r="I18" s="9" t="n"/>
      <c r="J18" s="9" t="inlineStr">
        <is>
          <t>Belo Horizonte</t>
        </is>
      </c>
      <c r="K18" s="9">
        <f>IFERROR(_xludf.XLOOKUP(J18,'05_Radar_INP'!A:A,'05_Radar_INP'!J:J),0)</f>
        <v/>
      </c>
      <c r="L18" s="9" t="n"/>
      <c r="M18" s="9" t="n"/>
      <c r="N18" s="9" t="n"/>
    </row>
    <row r="19">
      <c r="A19" s="9" t="inlineStr">
        <is>
          <t>Realizado</t>
        </is>
      </c>
      <c r="B19" s="9" t="n">
        <v>58</v>
      </c>
      <c r="C19" s="9" t="n"/>
      <c r="D19" s="9" t="inlineStr">
        <is>
          <t>Seminário</t>
        </is>
      </c>
      <c r="E19" s="9">
        <f>COUNTIF('02_Eventos'!F2:F495,"Seminário")</f>
        <v/>
      </c>
      <c r="F19" s="9" t="n"/>
      <c r="G19" s="9" t="inlineStr">
        <is>
          <t>Salvador</t>
        </is>
      </c>
      <c r="H19" s="9">
        <f>IFERROR(_xludf.XLOOKUP(G19,'04_Radar_IAC'!A:A,'04_Radar_IAC'!J:J),0)</f>
        <v/>
      </c>
      <c r="I19" s="9" t="n"/>
      <c r="J19" s="9" t="inlineStr">
        <is>
          <t>Salvador</t>
        </is>
      </c>
      <c r="K19" s="9">
        <f>IFERROR(_xludf.XLOOKUP(J19,'05_Radar_INP'!A:A,'05_Radar_INP'!J:J),0)</f>
        <v/>
      </c>
      <c r="L19" s="9" t="n"/>
      <c r="M19" s="9" t="n"/>
      <c r="N19" s="9" t="n"/>
    </row>
    <row r="20" ht="28.5" customHeight="1" s="1">
      <c r="A20" s="9" t="inlineStr">
        <is>
          <t>Cancelado</t>
        </is>
      </c>
      <c r="B20" s="9" t="n">
        <v>0</v>
      </c>
      <c r="C20" s="9" t="n"/>
      <c r="D20" s="9" t="inlineStr">
        <is>
          <t>Ativação patrocinador</t>
        </is>
      </c>
      <c r="E20" s="9">
        <f>COUNTIF('02_Eventos'!F2:F495,"Ativação patrocinador")</f>
        <v/>
      </c>
      <c r="F20" s="9" t="n"/>
      <c r="G20" s="9" t="inlineStr">
        <is>
          <t>Recife</t>
        </is>
      </c>
      <c r="H20" s="9">
        <f>IFERROR(_xludf.XLOOKUP(G20,'04_Radar_IAC'!A:A,'04_Radar_IAC'!J:J),0)</f>
        <v/>
      </c>
      <c r="I20" s="9" t="n"/>
      <c r="J20" s="9" t="inlineStr">
        <is>
          <t>Recife</t>
        </is>
      </c>
      <c r="K20" s="9">
        <f>IFERROR(_xludf.XLOOKUP(J20,'05_Radar_INP'!A:A,'05_Radar_INP'!J:J),0)</f>
        <v/>
      </c>
      <c r="L20" s="9" t="n"/>
      <c r="M20" s="9" t="n"/>
      <c r="N20" s="9" t="n"/>
    </row>
    <row r="21">
      <c r="A21" s="9" t="n"/>
      <c r="B21" s="9" t="n"/>
      <c r="C21" s="9" t="n"/>
      <c r="D21" s="9" t="inlineStr">
        <is>
          <t>Legado</t>
        </is>
      </c>
      <c r="E21" s="9">
        <f>COUNTIF('02_Eventos'!F2:F495,"Legado")</f>
        <v/>
      </c>
      <c r="F21" s="9" t="n"/>
      <c r="G21" s="9" t="inlineStr">
        <is>
          <t>Fortaleza</t>
        </is>
      </c>
      <c r="H21" s="9">
        <f>IFERROR(_xludf.XLOOKUP(G21,'04_Radar_IAC'!A:A,'04_Radar_IAC'!J:J),0)</f>
        <v/>
      </c>
      <c r="I21" s="9" t="n"/>
      <c r="J21" s="9" t="inlineStr">
        <is>
          <t>Fortaleza</t>
        </is>
      </c>
      <c r="K21" s="9">
        <f>IFERROR(_xludf.XLOOKUP(J21,'05_Radar_INP'!A:A,'05_Radar_INP'!J:J),0)</f>
        <v/>
      </c>
      <c r="L21" s="9" t="n"/>
      <c r="M21" s="9" t="n"/>
      <c r="N21" s="9" t="n"/>
    </row>
    <row r="22">
      <c r="A22" s="9" t="n"/>
      <c r="B22" s="9" t="n"/>
      <c r="C22" s="9" t="n"/>
      <c r="D22" s="9" t="inlineStr">
        <is>
          <t>Outro</t>
        </is>
      </c>
      <c r="E22" s="9">
        <f>COUNTIF('02_Eventos'!F2:F495,"Outro")</f>
        <v/>
      </c>
      <c r="F22" s="9" t="n"/>
      <c r="G22" s="9" t="inlineStr">
        <is>
          <t>Brasília</t>
        </is>
      </c>
      <c r="H22" s="9">
        <f>IFERROR(_xludf.XLOOKUP(G22,'04_Radar_IAC'!A:A,'04_Radar_IAC'!J:J),0)</f>
        <v/>
      </c>
      <c r="I22" s="9" t="n"/>
      <c r="J22" s="9" t="inlineStr">
        <is>
          <t>Brasília</t>
        </is>
      </c>
      <c r="K22" s="9">
        <f>IFERROR(_xludf.XLOOKUP(J22,'05_Radar_INP'!A:A,'05_Radar_INP'!J:J),0)</f>
        <v/>
      </c>
      <c r="L22" s="9" t="n"/>
      <c r="M22" s="9" t="n"/>
      <c r="N22" s="9" t="n"/>
    </row>
    <row r="23">
      <c r="A23" s="9" t="n"/>
      <c r="B23" s="9" t="n"/>
      <c r="C23" s="9" t="n"/>
      <c r="D23" s="9" t="n"/>
      <c r="E23" s="9" t="n"/>
      <c r="F23" s="9" t="n"/>
      <c r="G23" s="9" t="inlineStr">
        <is>
          <t>Porto Alegre</t>
        </is>
      </c>
      <c r="H23" s="9">
        <f>IFERROR(_xludf.XLOOKUP(G23,'04_Radar_IAC'!A:A,'04_Radar_IAC'!J:J),0)</f>
        <v/>
      </c>
      <c r="I23" s="9" t="n"/>
      <c r="J23" s="9" t="inlineStr">
        <is>
          <t>Porto Alegre</t>
        </is>
      </c>
      <c r="K23" s="9">
        <f>IFERROR(_xludf.XLOOKUP(J23,'05_Radar_INP'!A:A,'05_Radar_INP'!J:J),0)</f>
        <v/>
      </c>
      <c r="L23" s="9" t="n"/>
      <c r="M23" s="9" t="n"/>
      <c r="N23" s="9" t="n"/>
    </row>
    <row r="24">
      <c r="A24" s="9" t="n"/>
      <c r="B24" s="9" t="n"/>
      <c r="C24" s="9" t="n"/>
      <c r="D24" s="9" t="n"/>
      <c r="E24" s="9" t="n"/>
      <c r="F24" s="9" t="n"/>
      <c r="G24" s="9" t="n"/>
      <c r="H24" s="9" t="n"/>
      <c r="I24" s="9" t="n"/>
      <c r="J24" s="9" t="n"/>
      <c r="K24" s="9" t="n"/>
      <c r="L24" s="9" t="n"/>
      <c r="M24" s="9" t="n"/>
      <c r="N24" s="9" t="n"/>
    </row>
    <row r="25">
      <c r="A25" s="9" t="n"/>
      <c r="B25" s="9" t="n"/>
      <c r="C25" s="9" t="n"/>
      <c r="D25" s="9" t="n"/>
      <c r="E25" s="9" t="n"/>
      <c r="F25" s="9" t="n"/>
      <c r="G25" s="9" t="n"/>
      <c r="H25" s="9" t="n"/>
      <c r="I25" s="9" t="n"/>
      <c r="J25" s="9" t="n"/>
      <c r="K25" s="9" t="n"/>
      <c r="L25" s="9" t="n"/>
      <c r="M25" s="9" t="n"/>
      <c r="N25" s="9" t="n"/>
    </row>
    <row r="26">
      <c r="A26" s="9" t="n"/>
      <c r="B26" s="9" t="n"/>
      <c r="C26" s="9" t="n"/>
      <c r="D26" s="9" t="n"/>
      <c r="E26" s="9" t="n"/>
      <c r="F26" s="9" t="n"/>
      <c r="G26" s="9" t="n"/>
      <c r="H26" s="9" t="n"/>
      <c r="I26" s="9" t="n"/>
      <c r="J26" s="9" t="n"/>
      <c r="K26" s="9" t="n"/>
      <c r="L26" s="9" t="n"/>
      <c r="M26" s="9" t="n"/>
      <c r="N26" s="9" t="n"/>
    </row>
    <row r="27">
      <c r="A27" s="9" t="n"/>
      <c r="B27" s="9" t="n"/>
      <c r="C27" s="9" t="n"/>
      <c r="D27" s="9" t="n"/>
      <c r="E27" s="9" t="n"/>
      <c r="F27" s="9" t="n"/>
      <c r="G27" s="9" t="n"/>
      <c r="H27" s="9" t="n"/>
      <c r="I27" s="9" t="n"/>
      <c r="J27" s="9" t="n"/>
      <c r="K27" s="9" t="n"/>
      <c r="L27" s="9" t="n"/>
      <c r="M27" s="9" t="n"/>
      <c r="N27" s="9" t="n"/>
    </row>
    <row r="28">
      <c r="A28" s="9" t="n"/>
      <c r="B28" s="9" t="n"/>
      <c r="C28" s="9" t="n"/>
      <c r="D28" s="9" t="n"/>
      <c r="E28" s="9" t="n"/>
      <c r="F28" s="9" t="n"/>
      <c r="G28" s="9" t="n"/>
      <c r="H28" s="9" t="n"/>
      <c r="I28" s="9" t="n"/>
      <c r="J28" s="9" t="n"/>
      <c r="K28" s="9" t="n"/>
      <c r="L28" s="9" t="n"/>
      <c r="M28" s="9" t="n"/>
      <c r="N28" s="9" t="n"/>
    </row>
    <row r="29">
      <c r="A29" s="9" t="n"/>
      <c r="B29" s="9" t="n"/>
      <c r="C29" s="9" t="n"/>
      <c r="D29" s="9" t="n"/>
      <c r="E29" s="9" t="n"/>
      <c r="F29" s="9" t="n"/>
      <c r="G29" s="9" t="n"/>
      <c r="H29" s="9" t="n"/>
      <c r="I29" s="9" t="n"/>
      <c r="J29" s="9" t="n"/>
      <c r="K29" s="9" t="n"/>
      <c r="L29" s="9" t="n"/>
      <c r="M29" s="9" t="n"/>
      <c r="N29" s="9" t="n"/>
    </row>
    <row r="30">
      <c r="A30" s="9" t="n"/>
      <c r="B30" s="9" t="n"/>
      <c r="C30" s="9" t="n"/>
      <c r="D30" s="9" t="n"/>
      <c r="E30" s="9" t="n"/>
      <c r="F30" s="9" t="n"/>
      <c r="G30" s="9" t="n"/>
      <c r="H30" s="9" t="n"/>
      <c r="I30" s="9" t="n"/>
      <c r="J30" s="9" t="n"/>
      <c r="K30" s="9" t="n"/>
      <c r="L30" s="9" t="n"/>
      <c r="M30" s="9" t="n"/>
      <c r="N30" s="9" t="n"/>
    </row>
    <row r="31">
      <c r="A31" s="9" t="n"/>
      <c r="B31" s="9" t="n"/>
      <c r="C31" s="9" t="n"/>
      <c r="D31" s="9" t="n"/>
      <c r="E31" s="9" t="n"/>
      <c r="F31" s="9" t="n"/>
      <c r="G31" s="9" t="n"/>
      <c r="H31" s="9" t="n"/>
      <c r="I31" s="9" t="n"/>
      <c r="J31" s="9" t="n"/>
      <c r="K31" s="9" t="n"/>
      <c r="L31" s="9" t="n"/>
      <c r="M31" s="9" t="n"/>
      <c r="N31" s="9" t="n"/>
    </row>
    <row r="32">
      <c r="A32" s="9" t="n"/>
      <c r="B32" s="9" t="n"/>
      <c r="C32" s="9" t="n"/>
      <c r="D32" s="9" t="n"/>
      <c r="E32" s="9" t="n"/>
      <c r="F32" s="9" t="n"/>
      <c r="G32" s="9" t="n"/>
      <c r="H32" s="9" t="n"/>
      <c r="I32" s="9" t="n"/>
      <c r="J32" s="9" t="n"/>
      <c r="K32" s="9" t="n"/>
      <c r="L32" s="9" t="n"/>
      <c r="M32" s="9" t="n"/>
      <c r="N32" s="9" t="n"/>
    </row>
    <row r="33">
      <c r="A33" s="9" t="n"/>
      <c r="B33" s="9" t="n"/>
      <c r="C33" s="9" t="n"/>
      <c r="D33" s="9" t="n"/>
      <c r="E33" s="9" t="n"/>
      <c r="F33" s="9" t="n"/>
      <c r="G33" s="9" t="n"/>
      <c r="H33" s="9" t="n"/>
      <c r="I33" s="9" t="n"/>
      <c r="J33" s="9" t="n"/>
      <c r="K33" s="9" t="n"/>
      <c r="L33" s="9" t="n"/>
      <c r="M33" s="9" t="n"/>
      <c r="N33" s="9" t="n"/>
    </row>
    <row r="34">
      <c r="A34" s="9" t="n"/>
      <c r="B34" s="9" t="n"/>
      <c r="C34" s="9" t="n"/>
      <c r="D34" s="9" t="n"/>
      <c r="E34" s="9" t="n"/>
      <c r="F34" s="9" t="n"/>
      <c r="G34" s="9" t="n"/>
      <c r="H34" s="9" t="n"/>
      <c r="I34" s="9" t="n"/>
      <c r="J34" s="9" t="n"/>
      <c r="K34" s="9" t="n"/>
      <c r="L34" s="9" t="n"/>
      <c r="M34" s="9" t="n"/>
      <c r="N34" s="9" t="n"/>
    </row>
    <row r="35">
      <c r="A35" s="9" t="n"/>
      <c r="B35" s="9" t="n"/>
      <c r="C35" s="9" t="n"/>
      <c r="D35" s="9" t="n"/>
      <c r="E35" s="9" t="n"/>
      <c r="F35" s="9" t="n"/>
      <c r="G35" s="9" t="n"/>
      <c r="H35" s="9" t="n"/>
      <c r="I35" s="9" t="n"/>
      <c r="J35" s="9" t="n"/>
      <c r="K35" s="9" t="n"/>
      <c r="L35" s="9" t="n"/>
      <c r="M35" s="9" t="n"/>
      <c r="N35" s="9" t="n"/>
    </row>
    <row r="36">
      <c r="A36" s="9" t="n"/>
      <c r="B36" s="9" t="n"/>
      <c r="C36" s="9" t="n"/>
      <c r="D36" s="9" t="n"/>
      <c r="E36" s="9" t="n"/>
      <c r="F36" s="9" t="n"/>
      <c r="G36" s="9" t="n"/>
      <c r="H36" s="9" t="n"/>
      <c r="I36" s="9" t="n"/>
      <c r="J36" s="9" t="n"/>
      <c r="K36" s="9" t="n"/>
      <c r="L36" s="9" t="n"/>
      <c r="M36" s="9" t="n"/>
      <c r="N36" s="9" t="n"/>
    </row>
    <row r="37">
      <c r="A37" s="9" t="n"/>
      <c r="B37" s="9" t="n"/>
      <c r="C37" s="9" t="n"/>
      <c r="D37" s="9" t="n"/>
      <c r="E37" s="9" t="n"/>
      <c r="F37" s="9" t="n"/>
      <c r="G37" s="9" t="n"/>
      <c r="H37" s="9" t="n"/>
      <c r="I37" s="9" t="n"/>
      <c r="J37" s="9" t="n"/>
      <c r="K37" s="9" t="n"/>
      <c r="L37" s="9" t="n"/>
      <c r="M37" s="9" t="n"/>
      <c r="N37" s="9" t="n"/>
    </row>
    <row r="38">
      <c r="A38" s="9" t="n"/>
      <c r="B38" s="9" t="n"/>
      <c r="C38" s="9" t="n"/>
      <c r="D38" s="9" t="n"/>
      <c r="E38" s="9" t="n"/>
      <c r="F38" s="9" t="n"/>
      <c r="G38" s="9" t="n"/>
      <c r="H38" s="9" t="n"/>
      <c r="I38" s="9" t="n"/>
      <c r="J38" s="9" t="n"/>
      <c r="K38" s="9" t="n"/>
      <c r="L38" s="9" t="n"/>
      <c r="M38" s="9" t="n"/>
      <c r="N38" s="9" t="n"/>
    </row>
    <row r="39">
      <c r="A39" s="9" t="n"/>
      <c r="B39" s="9" t="n"/>
      <c r="C39" s="9" t="n"/>
      <c r="D39" s="9" t="n"/>
      <c r="E39" s="9" t="n"/>
      <c r="F39" s="9" t="n"/>
      <c r="G39" s="9" t="n"/>
      <c r="H39" s="9" t="n"/>
      <c r="I39" s="9" t="n"/>
      <c r="J39" s="9" t="n"/>
      <c r="K39" s="9" t="n"/>
      <c r="L39" s="9" t="n"/>
      <c r="M39" s="9" t="n"/>
      <c r="N39" s="9" t="n"/>
    </row>
    <row r="40">
      <c r="A40" s="9" t="n"/>
      <c r="B40" s="9" t="n"/>
      <c r="C40" s="9" t="n"/>
      <c r="D40" s="9" t="n"/>
      <c r="E40" s="9" t="n"/>
      <c r="F40" s="9" t="n"/>
      <c r="G40" s="9" t="n"/>
      <c r="H40" s="9" t="n"/>
      <c r="I40" s="9" t="n"/>
      <c r="J40" s="9" t="n"/>
      <c r="K40" s="9" t="n"/>
      <c r="L40" s="9" t="n"/>
      <c r="M40" s="9" t="n"/>
      <c r="N40" s="9" t="n"/>
    </row>
    <row r="41">
      <c r="A41" s="9" t="n"/>
      <c r="B41" s="9" t="n"/>
      <c r="C41" s="9" t="n"/>
      <c r="D41" s="9" t="n"/>
      <c r="E41" s="9" t="n"/>
      <c r="F41" s="9" t="n"/>
      <c r="G41" s="9" t="n"/>
      <c r="H41" s="9" t="n"/>
      <c r="I41" s="9" t="n"/>
      <c r="J41" s="9" t="n"/>
      <c r="K41" s="9" t="n"/>
      <c r="L41" s="9" t="n"/>
      <c r="M41" s="9" t="n"/>
      <c r="N41" s="9" t="n"/>
    </row>
    <row r="42">
      <c r="A42" s="9" t="n"/>
      <c r="B42" s="9" t="n"/>
      <c r="C42" s="9" t="n"/>
      <c r="D42" s="9" t="n"/>
      <c r="E42" s="9" t="n"/>
      <c r="F42" s="9" t="n"/>
      <c r="G42" s="9" t="n"/>
      <c r="H42" s="9" t="n"/>
      <c r="I42" s="9" t="n"/>
      <c r="J42" s="9" t="n"/>
      <c r="K42" s="9" t="n"/>
      <c r="L42" s="9" t="n"/>
      <c r="M42" s="9" t="n"/>
      <c r="N42" s="9" t="n"/>
    </row>
    <row r="43">
      <c r="A43" s="9" t="n"/>
      <c r="B43" s="9" t="n"/>
      <c r="C43" s="9" t="n"/>
      <c r="D43" s="9" t="n"/>
      <c r="E43" s="9" t="n"/>
      <c r="F43" s="9" t="n"/>
      <c r="G43" s="9" t="n"/>
      <c r="H43" s="9" t="n"/>
      <c r="I43" s="9" t="n"/>
      <c r="J43" s="9" t="n"/>
      <c r="K43" s="9" t="n"/>
      <c r="L43" s="9" t="n"/>
      <c r="M43" s="9" t="n"/>
      <c r="N43" s="9" t="n"/>
    </row>
    <row r="44">
      <c r="A44" s="9" t="n"/>
      <c r="B44" s="9" t="n"/>
      <c r="C44" s="9" t="n"/>
      <c r="D44" s="9" t="n"/>
      <c r="E44" s="9" t="n"/>
      <c r="F44" s="9" t="n"/>
      <c r="G44" s="9" t="n"/>
      <c r="H44" s="9" t="n"/>
      <c r="I44" s="9" t="n"/>
      <c r="J44" s="9" t="n"/>
      <c r="K44" s="9" t="n"/>
      <c r="L44" s="9" t="n"/>
      <c r="M44" s="9" t="n"/>
      <c r="N44" s="9" t="n"/>
    </row>
    <row r="45">
      <c r="A45" s="9" t="n"/>
      <c r="B45" s="9" t="n"/>
      <c r="C45" s="9" t="n"/>
      <c r="D45" s="9" t="n"/>
      <c r="E45" s="9" t="n"/>
      <c r="F45" s="9" t="n"/>
      <c r="G45" s="9" t="n"/>
      <c r="H45" s="9" t="n"/>
      <c r="I45" s="9" t="n"/>
      <c r="J45" s="9" t="n"/>
      <c r="K45" s="9" t="n"/>
      <c r="L45" s="9" t="n"/>
      <c r="M45" s="9" t="n"/>
      <c r="N45" s="9" t="n"/>
    </row>
    <row r="46">
      <c r="A46" s="9" t="n"/>
      <c r="B46" s="9" t="n"/>
      <c r="C46" s="9" t="n"/>
      <c r="D46" s="9" t="n"/>
      <c r="E46" s="9" t="n"/>
      <c r="F46" s="9" t="n"/>
      <c r="G46" s="9" t="n"/>
      <c r="H46" s="9" t="n"/>
      <c r="I46" s="9" t="n"/>
      <c r="J46" s="9" t="n"/>
      <c r="K46" s="9" t="n"/>
      <c r="L46" s="9" t="n"/>
      <c r="M46" s="9" t="n"/>
      <c r="N46" s="9" t="n"/>
    </row>
    <row r="47">
      <c r="A47" s="9" t="n"/>
      <c r="B47" s="9" t="n"/>
      <c r="C47" s="9" t="n"/>
      <c r="D47" s="9" t="n"/>
      <c r="E47" s="9" t="n"/>
      <c r="F47" s="9" t="n"/>
      <c r="G47" s="9" t="n"/>
      <c r="H47" s="9" t="n"/>
      <c r="I47" s="9" t="n"/>
      <c r="J47" s="9" t="n"/>
      <c r="K47" s="9" t="n"/>
      <c r="L47" s="9" t="n"/>
      <c r="M47" s="9" t="n"/>
      <c r="N47" s="9" t="n"/>
    </row>
    <row r="48">
      <c r="A48" s="9" t="n"/>
      <c r="B48" s="9" t="n"/>
      <c r="C48" s="9" t="n"/>
      <c r="D48" s="9" t="n"/>
      <c r="E48" s="9" t="n"/>
      <c r="F48" s="9" t="n"/>
      <c r="G48" s="9" t="n"/>
      <c r="H48" s="9" t="n"/>
      <c r="I48" s="9" t="n"/>
      <c r="J48" s="9" t="n"/>
      <c r="K48" s="9" t="n"/>
      <c r="L48" s="9" t="n"/>
      <c r="M48" s="9" t="n"/>
      <c r="N48" s="9" t="n"/>
    </row>
    <row r="49">
      <c r="A49" s="9" t="n"/>
      <c r="B49" s="9" t="n"/>
      <c r="C49" s="9" t="n"/>
      <c r="D49" s="9" t="n"/>
      <c r="E49" s="9" t="n"/>
      <c r="F49" s="9" t="n"/>
      <c r="G49" s="9" t="n"/>
      <c r="H49" s="9" t="n"/>
      <c r="I49" s="9" t="n"/>
      <c r="J49" s="9" t="n"/>
      <c r="K49" s="9" t="n"/>
      <c r="L49" s="9" t="n"/>
      <c r="M49" s="9" t="n"/>
      <c r="N49" s="9" t="n"/>
    </row>
    <row r="50">
      <c r="A50" s="9" t="n"/>
      <c r="B50" s="9" t="n"/>
      <c r="C50" s="9" t="n"/>
      <c r="D50" s="9" t="n"/>
      <c r="E50" s="9" t="n"/>
      <c r="F50" s="9" t="n"/>
      <c r="G50" s="9" t="n"/>
      <c r="H50" s="9" t="n"/>
      <c r="I50" s="9" t="n"/>
      <c r="J50" s="9" t="n"/>
      <c r="K50" s="9" t="n"/>
      <c r="L50" s="9" t="n"/>
      <c r="M50" s="9" t="n"/>
      <c r="N50" s="9" t="n"/>
    </row>
    <row r="51">
      <c r="A51" s="9" t="n"/>
      <c r="B51" s="9" t="n"/>
      <c r="C51" s="9" t="n"/>
      <c r="D51" s="9" t="n"/>
      <c r="E51" s="9" t="n"/>
      <c r="F51" s="9" t="n"/>
      <c r="G51" s="9" t="n"/>
      <c r="H51" s="9" t="n"/>
      <c r="I51" s="9" t="n"/>
      <c r="J51" s="9" t="n"/>
      <c r="K51" s="9" t="n"/>
      <c r="L51" s="9" t="n"/>
      <c r="M51" s="9" t="n"/>
      <c r="N51" s="9" t="n"/>
    </row>
    <row r="52">
      <c r="A52" s="9" t="n"/>
      <c r="B52" s="9" t="n"/>
      <c r="C52" s="9" t="n"/>
      <c r="D52" s="9" t="n"/>
      <c r="E52" s="9" t="n"/>
      <c r="F52" s="9" t="n"/>
      <c r="G52" s="9" t="n"/>
      <c r="H52" s="9" t="n"/>
      <c r="I52" s="9" t="n"/>
      <c r="J52" s="9" t="n"/>
      <c r="K52" s="9" t="n"/>
      <c r="L52" s="9" t="n"/>
      <c r="M52" s="9" t="n"/>
      <c r="N52" s="9" t="n"/>
    </row>
    <row r="53">
      <c r="A53" s="9" t="n"/>
      <c r="B53" s="9" t="n"/>
      <c r="C53" s="9" t="n"/>
      <c r="D53" s="9" t="n"/>
      <c r="E53" s="9" t="n"/>
      <c r="F53" s="9" t="n"/>
      <c r="G53" s="9" t="n"/>
      <c r="H53" s="9" t="n"/>
      <c r="I53" s="9" t="n"/>
      <c r="J53" s="9" t="n"/>
      <c r="K53" s="9" t="n"/>
      <c r="L53" s="9" t="n"/>
      <c r="M53" s="9" t="n"/>
      <c r="N53" s="9" t="n"/>
    </row>
    <row r="54">
      <c r="A54" s="9" t="n"/>
      <c r="B54" s="9" t="n"/>
      <c r="C54" s="9" t="n"/>
      <c r="D54" s="9" t="n"/>
      <c r="E54" s="9" t="n"/>
      <c r="F54" s="9" t="n"/>
      <c r="G54" s="9" t="n"/>
      <c r="H54" s="9" t="n"/>
      <c r="I54" s="9" t="n"/>
      <c r="J54" s="9" t="n"/>
      <c r="K54" s="9" t="n"/>
      <c r="L54" s="9" t="n"/>
      <c r="M54" s="9" t="n"/>
      <c r="N54" s="9" t="n"/>
    </row>
    <row r="55">
      <c r="A55" s="9" t="n"/>
      <c r="B55" s="9" t="n"/>
      <c r="C55" s="9" t="n"/>
      <c r="D55" s="9" t="n"/>
      <c r="E55" s="9" t="n"/>
      <c r="F55" s="9" t="n"/>
      <c r="G55" s="9" t="n"/>
      <c r="H55" s="9" t="n"/>
      <c r="I55" s="9" t="n"/>
      <c r="J55" s="9" t="n"/>
      <c r="K55" s="9" t="n"/>
      <c r="L55" s="9" t="n"/>
      <c r="M55" s="9" t="n"/>
      <c r="N55" s="9" t="n"/>
    </row>
    <row r="56">
      <c r="A56" s="9" t="n"/>
      <c r="B56" s="9" t="n"/>
      <c r="C56" s="9" t="n"/>
      <c r="D56" s="9" t="n"/>
      <c r="E56" s="9" t="n"/>
      <c r="F56" s="9" t="n"/>
      <c r="G56" s="9" t="n"/>
      <c r="H56" s="9" t="n"/>
      <c r="I56" s="9" t="n"/>
      <c r="J56" s="9" t="n"/>
      <c r="K56" s="9" t="n"/>
      <c r="L56" s="9" t="n"/>
      <c r="M56" s="9" t="n"/>
      <c r="N56" s="9" t="n"/>
    </row>
    <row r="57">
      <c r="A57" s="9" t="n"/>
      <c r="B57" s="9" t="n"/>
      <c r="C57" s="9" t="n"/>
      <c r="D57" s="9" t="n"/>
      <c r="E57" s="9" t="n"/>
      <c r="F57" s="9" t="n"/>
      <c r="G57" s="9" t="n"/>
      <c r="H57" s="9" t="n"/>
      <c r="I57" s="9" t="n"/>
      <c r="J57" s="9" t="n"/>
      <c r="K57" s="9" t="n"/>
      <c r="L57" s="9" t="n"/>
      <c r="M57" s="9" t="n"/>
      <c r="N57" s="9" t="n"/>
    </row>
    <row r="58">
      <c r="A58" s="9" t="n"/>
      <c r="B58" s="9" t="n"/>
      <c r="C58" s="9" t="n"/>
      <c r="D58" s="9" t="n"/>
      <c r="E58" s="9" t="n"/>
      <c r="F58" s="9" t="n"/>
      <c r="G58" s="9" t="n"/>
      <c r="H58" s="9" t="n"/>
      <c r="I58" s="9" t="n"/>
      <c r="J58" s="9" t="n"/>
      <c r="K58" s="9" t="n"/>
      <c r="L58" s="9" t="n"/>
      <c r="M58" s="9" t="n"/>
      <c r="N58" s="9" t="n"/>
    </row>
    <row r="59">
      <c r="A59" s="9" t="n"/>
      <c r="B59" s="9" t="n"/>
      <c r="C59" s="9" t="n"/>
      <c r="D59" s="9" t="n"/>
      <c r="E59" s="9" t="n"/>
      <c r="F59" s="9" t="n"/>
      <c r="G59" s="9" t="n"/>
      <c r="H59" s="9" t="n"/>
      <c r="I59" s="9" t="n"/>
      <c r="J59" s="9" t="n"/>
      <c r="K59" s="9" t="n"/>
      <c r="L59" s="9" t="n"/>
      <c r="M59" s="9" t="n"/>
      <c r="N59" s="9" t="n"/>
    </row>
    <row r="60">
      <c r="A60" s="9" t="n"/>
      <c r="B60" s="9" t="n"/>
      <c r="C60" s="9" t="n"/>
      <c r="D60" s="9" t="n"/>
      <c r="E60" s="9" t="n"/>
      <c r="F60" s="9" t="n"/>
      <c r="G60" s="9" t="n"/>
      <c r="H60" s="9" t="n"/>
      <c r="I60" s="9" t="n"/>
      <c r="J60" s="9" t="n"/>
      <c r="K60" s="9" t="n"/>
      <c r="L60" s="9" t="n"/>
      <c r="M60" s="9" t="n"/>
      <c r="N60" s="9" t="n"/>
    </row>
    <row r="61">
      <c r="A61" s="9" t="n"/>
      <c r="B61" s="9" t="n"/>
      <c r="C61" s="9" t="n"/>
      <c r="D61" s="9" t="n"/>
      <c r="E61" s="9" t="n"/>
      <c r="F61" s="9" t="n"/>
      <c r="G61" s="9" t="n"/>
      <c r="H61" s="9" t="n"/>
      <c r="I61" s="9" t="n"/>
      <c r="J61" s="9" t="n"/>
      <c r="K61" s="9" t="n"/>
      <c r="L61" s="9" t="n"/>
      <c r="M61" s="9" t="n"/>
      <c r="N61" s="9" t="n"/>
    </row>
    <row r="62">
      <c r="A62" s="9" t="n"/>
      <c r="B62" s="9" t="n"/>
      <c r="C62" s="9" t="n"/>
      <c r="D62" s="9" t="n"/>
      <c r="E62" s="9" t="n"/>
      <c r="F62" s="9" t="n"/>
      <c r="G62" s="9" t="n"/>
      <c r="H62" s="9" t="n"/>
      <c r="I62" s="9" t="n"/>
      <c r="J62" s="9" t="n"/>
      <c r="K62" s="9" t="n"/>
      <c r="L62" s="9" t="n"/>
      <c r="M62" s="9" t="n"/>
      <c r="N62" s="9" t="n"/>
    </row>
    <row r="63">
      <c r="A63" s="9" t="n"/>
      <c r="B63" s="9" t="n"/>
      <c r="C63" s="9" t="n"/>
      <c r="D63" s="9" t="n"/>
      <c r="E63" s="9" t="n"/>
      <c r="F63" s="9" t="n"/>
      <c r="G63" s="9" t="n"/>
      <c r="H63" s="9" t="n"/>
      <c r="I63" s="9" t="n"/>
      <c r="J63" s="9" t="n"/>
      <c r="K63" s="9" t="n"/>
      <c r="L63" s="9" t="n"/>
      <c r="M63" s="9" t="n"/>
      <c r="N63" s="9" t="n"/>
    </row>
    <row r="64">
      <c r="A64" s="9" t="n"/>
      <c r="B64" s="9" t="n"/>
      <c r="C64" s="9" t="n"/>
      <c r="D64" s="9" t="n"/>
      <c r="E64" s="9" t="n"/>
      <c r="F64" s="9" t="n"/>
      <c r="G64" s="9" t="n"/>
      <c r="H64" s="9" t="n"/>
      <c r="I64" s="9" t="n"/>
      <c r="J64" s="9" t="n"/>
      <c r="K64" s="9" t="n"/>
      <c r="L64" s="9" t="n"/>
      <c r="M64" s="9" t="n"/>
      <c r="N64" s="9" t="n"/>
    </row>
    <row r="65">
      <c r="A65" s="9" t="n"/>
      <c r="B65" s="9" t="n"/>
      <c r="C65" s="9" t="n"/>
      <c r="D65" s="9" t="n"/>
      <c r="E65" s="9" t="n"/>
      <c r="F65" s="9" t="n"/>
      <c r="G65" s="9" t="n"/>
      <c r="H65" s="9" t="n"/>
      <c r="I65" s="9" t="n"/>
      <c r="J65" s="9" t="n"/>
      <c r="K65" s="9" t="n"/>
      <c r="L65" s="9" t="n"/>
      <c r="M65" s="9" t="n"/>
      <c r="N65" s="9" t="n"/>
    </row>
  </sheetData>
  <mergeCells count="11">
    <mergeCell ref="G5:I7"/>
    <mergeCell ref="A1:N2"/>
    <mergeCell ref="A3:N3"/>
    <mergeCell ref="J5:L7"/>
    <mergeCell ref="A9:C11"/>
    <mergeCell ref="D9:F11"/>
    <mergeCell ref="J9:L11"/>
    <mergeCell ref="G9:I11"/>
    <mergeCell ref="D5:F7"/>
    <mergeCell ref="A13:N13"/>
    <mergeCell ref="A5:C7"/>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500"/>
  <sheetViews>
    <sheetView workbookViewId="0">
      <selection activeCell="A1" sqref="A1"/>
    </sheetView>
  </sheetViews>
  <sheetFormatPr baseColWidth="8" defaultRowHeight="14.25"/>
  <cols>
    <col width="16" customWidth="1" style="1" min="1" max="6"/>
    <col width="24" customWidth="1" style="1" min="7" max="7"/>
    <col width="16" customWidth="1" style="1" min="8" max="12"/>
    <col width="28" customWidth="1" style="1" min="13" max="14"/>
    <col width="16" customWidth="1" style="1" min="15" max="16"/>
  </cols>
  <sheetData>
    <row r="1" ht="24" customHeight="1" s="1">
      <c r="A1" s="4" t="inlineStr">
        <is>
          <t>ID</t>
        </is>
      </c>
      <c r="B1" s="4" t="inlineStr">
        <is>
          <t>Status</t>
        </is>
      </c>
      <c r="C1" s="4" t="inlineStr">
        <is>
          <t>Data</t>
        </is>
      </c>
      <c r="D1" s="4" t="inlineStr">
        <is>
          <t>UF</t>
        </is>
      </c>
      <c r="E1" s="4" t="inlineStr">
        <is>
          <t>Cidade</t>
        </is>
      </c>
      <c r="F1" s="4" t="inlineStr">
        <is>
          <t>Categoria</t>
        </is>
      </c>
      <c r="G1" s="4" t="inlineStr">
        <is>
          <t>Organizador</t>
        </is>
      </c>
      <c r="H1" s="4" t="inlineStr">
        <is>
          <t>Público Estimado</t>
        </is>
      </c>
      <c r="I1" s="4" t="inlineStr">
        <is>
          <t>Patrocinador</t>
        </is>
      </c>
      <c r="J1" s="4" t="inlineStr">
        <is>
          <t>Local</t>
        </is>
      </c>
      <c r="K1" s="4" t="inlineStr">
        <is>
          <t>Latitude</t>
        </is>
      </c>
      <c r="L1" s="4" t="inlineStr">
        <is>
          <t>Longitude</t>
        </is>
      </c>
      <c r="M1" s="4" t="inlineStr">
        <is>
          <t>Link/Fonte</t>
        </is>
      </c>
      <c r="N1" s="4" t="inlineStr">
        <is>
          <t>Observações</t>
        </is>
      </c>
      <c r="O1" s="4" t="inlineStr">
        <is>
          <t>Mês</t>
        </is>
      </c>
      <c r="P1" s="4" t="inlineStr">
        <is>
          <t>Ano</t>
        </is>
      </c>
      <c r="Q1" s="4" t="inlineStr">
        <is>
          <t>Hora</t>
        </is>
      </c>
      <c r="R1" s="4" t="inlineStr">
        <is>
          <t>HoraFim</t>
        </is>
      </c>
      <c r="S1" s="4" t="inlineStr">
        <is>
          <t>FusoHorario</t>
        </is>
      </c>
      <c r="T1" s="4" t="inlineStr">
        <is>
          <t>DataFim</t>
        </is>
      </c>
      <c r="U1" s="4" t="inlineStr">
        <is>
          <t>DataCalendario</t>
        </is>
      </c>
    </row>
    <row r="2" ht="42.75" customHeight="1" s="1">
      <c r="A2" s="23" t="inlineStr">
        <is>
          <t>EVT-0070</t>
        </is>
      </c>
      <c r="B2" s="23" t="inlineStr">
        <is>
          <t>Realizado</t>
        </is>
      </c>
      <c r="C2" s="32" t="n">
        <v>45859</v>
      </c>
      <c r="D2" s="23" t="inlineStr">
        <is>
          <t>MG</t>
        </is>
      </c>
      <c r="E2" s="23" t="inlineStr">
        <is>
          <t>Belo Horizonte</t>
        </is>
      </c>
      <c r="F2" s="23" t="inlineStr">
        <is>
          <t>Ativação itinerante</t>
        </is>
      </c>
      <c r="G2" s="23" t="inlineStr">
        <is>
          <t>Petrobras / Ministério da Cultura / D+ Projetos</t>
        </is>
      </c>
      <c r="H2" s="7" t="n">
        <v>0</v>
      </c>
      <c r="I2" s="23" t="inlineStr">
        <is>
          <t>Petrobras</t>
        </is>
      </c>
      <c r="J2" s="23" t="inlineStr">
        <is>
          <t>Parque Jornalista Eduardo Couri (Barragem Santa Lúcia)</t>
        </is>
      </c>
      <c r="K2" s="8" t="n">
        <v>-19.9167</v>
      </c>
      <c r="L2" s="8" t="n">
        <v>-43.9345</v>
      </c>
      <c r="M2" s="23" t="inlineStr">
        <is>
          <t>https://agencia.petrobras.com.br/w/regionais/caravana-do-futebol-feminino-petrobras-chega-a-belo-horizonte-com-programacao-gratuita</t>
        </is>
      </c>
      <c r="N2" s="9" t="inlineStr">
        <is>
          <t>Etapa da Caravana do Futebol Feminino Petrobras realizada de 21 a 27/07/2025, com visitação gratuita, experiências imersivas, jogos, oficinas e conteúdos educativos sobre a modalidade. O projeto itinerante foi criado para mobilizar a população e incentivar meninas em preparação para a Copa do Mundo Feminina 2027.</t>
        </is>
      </c>
      <c r="O2" s="23" t="inlineStr">
        <is>
          <t>Jul</t>
        </is>
      </c>
      <c r="P2" s="23" t="n">
        <v>2025</v>
      </c>
      <c r="T2" s="32" t="n"/>
      <c r="U2" s="32" t="n"/>
    </row>
    <row r="3" ht="42.75" customHeight="1" s="1">
      <c r="A3" s="23" t="inlineStr">
        <is>
          <t>EVT-0071</t>
        </is>
      </c>
      <c r="B3" s="23" t="inlineStr">
        <is>
          <t>Realizado</t>
        </is>
      </c>
      <c r="C3" s="32" t="n">
        <v>45887</v>
      </c>
      <c r="D3" s="23" t="inlineStr">
        <is>
          <t>SP</t>
        </is>
      </c>
      <c r="E3" s="23" t="inlineStr">
        <is>
          <t>São Paulo</t>
        </is>
      </c>
      <c r="F3" s="23" t="inlineStr">
        <is>
          <t>Ativação itinerante</t>
        </is>
      </c>
      <c r="G3" s="23" t="inlineStr">
        <is>
          <t>Petrobras / Ministério da Cultura / D+ Projetos / Prefeitura de São Paulo</t>
        </is>
      </c>
      <c r="H3" s="7" t="n">
        <v>0</v>
      </c>
      <c r="I3" s="23" t="inlineStr">
        <is>
          <t>Petrobras</t>
        </is>
      </c>
      <c r="J3" s="23" t="inlineStr">
        <is>
          <t>Mercado Livre Arena Pacaembu</t>
        </is>
      </c>
      <c r="K3" s="8" t="n">
        <v>-23.5505</v>
      </c>
      <c r="L3" s="8" t="n">
        <v>-46.6333</v>
      </c>
      <c r="M3" s="23" t="inlineStr">
        <is>
          <t>https://prefeitura.sp.gov.br/web/cultura/w/caravana-do-futebol-feminino-chega-na-cidade-com-apoio-da-prefeitura-de-s%C3%A3o-paulo</t>
        </is>
      </c>
      <c r="N3" s="9" t="inlineStr">
        <is>
          <t>Etapa da Caravana do Futebol Feminino Petrobras realizada de 18 a 24/08/2025, com entrada gratuita. A programação reuniu oficinas, jogos, ativações tecnológicas, experiências audiovisuais e encontros ligados à modalidade, com objetivo explícito de mobilizar o público e incentivar meninas rumo à Copa Feminina 2027.</t>
        </is>
      </c>
      <c r="O3" s="23" t="inlineStr">
        <is>
          <t>Ago</t>
        </is>
      </c>
      <c r="P3" s="23" t="n">
        <v>2025</v>
      </c>
      <c r="T3" s="32" t="n"/>
      <c r="U3" s="32" t="n"/>
    </row>
    <row r="4" ht="57" customHeight="1" s="1">
      <c r="A4" s="23" t="inlineStr">
        <is>
          <t>EVT-0072</t>
        </is>
      </c>
      <c r="B4" s="23" t="inlineStr">
        <is>
          <t>Realizado</t>
        </is>
      </c>
      <c r="C4" s="32" t="n">
        <v>45936</v>
      </c>
      <c r="D4" s="23" t="inlineStr">
        <is>
          <t>RS</t>
        </is>
      </c>
      <c r="E4" s="23" t="inlineStr">
        <is>
          <t>Porto Alegre</t>
        </is>
      </c>
      <c r="F4" s="23" t="inlineStr">
        <is>
          <t>Ativação itinerante</t>
        </is>
      </c>
      <c r="G4" s="23" t="inlineStr">
        <is>
          <t>Petrobras / Ministério da Cultura / D+ Projetos</t>
        </is>
      </c>
      <c r="H4" s="7" t="n">
        <v>0</v>
      </c>
      <c r="I4" s="23" t="inlineStr">
        <is>
          <t>Petrobras</t>
        </is>
      </c>
      <c r="J4" s="23" t="inlineStr">
        <is>
          <t>Avenida Borges de Medeiros, 2651–2729, Praia de Belas</t>
        </is>
      </c>
      <c r="K4" s="8" t="n">
        <v>-30.0346</v>
      </c>
      <c r="L4" s="8" t="n">
        <v>-51.2177</v>
      </c>
      <c r="M4" s="23" t="inlineStr">
        <is>
          <t>https://agencia.petrobras.com.br/w/caravana-do-futebol-feminino-petrobras-chega-em-porto-alegre-com-programa%C3%A7%C3%A3o-gratuita</t>
        </is>
      </c>
      <c r="N4" s="9" t="inlineStr">
        <is>
          <t>Etapa da Caravana do Futebol Feminino Petrobras realizada de 06 a 12/10/2025. A exposição gratuita ofereceu jogos interativos, experiências com tecnologia e inteligência artificial, conteúdos sobre atletas e ações em espaços públicos e projetos sociais, mobilizando a cidade-sede para a Copa Feminina 2027.</t>
        </is>
      </c>
      <c r="O4" s="23" t="inlineStr">
        <is>
          <t>Out</t>
        </is>
      </c>
      <c r="P4" s="23" t="n">
        <v>2025</v>
      </c>
      <c r="T4" s="32" t="n"/>
      <c r="U4" s="32" t="n"/>
    </row>
    <row r="5" ht="71.25" customHeight="1" s="1">
      <c r="A5" s="23" t="inlineStr">
        <is>
          <t>EVT-0073</t>
        </is>
      </c>
      <c r="B5" s="23" t="inlineStr">
        <is>
          <t>Realizado</t>
        </is>
      </c>
      <c r="C5" s="32" t="n">
        <v>45975</v>
      </c>
      <c r="D5" s="23" t="inlineStr">
        <is>
          <t>BA</t>
        </is>
      </c>
      <c r="E5" s="23" t="inlineStr">
        <is>
          <t>Salvador</t>
        </is>
      </c>
      <c r="F5" s="23" t="inlineStr">
        <is>
          <t>Ativação itinerante</t>
        </is>
      </c>
      <c r="G5" s="23" t="inlineStr">
        <is>
          <t>Petrobras / Ministério da Cultura / D+ Projetos</t>
        </is>
      </c>
      <c r="H5" s="7" t="n">
        <v>0</v>
      </c>
      <c r="I5" s="23" t="inlineStr">
        <is>
          <t>Petrobras</t>
        </is>
      </c>
      <c r="J5" s="23" t="inlineStr">
        <is>
          <t>Parque Costa Azul</t>
        </is>
      </c>
      <c r="K5" s="8" t="n">
        <v>-12.9777</v>
      </c>
      <c r="L5" s="8" t="n">
        <v>-38.5016</v>
      </c>
      <c r="M5" s="23" t="inlineStr">
        <is>
          <t>https://agencia.petrobras.com.br/w/caravana-do-futebol-feminino-petrobras-chega-em-salvador-com-programa%C3%A7%C3%A3o-gratuita</t>
        </is>
      </c>
      <c r="N5" s="9" t="inlineStr">
        <is>
          <t>Etapa da Caravana do Futebol Feminino Petrobras realizada de 14 a 20/11/2025, com entrada gratuita, jogos interativos, experiências audiovisuais e ações presenciais para aproximar o público da modalidade. O circuito nacional teve vínculo expresso com a mobilização para a Copa Feminina 2027.</t>
        </is>
      </c>
      <c r="O5" s="23" t="inlineStr">
        <is>
          <t>Nov</t>
        </is>
      </c>
      <c r="P5" s="23" t="n">
        <v>2025</v>
      </c>
      <c r="T5" s="32" t="n"/>
      <c r="U5" s="32" t="n"/>
    </row>
    <row r="6" ht="57" customHeight="1" s="1">
      <c r="A6" s="23" t="inlineStr">
        <is>
          <t>EVT-0030</t>
        </is>
      </c>
      <c r="B6" s="23" t="inlineStr">
        <is>
          <t>Realizado</t>
        </is>
      </c>
      <c r="C6" s="32" t="n">
        <v>46047</v>
      </c>
      <c r="D6" s="23" t="inlineStr">
        <is>
          <t>RJ</t>
        </is>
      </c>
      <c r="E6" s="23" t="inlineStr">
        <is>
          <t>Rio de Janeiro</t>
        </is>
      </c>
      <c r="F6" s="23" t="inlineStr">
        <is>
          <t>Lançamento oficial</t>
        </is>
      </c>
      <c r="G6" s="23" t="inlineStr">
        <is>
          <t>FIFA</t>
        </is>
      </c>
      <c r="H6" s="7" t="n">
        <v>0</v>
      </c>
      <c r="I6" s="23" t="inlineStr"/>
      <c r="J6" s="23" t="inlineStr">
        <is>
          <t>Avenida Atlântica, Copacabana</t>
        </is>
      </c>
      <c r="K6" s="8" t="n">
        <v>-22.9068</v>
      </c>
      <c r="L6" s="8" t="n">
        <v>-43.1729</v>
      </c>
      <c r="M6" s="23" t="inlineStr">
        <is>
          <t>https://www.fifa.com/pt/tournaments/womens/womensworldcup/brazil-2027/articles/copa-mundo-feminina-brasil-marca-emblema-oficial</t>
        </is>
      </c>
      <c r="N6" s="9" t="inlineStr">
        <is>
          <t>Evento público realizado em 25/01/2026, em Copacabana, para iniciar a jornada rumo à Copa do Mundo Feminina 2027 e apresentar oficialmente o emblema, o slogan “Vai Ser Épico” e a identidade sonora do torneio.</t>
        </is>
      </c>
      <c r="O6" s="23" t="inlineStr">
        <is>
          <t>Jan</t>
        </is>
      </c>
      <c r="P6" s="23" t="n">
        <v>2026</v>
      </c>
      <c r="T6" s="32" t="n"/>
      <c r="U6" s="32" t="n"/>
    </row>
    <row r="7" ht="42.75" customHeight="1" s="1">
      <c r="A7" s="23" t="inlineStr">
        <is>
          <t>EVT-0051</t>
        </is>
      </c>
      <c r="B7" s="23" t="inlineStr">
        <is>
          <t>Realizado</t>
        </is>
      </c>
      <c r="C7" s="32" t="n">
        <v>46084</v>
      </c>
      <c r="D7" s="23" t="inlineStr">
        <is>
          <t>RJ</t>
        </is>
      </c>
      <c r="E7" s="23" t="inlineStr">
        <is>
          <t>Rio de Janeiro</t>
        </is>
      </c>
      <c r="F7" s="23" t="inlineStr">
        <is>
          <t>Lançamento de programa</t>
        </is>
      </c>
      <c r="G7" s="23" t="inlineStr">
        <is>
          <t>Prefeitura do Rio / Secretaria Municipal de Esportes</t>
        </is>
      </c>
      <c r="H7" s="7" t="n">
        <v>500</v>
      </c>
      <c r="I7" s="23" t="inlineStr"/>
      <c r="J7" s="23" t="inlineStr">
        <is>
          <t>Vila Olímpica Apolinho</t>
        </is>
      </c>
      <c r="K7" s="8" t="n">
        <v>-22.9068</v>
      </c>
      <c r="L7" s="8" t="n">
        <v>-43.1729</v>
      </c>
      <c r="M7" s="23" t="inlineStr">
        <is>
          <t>https://esportes.prefeitura.rio/noticias/prefeitura-lanca-o-projeto-rio-capital-do-futebol-feminino/</t>
        </is>
      </c>
      <c r="N7" s="9" t="inlineStr">
        <is>
          <t>Lançamento do projeto “Rio: Capital do Futebol Feminino”, realizado em 03/03/2026 na Vila Olímpica Apolinho. A iniciativa vinculada ao legado da Copa 2027 oferece futebol a até 500 meninas de 10 a 15 anos em dez Vilas Olímpicas, com participação de pioneiras da Seleção e ações educativas contra violência e discriminação.</t>
        </is>
      </c>
      <c r="O7" s="23" t="inlineStr">
        <is>
          <t>Mar</t>
        </is>
      </c>
      <c r="P7" s="23" t="n">
        <v>2026</v>
      </c>
      <c r="T7" s="32" t="n"/>
      <c r="U7" s="32" t="n"/>
    </row>
    <row r="8" ht="71.25" customHeight="1" s="1">
      <c r="A8" s="23" t="inlineStr">
        <is>
          <t>EVT-0056</t>
        </is>
      </c>
      <c r="B8" s="23" t="inlineStr">
        <is>
          <t>Realizado</t>
        </is>
      </c>
      <c r="C8" s="32" t="n">
        <v>46088</v>
      </c>
      <c r="D8" s="23" t="inlineStr">
        <is>
          <t>RS</t>
        </is>
      </c>
      <c r="E8" s="23" t="inlineStr">
        <is>
          <t>Porto Alegre</t>
        </is>
      </c>
      <c r="F8" s="23" t="inlineStr">
        <is>
          <t>Vistoria técnica</t>
        </is>
      </c>
      <c r="G8" s="23" t="inlineStr">
        <is>
          <t>FIFA / Prefeitura de Porto Alegre / Secopa 2027</t>
        </is>
      </c>
      <c r="H8" s="7" t="n">
        <v>0</v>
      </c>
      <c r="I8" s="23" t="inlineStr"/>
      <c r="J8" s="23" t="inlineStr">
        <is>
          <t>Estádio Beira-Rio, campos do Sesc, Vila Ventura e Ulbra</t>
        </is>
      </c>
      <c r="K8" s="8" t="n">
        <v>-30.0346</v>
      </c>
      <c r="L8" s="8" t="n">
        <v>-51.2177</v>
      </c>
      <c r="M8" s="23" t="inlineStr">
        <is>
          <t>https://prefeitura.poa.br/secopa2027/noticias/copa-feminina-prefeitura-acompanha-vistoria-da-fifa-em-centros-de-treinamento</t>
        </is>
      </c>
      <c r="N8" s="9" t="inlineStr">
        <is>
          <t>Vistoria realizada em 07/03/2026 pela FIFA em centros de treinamento de Porto Alegre e da Região Metropolitana. Foram avaliados o Estádio Beira-Rio e campos do Sesc, Vila Ventura e Ulbra, com análise de gramado, irrigação, gols e equipamentos para verificar a adequação às exigências de preparação das seleções na Copa Feminina 2027.</t>
        </is>
      </c>
      <c r="O8" s="23" t="inlineStr">
        <is>
          <t>Mar</t>
        </is>
      </c>
      <c r="P8" s="23" t="n">
        <v>2026</v>
      </c>
      <c r="T8" s="32" t="n"/>
      <c r="U8" s="32" t="n"/>
    </row>
    <row r="9" ht="84" customHeight="1" s="1">
      <c r="A9" s="9" t="inlineStr">
        <is>
          <t>EVT-0027</t>
        </is>
      </c>
      <c r="B9" s="9" t="inlineStr">
        <is>
          <t>Realizado</t>
        </is>
      </c>
      <c r="C9" s="31" t="n">
        <v>46089</v>
      </c>
      <c r="D9" s="9" t="inlineStr">
        <is>
          <t>RS</t>
        </is>
      </c>
      <c r="E9" s="9" t="inlineStr">
        <is>
          <t>Porto Alegre</t>
        </is>
      </c>
      <c r="F9" s="9" t="inlineStr">
        <is>
          <t>Jogo comemorativo</t>
        </is>
      </c>
      <c r="G9" s="9" t="inlineStr">
        <is>
          <t>Prefeitura de Porto Alegre / Secopa 2027</t>
        </is>
      </c>
      <c r="H9" s="11" t="n">
        <v>0</v>
      </c>
      <c r="I9" s="9" t="inlineStr"/>
      <c r="J9" s="9" t="inlineStr">
        <is>
          <t>Quadra 20, Trecho 3 da Orla do Guaíba</t>
        </is>
      </c>
      <c r="K9" s="12" t="n">
        <v>-30.0346</v>
      </c>
      <c r="L9" s="12" t="n">
        <v>-51.2177</v>
      </c>
      <c r="M9" s="9" t="inlineStr">
        <is>
          <t>https://www.prefeitura.poa.br/secopa2027/noticias/gre-nal-feminino-pelo-dia-da-mulher-sera-no-trecho-3-da-orla-neste-domingo</t>
        </is>
      </c>
      <c r="N9" s="9" t="inlineStr">
        <is>
          <t>Gre-Nal feminino realizado em 08/03/2026, com entrada gratuita, reunindo pioneiras e ex-atletas de Grêmio e Internacional. A ação homenageou o Dia Internacional da Mulher, valorizou jogadoras e profissionais do esporte e integrou a preparação de Porto Alegre para a Copa 2027.</t>
        </is>
      </c>
      <c r="O9" s="9" t="inlineStr">
        <is>
          <t>Mar</t>
        </is>
      </c>
      <c r="P9" s="9" t="n">
        <v>2026</v>
      </c>
      <c r="T9" s="32" t="n"/>
      <c r="U9" s="32" t="n"/>
    </row>
    <row r="10" ht="99.75" customHeight="1" s="1">
      <c r="A10" s="9" t="inlineStr">
        <is>
          <t>EVT-0047</t>
        </is>
      </c>
      <c r="B10" s="9" t="inlineStr">
        <is>
          <t>Realizado</t>
        </is>
      </c>
      <c r="C10" s="31" t="n">
        <v>46091</v>
      </c>
      <c r="D10" s="9" t="inlineStr">
        <is>
          <t>DF</t>
        </is>
      </c>
      <c r="E10" s="9" t="inlineStr">
        <is>
          <t>Brasília</t>
        </is>
      </c>
      <c r="F10" s="9" t="inlineStr">
        <is>
          <t>Oficina estratégica</t>
        </is>
      </c>
      <c r="G10" s="9" t="inlineStr">
        <is>
          <t>GECOPA / Ministério do Esporte / Ministério da Gestão e da Inovação</t>
        </is>
      </c>
      <c r="H10" s="11" t="n">
        <v>0</v>
      </c>
      <c r="I10" s="9" t="inlineStr"/>
      <c r="J10" s="9" t="inlineStr">
        <is>
          <t>Local a definir</t>
        </is>
      </c>
      <c r="K10" s="12" t="n">
        <v>-15.7939</v>
      </c>
      <c r="L10" s="12" t="n">
        <v>-47.8828</v>
      </c>
      <c r="M10" s="9" t="inlineStr">
        <is>
          <t>https://www.gov.br/esporte/pt-br/noticias-e-conteudos/esporte/com-coordenacao-do-mesp-o-gecopa-comeca-a-tracar-primeiras-estrategias-e-desafios-para-a-copa-do-mundo-feminina-da-fifa-2027</t>
        </is>
      </c>
      <c r="N10" s="9" t="inlineStr">
        <is>
          <t>Oficina estratégica “A Copa que Queremos”, realizada em 10/03/2026, reuniu representantes de 25 ministérios para alinhar a visão do Governo Federal para a Copa Feminina 2027. O encontro definiu diretrizes, indicadores, orientações e os primeiros passos dos planos operacionais das dez câmaras temáticas, com foco também em governança, sustentabilidade e legado social, esportivo e ambiental. A fonte não informa o local físico da oficina.</t>
        </is>
      </c>
      <c r="O10" s="9" t="inlineStr">
        <is>
          <t>Mar</t>
        </is>
      </c>
      <c r="P10" s="9" t="n">
        <v>2026</v>
      </c>
      <c r="T10" s="32" t="n"/>
      <c r="U10" s="32" t="n"/>
    </row>
    <row r="11" ht="71.25" customHeight="1" s="1">
      <c r="A11" s="9" t="inlineStr">
        <is>
          <t>EVT-0053</t>
        </is>
      </c>
      <c r="B11" s="9" t="inlineStr">
        <is>
          <t>Realizado</t>
        </is>
      </c>
      <c r="C11" s="31" t="n">
        <v>46109</v>
      </c>
      <c r="D11" s="9" t="inlineStr">
        <is>
          <t>CE</t>
        </is>
      </c>
      <c r="E11" s="9" t="inlineStr">
        <is>
          <t>Fortaleza</t>
        </is>
      </c>
      <c r="F11" s="9" t="inlineStr">
        <is>
          <t>Torneio de futebol feminino</t>
        </is>
      </c>
      <c r="G11" s="9" t="inlineStr">
        <is>
          <t>Prefeitura de Fortaleza / Secretaria Municipal do Esporte e Lazer</t>
        </is>
      </c>
      <c r="H11" s="11" t="n">
        <v>300</v>
      </c>
      <c r="I11" s="9" t="inlineStr"/>
      <c r="J11" s="9" t="inlineStr">
        <is>
          <t>Areninha do José Walter e Areninha Sargento Hermínio</t>
        </is>
      </c>
      <c r="K11" s="12" t="n">
        <v>-3.7319</v>
      </c>
      <c r="L11" s="12" t="n">
        <v>-38.5267</v>
      </c>
      <c r="M11" s="9" t="inlineStr">
        <is>
          <t>https://www.fortaleza.ce.gov.br/noticias/copa-feminina-guerreiras-do-sol-coloca-protagonismo-feminino-em-campo-nos-bairros-de-fortaleza</t>
        </is>
      </c>
      <c r="N11" s="9" t="inlineStr">
        <is>
          <t>Primeira Copa Feminina Guerreiras do Sol, promovida no contexto de Fortaleza como cidade-sede da Copa 2027. A fase inicial reuniu sete equipes de núcleos do projeto Atleta Cidadão em 28/03/2026, na Areninha do José Walter; a final ocorreu em 22/04/2026, na Areninha Sargento Hermínio, com cerca de 300 pessoas.</t>
        </is>
      </c>
      <c r="O11" s="9" t="inlineStr">
        <is>
          <t>Mar</t>
        </is>
      </c>
      <c r="P11" s="9" t="n">
        <v>2026</v>
      </c>
      <c r="T11" s="32" t="n"/>
      <c r="U11" s="32" t="n"/>
    </row>
    <row r="12" ht="100.5" customHeight="1" s="1">
      <c r="A12" s="9" t="inlineStr">
        <is>
          <t>EVT-0060</t>
        </is>
      </c>
      <c r="B12" s="9" t="inlineStr">
        <is>
          <t>Realizado</t>
        </is>
      </c>
      <c r="C12" s="31" t="n">
        <v>46126</v>
      </c>
      <c r="D12" s="9" t="inlineStr">
        <is>
          <t>BR</t>
        </is>
      </c>
      <c r="E12" s="9" t="inlineStr">
        <is>
          <t>Local a definir</t>
        </is>
      </c>
      <c r="F12" s="9" t="inlineStr">
        <is>
          <t>Reunião estratégica</t>
        </is>
      </c>
      <c r="G12" s="9" t="inlineStr">
        <is>
          <t>Secopa27 / Ministério do Esporte / Secom / EBC / Embratur / MRE</t>
        </is>
      </c>
      <c r="H12" s="11" t="n">
        <v>0</v>
      </c>
      <c r="I12" s="9" t="inlineStr"/>
      <c r="J12" s="9" t="inlineStr">
        <is>
          <t>Local a definir</t>
        </is>
      </c>
      <c r="K12" s="12" t="n"/>
      <c r="L12" s="12" t="n"/>
      <c r="M12" s="9" t="inlineStr">
        <is>
          <t>https://rncp.ebc.com.br/noticias/geral/ebc-e-esporte-iniciam-articulacao-para-copa-do-mundo-feminina-2027</t>
        </is>
      </c>
      <c r="N12" s="9" t="inlineStr">
        <is>
          <t>Primeiro encontro para construção da estratégia de comunicação da Copa Feminina 2027, realizado em 14/04/2026. A agenda iniciou a coordenação permanente entre Secopa27, Secom, EBC, Embratur e Ministério das Relações Exteriores, com foco em legado social, igualdade de gênero, valorização do futebol feminino e promoção internacional do Brasil. A fonte não informa a cidade nem o local físico.</t>
        </is>
      </c>
      <c r="O12" s="9" t="inlineStr">
        <is>
          <t>Abr</t>
        </is>
      </c>
      <c r="P12" s="9" t="n">
        <v>2026</v>
      </c>
      <c r="T12" s="32" t="n"/>
      <c r="U12" s="32" t="n"/>
    </row>
    <row r="13">
      <c r="A13" s="23" t="inlineStr">
        <is>
          <t>EVT-0028</t>
        </is>
      </c>
      <c r="B13" s="23" t="inlineStr">
        <is>
          <t>Realizado</t>
        </is>
      </c>
      <c r="C13" s="32" t="n">
        <v>46127</v>
      </c>
      <c r="D13" s="23" t="inlineStr">
        <is>
          <t>RS</t>
        </is>
      </c>
      <c r="E13" s="23" t="inlineStr">
        <is>
          <t>Porto Alegre</t>
        </is>
      </c>
      <c r="F13" s="23" t="inlineStr">
        <is>
          <t>Premiação</t>
        </is>
      </c>
      <c r="G13" s="23" t="inlineStr">
        <is>
          <t>Prefeitura de Porto Alegre / Secopa 2027</t>
        </is>
      </c>
      <c r="H13" s="7" t="n">
        <v>0</v>
      </c>
      <c r="I13" s="23" t="inlineStr"/>
      <c r="J13" s="23" t="inlineStr">
        <is>
          <t>Teatro Túlio Piva</t>
        </is>
      </c>
      <c r="K13" s="8" t="n">
        <v>-30.0346</v>
      </c>
      <c r="L13" s="8" t="n">
        <v>-51.2177</v>
      </c>
      <c r="M13" s="23" t="inlineStr">
        <is>
          <t>https://prefeitura.poa.br/secopa2027/noticias/premio-elas-no-campo-sera-entregue-nesta-quarta-feira-na-capital</t>
        </is>
      </c>
      <c r="N13" s="23" t="inlineStr">
        <is>
          <t>Cerimônia do Prêmio Elas no Campo realizada em 15/04/2026 para reconhecer atletas, treinadoras, profissionais, projetos sociais e pioneiras do futebol feminino. A iniciativa integrou a programação de Porto Alegre como cidade-sede e as ações de legado da Copa 2027.</t>
        </is>
      </c>
      <c r="O13" s="23" t="inlineStr">
        <is>
          <t>Abr</t>
        </is>
      </c>
      <c r="P13" s="23" t="n">
        <v>2026</v>
      </c>
      <c r="T13" s="32" t="n"/>
      <c r="U13" s="32" t="n"/>
    </row>
    <row r="14">
      <c r="A14" s="23" t="inlineStr">
        <is>
          <t>EVT-0057</t>
        </is>
      </c>
      <c r="B14" s="23" t="inlineStr">
        <is>
          <t>Realizado</t>
        </is>
      </c>
      <c r="C14" s="32" t="n">
        <v>46135</v>
      </c>
      <c r="D14" s="23" t="inlineStr">
        <is>
          <t>RS</t>
        </is>
      </c>
      <c r="E14" s="23" t="inlineStr">
        <is>
          <t>Porto Alegre</t>
        </is>
      </c>
      <c r="F14" s="23" t="inlineStr">
        <is>
          <t>Reunião de trabalho</t>
        </is>
      </c>
      <c r="G14" s="23" t="inlineStr">
        <is>
          <t>Prefeitura de Porto Alegre / FIFA / Governo Federal</t>
        </is>
      </c>
      <c r="H14" s="7" t="n">
        <v>0</v>
      </c>
      <c r="I14" s="23" t="inlineStr"/>
      <c r="J14" s="23" t="inlineStr">
        <is>
          <t>SmartLab do Centro Administrativo Municipal</t>
        </is>
      </c>
      <c r="K14" s="8" t="n">
        <v>-30.0346</v>
      </c>
      <c r="L14" s="8" t="n">
        <v>-51.2177</v>
      </c>
      <c r="M14" s="23" t="inlineStr">
        <is>
          <t>https://prefeitura.poa.br/secopa2027/noticias/copa-feminina-prefeitura-recebe-representantes-do-governo-federal-e-da-fifa</t>
        </is>
      </c>
      <c r="N14" s="23" t="inlineStr">
        <is>
          <t>Reunião de trabalho realizada em 23/04/2026 com Prefeitura de Porto Alegre, FIFA e representantes de órgãos federais e estaduais para iniciar o alinhamento da cidade-sede. Foram tratados saúde, segurança, turismo, mobilidade e comunicação; a agenda antecedeu a visita técnica ao Beira-Rio registrada separadamente no EVT-0049.</t>
        </is>
      </c>
      <c r="O14" s="23" t="inlineStr">
        <is>
          <t>Abr</t>
        </is>
      </c>
      <c r="P14" s="23" t="n">
        <v>2026</v>
      </c>
      <c r="T14" s="32" t="n"/>
      <c r="U14" s="32" t="n"/>
    </row>
    <row r="15">
      <c r="A15" s="23" t="inlineStr">
        <is>
          <t>EVT-0049</t>
        </is>
      </c>
      <c r="B15" s="23" t="inlineStr">
        <is>
          <t>Realizado</t>
        </is>
      </c>
      <c r="C15" s="32" t="n">
        <v>46136</v>
      </c>
      <c r="D15" s="23" t="inlineStr">
        <is>
          <t>RS</t>
        </is>
      </c>
      <c r="E15" s="23" t="inlineStr">
        <is>
          <t>Porto Alegre</t>
        </is>
      </c>
      <c r="F15" s="23" t="inlineStr">
        <is>
          <t>Visita técnica</t>
        </is>
      </c>
      <c r="G15" s="23" t="inlineStr">
        <is>
          <t>Ministério do Esporte / Governo do Rio Grande do Sul / Prefeitura de Porto Alegre</t>
        </is>
      </c>
      <c r="H15" s="7" t="n">
        <v>0</v>
      </c>
      <c r="I15" s="23" t="inlineStr"/>
      <c r="J15" s="23" t="inlineStr">
        <is>
          <t>Estádio Beira-Rio</t>
        </is>
      </c>
      <c r="K15" s="8" t="n">
        <v>-30.0346</v>
      </c>
      <c r="L15" s="8" t="n">
        <v>-51.2177</v>
      </c>
      <c r="M15" s="23" t="inlineStr">
        <is>
          <t>https://www.gov.br/esporte/pt-br/noticias-e-conteudos/esporte/ministerio-do-esporte-inicia-visitas-tecnicas-aos-estadios-da-copa-do-mundo-feminina-2027</t>
        </is>
      </c>
      <c r="N15" s="23" t="inlineStr">
        <is>
          <t>Visita técnica realizada em 24/04/2026 ao Estádio Beira-Rio para a preparação da Copa Feminina 2027. Porto Alegre abriu o ciclo de vistorias do Ministério do Esporte aos estádios das oito cidades-sede.</t>
        </is>
      </c>
      <c r="O15" s="23" t="inlineStr">
        <is>
          <t>Abr</t>
        </is>
      </c>
      <c r="P15" s="23" t="n">
        <v>2026</v>
      </c>
      <c r="T15" s="32" t="n"/>
      <c r="U15" s="32" t="n"/>
    </row>
    <row r="16">
      <c r="A16" s="23" t="inlineStr">
        <is>
          <t>EVT-0066</t>
        </is>
      </c>
      <c r="B16" s="23" t="inlineStr">
        <is>
          <t>Realizado</t>
        </is>
      </c>
      <c r="C16" s="32" t="n">
        <v>46140</v>
      </c>
      <c r="D16" s="23" t="inlineStr">
        <is>
          <t>BR</t>
        </is>
      </c>
      <c r="E16" s="23" t="inlineStr">
        <is>
          <t>Local a definir</t>
        </is>
      </c>
      <c r="F16" s="23" t="inlineStr">
        <is>
          <t>Consulta pública nacional</t>
        </is>
      </c>
      <c r="G16" s="23" t="inlineStr">
        <is>
          <t>Ministério do Esporte / Governo Federal</t>
        </is>
      </c>
      <c r="H16" s="7" t="n">
        <v>0</v>
      </c>
      <c r="I16" s="23" t="inlineStr"/>
      <c r="J16" s="23" t="inlineStr">
        <is>
          <t>Plataforma Brasil Participativo</t>
        </is>
      </c>
      <c r="K16" s="8" t="n"/>
      <c r="L16" s="8" t="n"/>
      <c r="M16" s="23" t="inlineStr">
        <is>
          <t>https://www.gov.br/esporte/pt-br/noticias-e-conteudos/esporte/ministerio-do-esporte-abre-consulta-publica-para-construir-legado-da-copa-feminina-2027</t>
        </is>
      </c>
      <c r="N16" s="23" t="inlineStr">
        <is>
          <t>Consulta pública nacional anunciada em 28/04/2026 para orientar o Plano Nacional do Legado Social e Esportivo da Copa Feminina 2027. A participação ocorreu pela plataforma Brasil Participativo, com propostas individuais e encontros autogestionados sobre visibilidade e investimento no futebol feminino, políticas para mulheres, formação, segurança, combate à violência e desenvolvimento das cidades-sede. O processo recebeu contribuições até 24/06/2026; a ação foi virtual e a fonte não informa uma cidade física.</t>
        </is>
      </c>
      <c r="O16" s="23" t="inlineStr">
        <is>
          <t>Abr</t>
        </is>
      </c>
      <c r="P16" s="23" t="n">
        <v>2026</v>
      </c>
      <c r="T16" s="32" t="n"/>
      <c r="U16" s="32" t="n"/>
    </row>
    <row r="17">
      <c r="A17" s="23" t="inlineStr">
        <is>
          <t>EVT-0037</t>
        </is>
      </c>
      <c r="B17" s="23" t="inlineStr">
        <is>
          <t>Realizado</t>
        </is>
      </c>
      <c r="C17" s="32" t="n">
        <v>46141</v>
      </c>
      <c r="D17" s="23" t="inlineStr">
        <is>
          <t>PE</t>
        </is>
      </c>
      <c r="E17" s="23" t="inlineStr">
        <is>
          <t>Recife</t>
        </is>
      </c>
      <c r="F17" s="23" t="inlineStr">
        <is>
          <t>Reunião e visita técnica</t>
        </is>
      </c>
      <c r="G17" s="23" t="inlineStr">
        <is>
          <t>Prefeitura do Recife / FIFA</t>
        </is>
      </c>
      <c r="H17" s="7" t="n">
        <v>0</v>
      </c>
      <c r="I17" s="23" t="inlineStr"/>
      <c r="J17" s="23" t="inlineStr">
        <is>
          <t>Arena de Pernambuco e Bairro do Recife</t>
        </is>
      </c>
      <c r="K17" s="8" t="n">
        <v>-8.047599999999999</v>
      </c>
      <c r="L17" s="8" t="n">
        <v>-34.877</v>
      </c>
      <c r="M17" s="23" t="inlineStr">
        <is>
          <t>https://www2.recife.pe.gov.br/noticias/29/04/2026/recife-apresenta-planejamento-para-copa-do-mundo-feminina-da-fifa-2027</t>
        </is>
      </c>
      <c r="N17" s="23" t="inlineStr">
        <is>
          <t>Agenda realizada em 29/04/2026 para apresentação do planejamento municipal da Copa Feminina 2027 a equipes da FIFA e instituições envolvidas. Incluiu reunião de trabalho na Arena de Pernambuco e visita técnica a pontos do Bairro do Recife, entre eles a área prevista para a FIFA Fan Fest no Cais da Alfândega.</t>
        </is>
      </c>
      <c r="O17" s="23" t="inlineStr">
        <is>
          <t>Abr</t>
        </is>
      </c>
      <c r="P17" s="23" t="n">
        <v>2026</v>
      </c>
      <c r="T17" s="32" t="n"/>
      <c r="U17" s="32" t="n"/>
    </row>
    <row r="18">
      <c r="A18" s="23" t="inlineStr">
        <is>
          <t>EVT-0050</t>
        </is>
      </c>
      <c r="B18" s="23" t="inlineStr">
        <is>
          <t>Realizado</t>
        </is>
      </c>
      <c r="C18" s="32" t="n">
        <v>46147</v>
      </c>
      <c r="D18" s="23" t="inlineStr">
        <is>
          <t>SP</t>
        </is>
      </c>
      <c r="E18" s="23" t="inlineStr">
        <is>
          <t>São Paulo</t>
        </is>
      </c>
      <c r="F18" s="23" t="inlineStr">
        <is>
          <t>Visita técnica e reunião de legado</t>
        </is>
      </c>
      <c r="G18" s="23" t="inlineStr">
        <is>
          <t>Ministério do Esporte / Governo de São Paulo / Prefeitura de São Paulo</t>
        </is>
      </c>
      <c r="H18" s="7" t="n">
        <v>0</v>
      </c>
      <c r="I18" s="23" t="inlineStr"/>
      <c r="J18" s="23" t="inlineStr">
        <is>
          <t>Arena Itaquera e Museu do Futebol</t>
        </is>
      </c>
      <c r="K18" s="8" t="n">
        <v>-23.5505</v>
      </c>
      <c r="L18" s="8" t="n">
        <v>-46.6333</v>
      </c>
      <c r="M18" s="23" t="inlineStr">
        <is>
          <t>https://www.gov.br/esporte/pt-br/noticias-e-conteudos/esporte/arena-itaquera-recebe-ministerio-do-esporte-em-preparacao-para-a-copa-do-mundo-feminina-de-2027</t>
        </is>
      </c>
      <c r="N18" s="23" t="inlineStr">
        <is>
          <t>Agenda realizada em 05/05/2026 com visita técnica à Arena Itaquera para avaliar a infraestrutura da sede paulista e reunião no Museu do Futebol sobre ações de formação, memória e valorização da história do futebol feminino como legado da Copa 2027.</t>
        </is>
      </c>
      <c r="O18" s="23" t="inlineStr">
        <is>
          <t>Mai</t>
        </is>
      </c>
      <c r="P18" s="23" t="n">
        <v>2026</v>
      </c>
      <c r="T18" s="32" t="n"/>
      <c r="U18" s="32" t="n"/>
    </row>
    <row r="19">
      <c r="A19" s="23" t="inlineStr">
        <is>
          <t>EVT-0043</t>
        </is>
      </c>
      <c r="B19" s="23" t="inlineStr">
        <is>
          <t>Realizado</t>
        </is>
      </c>
      <c r="C19" s="32" t="n">
        <v>46149</v>
      </c>
      <c r="D19" s="23" t="inlineStr">
        <is>
          <t>RJ</t>
        </is>
      </c>
      <c r="E19" s="23" t="inlineStr">
        <is>
          <t>Rio de Janeiro</t>
        </is>
      </c>
      <c r="F19" s="23" t="inlineStr">
        <is>
          <t>Reunião técnica</t>
        </is>
      </c>
      <c r="G19" s="23" t="inlineStr">
        <is>
          <t>Prefeitura do Rio / FIFA / Governo Federal</t>
        </is>
      </c>
      <c r="H19" s="7" t="n">
        <v>0</v>
      </c>
      <c r="I19" s="23" t="inlineStr"/>
      <c r="J19" s="23" t="inlineStr">
        <is>
          <t>Centro de Operações e Resiliência do Rio</t>
        </is>
      </c>
      <c r="K19" s="8" t="n">
        <v>-22.9068</v>
      </c>
      <c r="L19" s="8" t="n">
        <v>-43.1729</v>
      </c>
      <c r="M19" s="23" t="inlineStr">
        <is>
          <t>https://prefeitura.rio/casa-civil/prefeitura-do-rio-recebe-visita-tecnica-de-delegacoes-da-fifa-e-do-governo-federal/</t>
        </is>
      </c>
      <c r="N19" s="23" t="inlineStr">
        <is>
          <t>Reunião técnica realizada em 07/05/2026 com Prefeitura do Rio, FIFA, Secopa federal e representantes de órgãos federais e estaduais. A cidade apresentou a governança do comitê local e o planejamento operacional para receber os jogos da Copa Feminina 2027 no Maracanã.</t>
        </is>
      </c>
      <c r="O19" s="23" t="inlineStr">
        <is>
          <t>Mai</t>
        </is>
      </c>
      <c r="P19" s="23" t="n">
        <v>2026</v>
      </c>
      <c r="T19" s="32" t="n"/>
      <c r="U19" s="32" t="n"/>
    </row>
    <row r="20">
      <c r="A20" s="23" t="inlineStr">
        <is>
          <t>EVT-0033</t>
        </is>
      </c>
      <c r="B20" s="23" t="inlineStr">
        <is>
          <t>Realizado</t>
        </is>
      </c>
      <c r="C20" s="32" t="n">
        <v>46150</v>
      </c>
      <c r="D20" s="23" t="inlineStr">
        <is>
          <t>CE</t>
        </is>
      </c>
      <c r="E20" s="23" t="inlineStr">
        <is>
          <t>Fortaleza</t>
        </is>
      </c>
      <c r="F20" s="23" t="inlineStr">
        <is>
          <t>Painel</t>
        </is>
      </c>
      <c r="G20" s="23" t="inlineStr">
        <is>
          <t>Ministério do Turismo / Prefeitura de Belo Horizonte / Belotur</t>
        </is>
      </c>
      <c r="H20" s="7" t="n">
        <v>0</v>
      </c>
      <c r="I20" s="23" t="inlineStr"/>
      <c r="J20" s="23" t="inlineStr">
        <is>
          <t>Centro de Eventos do Ceará</t>
        </is>
      </c>
      <c r="K20" s="8" t="n">
        <v>-3.7319</v>
      </c>
      <c r="L20" s="8" t="n">
        <v>-38.5267</v>
      </c>
      <c r="M20" s="23" t="inlineStr">
        <is>
          <t>https://prefeitura.pbh.gov.br/noticias/belo-horizonte-tera-destaque-na-programacao-do-salao-nacional-do-turismo</t>
        </is>
      </c>
      <c r="N20" s="23" t="inlineStr">
        <is>
          <t>Mesa “Preparativos para a Copa do Mundo de Futebol Feminino 2027”, realizada em 08/05/2026 durante o Salão Nacional do Turismo. Belo Horizonte apresentou ativos, projetos e estratégias de turismo vinculados à preparação da cidade-sede para o Mundial.</t>
        </is>
      </c>
      <c r="O20" s="23" t="inlineStr">
        <is>
          <t>Mai</t>
        </is>
      </c>
      <c r="P20" s="23" t="n">
        <v>2026</v>
      </c>
      <c r="T20" s="32" t="n"/>
      <c r="U20" s="32" t="n"/>
    </row>
    <row r="21">
      <c r="A21" s="23" t="inlineStr">
        <is>
          <t>EVT-0034</t>
        </is>
      </c>
      <c r="B21" s="23" t="inlineStr">
        <is>
          <t>Realizado</t>
        </is>
      </c>
      <c r="C21" s="32" t="n">
        <v>46153</v>
      </c>
      <c r="D21" s="23" t="inlineStr">
        <is>
          <t>MG</t>
        </is>
      </c>
      <c r="E21" s="23" t="inlineStr">
        <is>
          <t>Belo Horizonte</t>
        </is>
      </c>
      <c r="F21" s="23" t="inlineStr">
        <is>
          <t>Reunião e visita técnica</t>
        </is>
      </c>
      <c r="G21" s="23" t="inlineStr">
        <is>
          <t>Prefeitura de Belo Horizonte / FIFA / Ministério do Esporte / Governo de Minas Gerais</t>
        </is>
      </c>
      <c r="H21" s="7" t="n">
        <v>0</v>
      </c>
      <c r="I21" s="23" t="inlineStr"/>
      <c r="J21" s="23" t="inlineStr">
        <is>
          <t>Mineirão</t>
        </is>
      </c>
      <c r="K21" s="8" t="n">
        <v>-19.9167</v>
      </c>
      <c r="L21" s="8" t="n">
        <v>-43.9345</v>
      </c>
      <c r="M21" s="23" t="inlineStr">
        <is>
          <t>https://prefeitura.pbh.gov.br/noticias/pbh-recebe-comitiva-da-fifa-e-ministerio-dos-esportes-como-preparacao-para-copa-feminina</t>
        </is>
      </c>
      <c r="N21" s="23" t="inlineStr">
        <is>
          <t>Primeira reunião intersetorial de preparação de Belo Horizonte para a Copa Feminina 2027, realizada em 11/05/2026 com representantes municipais, estaduais, federais e da FIFA. A agenda incluiu visita técnica ao Mineirão e alinhamento das entregas operacionais da cidade-sede.</t>
        </is>
      </c>
      <c r="O21" s="23" t="inlineStr">
        <is>
          <t>Mai</t>
        </is>
      </c>
      <c r="P21" s="23" t="n">
        <v>2026</v>
      </c>
      <c r="T21" s="32" t="n"/>
      <c r="U21" s="32" t="n"/>
    </row>
    <row r="22">
      <c r="A22" s="23" t="inlineStr">
        <is>
          <t>EVT-0026</t>
        </is>
      </c>
      <c r="B22" s="23" t="inlineStr">
        <is>
          <t>Realizado</t>
        </is>
      </c>
      <c r="C22" s="32" t="n">
        <v>46155</v>
      </c>
      <c r="D22" s="23" t="inlineStr">
        <is>
          <t>RS</t>
        </is>
      </c>
      <c r="E22" s="23" t="inlineStr">
        <is>
          <t>Porto Alegre</t>
        </is>
      </c>
      <c r="F22" s="23" t="inlineStr">
        <is>
          <t>Consulta pública</t>
        </is>
      </c>
      <c r="G22" s="23" t="inlineStr">
        <is>
          <t>Prefeitura de Porto Alegre / Secopa 2027</t>
        </is>
      </c>
      <c r="H22" s="7" t="n">
        <v>0</v>
      </c>
      <c r="I22" s="23" t="inlineStr"/>
      <c r="J22" s="23" t="inlineStr">
        <is>
          <t>Espaço SmartLab do Centro Administrativo Municipal</t>
        </is>
      </c>
      <c r="K22" s="8" t="n">
        <v>-30.0346</v>
      </c>
      <c r="L22" s="8" t="n">
        <v>-51.2177</v>
      </c>
      <c r="M22" s="23" t="inlineStr">
        <is>
          <t>https://prefeitura.poa.br/secopa2027/noticias/consulta-publica-debate-o-legado-da-copa-do-mundo-de-futebol-feminino-em-porto</t>
        </is>
      </c>
      <c r="N22" s="23" t="inlineStr">
        <is>
          <t>Consulta pública realizada em 13/05/2026 para debater o legado da Copa do Mundo Feminina 2027 em Porto Alegre. Foram discutidas propostas nas áreas de esporte, desenvolvimento social e econômico, planejamento urbano e políticas públicas para as mulheres; três propostas selecionadas foram encaminhadas ao governo federal.</t>
        </is>
      </c>
      <c r="O22" s="23" t="inlineStr">
        <is>
          <t>Mai</t>
        </is>
      </c>
      <c r="P22" s="23" t="n">
        <v>2026</v>
      </c>
      <c r="T22" s="32" t="n"/>
      <c r="U22" s="32" t="n"/>
    </row>
    <row r="23">
      <c r="A23" s="23" t="inlineStr">
        <is>
          <t>EVT-0045</t>
        </is>
      </c>
      <c r="B23" s="23" t="inlineStr">
        <is>
          <t>Realizado</t>
        </is>
      </c>
      <c r="C23" s="32" t="n">
        <v>46155</v>
      </c>
      <c r="D23" s="23" t="inlineStr">
        <is>
          <t>BA</t>
        </is>
      </c>
      <c r="E23" s="23" t="inlineStr">
        <is>
          <t>Salvador</t>
        </is>
      </c>
      <c r="F23" s="23" t="inlineStr">
        <is>
          <t>Reunião técnica</t>
        </is>
      </c>
      <c r="G23" s="23" t="inlineStr">
        <is>
          <t>Prefeitura de Salvador / FIFA / Governo Federal</t>
        </is>
      </c>
      <c r="H23" s="7" t="n">
        <v>0</v>
      </c>
      <c r="I23" s="23" t="inlineStr"/>
      <c r="J23" s="23" t="inlineStr">
        <is>
          <t>Arena Fonte Nova</t>
        </is>
      </c>
      <c r="K23" s="8" t="n">
        <v>-12.9777</v>
      </c>
      <c r="L23" s="8" t="n">
        <v>-38.5016</v>
      </c>
      <c r="M23" s="23" t="inlineStr">
        <is>
          <t>https://salvador.ba.gov.br/prefeitura-apresenta-estrategias-para-copa-do-mundo-feminina-em-salvador-durante-encontro-com-a-fifa/</t>
        </is>
      </c>
      <c r="N23" s="23" t="inlineStr">
        <is>
          <t>Reunião realizada em 13/05/2026 para alinhar os preparativos de Salvador para a Copa Feminina 2027. A Prefeitura apresentou à FIFA e ao governo federal os planos de mobilidade, serviços públicos, comunicação, segurança, turismo, sustentabilidade, direitos humanos e organização do comércio informal no entorno da Arena Fonte Nova.</t>
        </is>
      </c>
      <c r="O23" s="23" t="inlineStr">
        <is>
          <t>Mai</t>
        </is>
      </c>
      <c r="P23" s="23" t="n">
        <v>2026</v>
      </c>
      <c r="T23" s="32" t="n"/>
      <c r="U23" s="32" t="n"/>
    </row>
    <row r="24">
      <c r="A24" s="23" t="inlineStr">
        <is>
          <t>EVT-0058</t>
        </is>
      </c>
      <c r="B24" s="23" t="inlineStr">
        <is>
          <t>Realizado</t>
        </is>
      </c>
      <c r="C24" s="32" t="n">
        <v>46155</v>
      </c>
      <c r="D24" s="23" t="inlineStr">
        <is>
          <t>CE</t>
        </is>
      </c>
      <c r="E24" s="23" t="inlineStr">
        <is>
          <t>Fortaleza</t>
        </is>
      </c>
      <c r="F24" s="23" t="inlineStr">
        <is>
          <t>Reunião de planejamento</t>
        </is>
      </c>
      <c r="G24" s="23" t="inlineStr">
        <is>
          <t>Prefeitura de Fortaleza / FIFA</t>
        </is>
      </c>
      <c r="H24" s="7" t="n">
        <v>0</v>
      </c>
      <c r="I24" s="23" t="inlineStr"/>
      <c r="J24" s="23" t="inlineStr">
        <is>
          <t>Paço Municipal</t>
        </is>
      </c>
      <c r="K24" s="8" t="n">
        <v>-3.7319</v>
      </c>
      <c r="L24" s="8" t="n">
        <v>-38.5267</v>
      </c>
      <c r="M24" s="23" t="inlineStr">
        <is>
          <t>https://www.fortaleza.ce.gov.br/noticias/prefeitura-de-fortaleza-recebe-representantes-da-fifa-para-planejamento-da-copa-do-mundo-feminina-de-2027</t>
        </is>
      </c>
      <c r="N24" s="23" t="inlineStr">
        <is>
          <t>Reunião de planejamento realizada em 13/05/2026 entre a Prefeitura de Fortaleza e representantes da FIFA. O encontro tratou da organização, logística, turismo, economia, legado social e equidade de gênero para a Copa Feminina 2027, além de preparar a visita técnica ampliada da semana seguinte.</t>
        </is>
      </c>
      <c r="O24" s="23" t="inlineStr">
        <is>
          <t>Mai</t>
        </is>
      </c>
      <c r="P24" s="23" t="n">
        <v>2026</v>
      </c>
      <c r="T24" s="32" t="n"/>
      <c r="U24" s="32" t="n"/>
    </row>
    <row r="25">
      <c r="A25" s="23" t="inlineStr">
        <is>
          <t>EVT-0032</t>
        </is>
      </c>
      <c r="B25" s="23" t="inlineStr">
        <is>
          <t>Realizado</t>
        </is>
      </c>
      <c r="C25" s="32" t="n">
        <v>46160</v>
      </c>
      <c r="D25" s="23" t="inlineStr">
        <is>
          <t>CE</t>
        </is>
      </c>
      <c r="E25" s="23" t="inlineStr">
        <is>
          <t>Fortaleza</t>
        </is>
      </c>
      <c r="F25" s="23" t="inlineStr">
        <is>
          <t>Visita técnica</t>
        </is>
      </c>
      <c r="G25" s="23" t="inlineStr">
        <is>
          <t>Ministério do Esporte / Governo do Ceará / MPCE</t>
        </is>
      </c>
      <c r="H25" s="7" t="n">
        <v>0</v>
      </c>
      <c r="I25" s="23" t="inlineStr"/>
      <c r="J25" s="23" t="inlineStr">
        <is>
          <t>Arena Castelão</t>
        </is>
      </c>
      <c r="K25" s="8" t="n">
        <v>-3.7319</v>
      </c>
      <c r="L25" s="8" t="n">
        <v>-38.5267</v>
      </c>
      <c r="M25" s="23" t="inlineStr">
        <is>
          <t>https://mpce.mp.br/mp-do-ceara-acompanha-visita-tecnica-de-comitiva-do-ministerio-do-esporte-a-arena-castelao-em-preparacao-para-os-jogos-da-copa-do-mundo-feminina-2027/</t>
        </is>
      </c>
      <c r="N25" s="23" t="inlineStr">
        <is>
          <t>Visita técnica realizada em 18/05/2026 para alinhar a preparação da Arena Castelão para a Copa Feminina 2027, com participação do Ministério do Esporte, Governo do Ceará e Ministério Público. A agenda abordou integração institucional, segurança, cultura de paz, inclusão e legado do futebol feminino.</t>
        </is>
      </c>
      <c r="O25" s="23" t="inlineStr">
        <is>
          <t>Mai</t>
        </is>
      </c>
      <c r="P25" s="23" t="n">
        <v>2026</v>
      </c>
      <c r="T25" s="32" t="n"/>
      <c r="U25" s="32" t="n"/>
    </row>
    <row r="26">
      <c r="A26" s="23" t="inlineStr">
        <is>
          <t>EVT-0059</t>
        </is>
      </c>
      <c r="B26" s="23" t="inlineStr">
        <is>
          <t>Realizado</t>
        </is>
      </c>
      <c r="C26" s="32" t="n">
        <v>46160</v>
      </c>
      <c r="D26" s="23" t="inlineStr">
        <is>
          <t>CE</t>
        </is>
      </c>
      <c r="E26" s="23" t="inlineStr">
        <is>
          <t>Fortaleza</t>
        </is>
      </c>
      <c r="F26" s="23" t="inlineStr">
        <is>
          <t>Reunião e visita técnica</t>
        </is>
      </c>
      <c r="G26" s="23" t="inlineStr">
        <is>
          <t>Prefeitura de Fortaleza / Governo do Ceará / Governo Federal / FIFA</t>
        </is>
      </c>
      <c r="H26" s="7" t="n">
        <v>0</v>
      </c>
      <c r="I26" s="23" t="inlineStr"/>
      <c r="J26" s="23" t="inlineStr">
        <is>
          <t>Paço Municipal, Arena Castelão e Aterro da Praia de Iracema</t>
        </is>
      </c>
      <c r="K26" s="8" t="n">
        <v>-3.7319</v>
      </c>
      <c r="L26" s="8" t="n">
        <v>-38.5267</v>
      </c>
      <c r="M26" s="23" t="inlineStr">
        <is>
          <t>https://www.fortaleza.ce.gov.br/noticias/fortaleza-recebe-comitivas-da-fifa-governo-federal-e-governo-do-estado-para-alinhamento-da-copa-do-mundo-feminina-de-2027</t>
        </is>
      </c>
      <c r="N26" s="23" t="inlineStr">
        <is>
          <t>Agenda realizada em 18/05/2026 para alinhar a preparação de Fortaleza como cidade-sede da Copa Feminina 2027. Após reunião no Paço Municipal, a comitiva vistoriou a Arena Castelão e visitou o Aterro da Praia de Iracema, área prevista para receber a FIFA Fan Fest.</t>
        </is>
      </c>
      <c r="O26" s="23" t="inlineStr">
        <is>
          <t>Mai</t>
        </is>
      </c>
      <c r="P26" s="23" t="n">
        <v>2026</v>
      </c>
      <c r="T26" s="32" t="n"/>
      <c r="U26" s="32" t="n"/>
    </row>
    <row r="27">
      <c r="A27" s="23" t="inlineStr">
        <is>
          <t>EVT-0048</t>
        </is>
      </c>
      <c r="B27" s="23" t="inlineStr">
        <is>
          <t>Realizado</t>
        </is>
      </c>
      <c r="C27" s="32" t="n">
        <v>46162</v>
      </c>
      <c r="D27" s="23" t="inlineStr">
        <is>
          <t>DF</t>
        </is>
      </c>
      <c r="E27" s="23" t="inlineStr">
        <is>
          <t>Brasília</t>
        </is>
      </c>
      <c r="F27" s="23" t="inlineStr">
        <is>
          <t>Reunião e visita técnica</t>
        </is>
      </c>
      <c r="G27" s="23" t="inlineStr">
        <is>
          <t>Ministério do Esporte / FIFA / Governo do Distrito Federal</t>
        </is>
      </c>
      <c r="H27" s="7" t="n">
        <v>0</v>
      </c>
      <c r="I27" s="23" t="inlineStr"/>
      <c r="J27" s="23" t="inlineStr">
        <is>
          <t>Ministério do Esporte e Estádio Nacional Mané Garrincha</t>
        </is>
      </c>
      <c r="K27" s="8" t="n">
        <v>-15.7939</v>
      </c>
      <c r="L27" s="8" t="n">
        <v>-47.8828</v>
      </c>
      <c r="M27" s="23" t="inlineStr">
        <is>
          <t>https://www.gov.br/esporte/pt-br/noticias-e-conteudos/esporte/ultima-cidade-a-receber-visita-tecnica-brasilia-avanca-no-planejamento-para-a-copa-do-mundo-de-futebol-feminino-2027</t>
        </is>
      </c>
      <c r="N27" s="23" t="inlineStr">
        <is>
          <t>Agenda realizada em 20/05/2026 para alinhar a preparação de Brasília para a Copa Feminina 2027. A reunião institucional e a visita técnica ao Estádio Nacional Mané Garrincha encerraram o ciclo de vistorias do Ministério do Esporte às oito cidades-sede, com avaliação de estrutura, operação e planejamento local.</t>
        </is>
      </c>
      <c r="O27" s="23" t="inlineStr">
        <is>
          <t>Mai</t>
        </is>
      </c>
      <c r="P27" s="23" t="n">
        <v>2026</v>
      </c>
      <c r="T27" s="32" t="n"/>
      <c r="U27" s="32" t="n"/>
    </row>
    <row r="28">
      <c r="A28" s="23" t="inlineStr">
        <is>
          <t>EVT-0038</t>
        </is>
      </c>
      <c r="B28" s="23" t="inlineStr">
        <is>
          <t>Realizado</t>
        </is>
      </c>
      <c r="C28" s="32" t="n">
        <v>46167</v>
      </c>
      <c r="D28" s="23" t="inlineStr">
        <is>
          <t>SP</t>
        </is>
      </c>
      <c r="E28" s="23" t="inlineStr">
        <is>
          <t>São Paulo</t>
        </is>
      </c>
      <c r="F28" s="23" t="inlineStr">
        <is>
          <t>Encontro e painéis</t>
        </is>
      </c>
      <c r="G28" s="23" t="inlineStr">
        <is>
          <t>Prefeitura de São Paulo / Secretaria Municipal de Turismo</t>
        </is>
      </c>
      <c r="H28" s="7" t="n">
        <v>0</v>
      </c>
      <c r="I28" s="23" t="inlineStr"/>
      <c r="J28" s="23" t="inlineStr">
        <is>
          <t>Praça das Artes</t>
        </is>
      </c>
      <c r="K28" s="8" t="n">
        <v>-23.5505</v>
      </c>
      <c r="L28" s="8" t="n">
        <v>-46.6333</v>
      </c>
      <c r="M28" s="23" t="inlineStr">
        <is>
          <t>https://prefeitura.sp.gov.br/web/turismo/w/prefeitura-de-s%C3%A3o-paulo-promove-encontro-sobre-futebol-feminino-e-copa-do-mundo</t>
        </is>
      </c>
      <c r="N28" s="23" t="inlineStr">
        <is>
          <t>Evento Mulheres em Campo, realizado em 25/05/2026, com mesas sobre transformação social, impactos da Copa Feminina 2027 no turismo e nos eventos, além de infraestrutura, mobilidade, inclusão e legado para São Paulo.</t>
        </is>
      </c>
      <c r="O28" s="23" t="inlineStr">
        <is>
          <t>Mai</t>
        </is>
      </c>
      <c r="P28" s="23" t="n">
        <v>2026</v>
      </c>
      <c r="T28" s="32" t="n"/>
      <c r="U28" s="32" t="n"/>
    </row>
    <row r="29">
      <c r="A29" s="23" t="inlineStr">
        <is>
          <t>EVT-0075</t>
        </is>
      </c>
      <c r="B29" s="23" t="inlineStr">
        <is>
          <t>Realizado</t>
        </is>
      </c>
      <c r="C29" s="32" t="n">
        <v>46175</v>
      </c>
      <c r="D29" s="23" t="inlineStr">
        <is>
          <t>BA</t>
        </is>
      </c>
      <c r="E29" s="23" t="inlineStr">
        <is>
          <t>Local a definir</t>
        </is>
      </c>
      <c r="F29" s="23" t="inlineStr">
        <is>
          <t>Planejamento de mobilidade</t>
        </is>
      </c>
      <c r="G29" s="23" t="inlineStr">
        <is>
          <t>Governo da Bahia / Sedur</t>
        </is>
      </c>
      <c r="H29" s="7" t="n">
        <v>0</v>
      </c>
      <c r="I29" s="23" t="inlineStr"/>
      <c r="J29" s="23" t="inlineStr">
        <is>
          <t>Local a definir</t>
        </is>
      </c>
      <c r="K29" s="8" t="n"/>
      <c r="L29" s="8" t="n"/>
      <c r="M29" s="23" t="inlineStr">
        <is>
          <t>https://www.ba.gov.br/sedur/noticias/2026-06/12398/sedur-participa-do-planejamento-da-copa-do-mundo-feminina-fifa-2027-e</t>
        </is>
      </c>
      <c r="N29" s="23" t="inlineStr">
        <is>
          <t>Reunião de alinhamento entre secretarias estaduais realizada em 02/06/2026 para definir responsabilidades e estratégias de mobilidade da Copa Feminina 2027 na Bahia, incluindo transporte até a Arena Fonte Nova, operações especiais e estruturação das FIFA Fan Fests. A fonte não informa a cidade nem o local físico do encontro.</t>
        </is>
      </c>
      <c r="O29" s="23" t="inlineStr">
        <is>
          <t>Jun</t>
        </is>
      </c>
      <c r="P29" s="23" t="n">
        <v>2026</v>
      </c>
      <c r="T29" s="32" t="n"/>
      <c r="U29" s="32" t="n"/>
    </row>
    <row r="30">
      <c r="A30" s="23" t="inlineStr">
        <is>
          <t>EVT-0078</t>
        </is>
      </c>
      <c r="B30" s="23" t="inlineStr">
        <is>
          <t>Realizado</t>
        </is>
      </c>
      <c r="C30" s="32" t="n">
        <v>46176</v>
      </c>
      <c r="D30" s="23" t="inlineStr">
        <is>
          <t>PB</t>
        </is>
      </c>
      <c r="E30" s="23" t="inlineStr">
        <is>
          <t>João Pessoa</t>
        </is>
      </c>
      <c r="F30" s="23" t="inlineStr">
        <is>
          <t>Painel</t>
        </is>
      </c>
      <c r="G30" s="23" t="inlineStr">
        <is>
          <t>Ministério do Turismo / ONU Turismo</t>
        </is>
      </c>
      <c r="H30" s="7" t="n">
        <v>0</v>
      </c>
      <c r="I30" s="23" t="inlineStr"/>
      <c r="J30" s="23" t="inlineStr">
        <is>
          <t>Centro de Convenções de João Pessoa</t>
        </is>
      </c>
      <c r="K30" s="8" t="n">
        <v>-7.115</v>
      </c>
      <c r="L30" s="8" t="n">
        <v>-34.8641</v>
      </c>
      <c r="M30" s="23" t="inlineStr">
        <is>
          <t>https://brasil61.com/n/copa-feminina-de-2027-e-vista-como-oportunidade-para-ampliar-direitos-e-abrir-espacos-para-mulheres-mtur260027</t>
        </is>
      </c>
      <c r="N30" s="23" t="inlineStr">
        <is>
          <t>Painel realizado no Fórum Internacional de Turismo para Mulheres em 03/06/2026. Representantes do governo e de organismos internacionais debateram como a Copa Feminina 2027 pode ampliar direitos e deixar legados em turismo, segurança, mobilidade, autonomia econômica e liderança feminina.</t>
        </is>
      </c>
      <c r="O30" s="23" t="inlineStr">
        <is>
          <t>Jun</t>
        </is>
      </c>
      <c r="P30" s="23" t="n">
        <v>2026</v>
      </c>
      <c r="T30" s="32" t="n"/>
      <c r="U30" s="32" t="n"/>
    </row>
    <row r="31">
      <c r="A31" s="23" t="inlineStr">
        <is>
          <t>EVT-0079</t>
        </is>
      </c>
      <c r="B31" s="23" t="inlineStr">
        <is>
          <t>Realizado</t>
        </is>
      </c>
      <c r="C31" s="32" t="n">
        <v>46182</v>
      </c>
      <c r="D31" s="23" t="inlineStr">
        <is>
          <t>CE</t>
        </is>
      </c>
      <c r="E31" s="23" t="inlineStr">
        <is>
          <t>Fortaleza</t>
        </is>
      </c>
      <c r="F31" s="23" t="inlineStr">
        <is>
          <t>Amistoso da Seleção</t>
        </is>
      </c>
      <c r="G31" s="23" t="inlineStr">
        <is>
          <t>CBF / Seleção Brasileira Feminina</t>
        </is>
      </c>
      <c r="H31" s="7" t="n">
        <v>55744</v>
      </c>
      <c r="I31" s="23" t="inlineStr"/>
      <c r="J31" s="23" t="inlineStr">
        <is>
          <t>Arena Castelão</t>
        </is>
      </c>
      <c r="K31" s="8" t="n">
        <v>-3.7319</v>
      </c>
      <c r="L31" s="8" t="n">
        <v>-38.5267</v>
      </c>
      <c r="M31" s="23" t="inlineStr">
        <is>
          <t>https://www.fortaleza.ce.gov.br/noticias/fortaleza-recebe-amistoso-entre-brasil-e-estados-unidos-e-registra-maior-publico-do-futebol-feminino-no-nordeste</t>
        </is>
      </c>
      <c r="N31" s="23" t="inlineStr">
        <is>
          <t>Amistoso entre Brasil e Estados Unidos, com vitória norte-americana por 1 a 0. A fonte oficial relaciona explicitamente a partida ao início da preparação de Fortaleza para a Copa Feminina 2027 e aos testes de operação, mobilidade e recepção de público no Castelão. O público de 55.744 pessoas foi recorde do futebol feminino no Nordeste.</t>
        </is>
      </c>
      <c r="O31" s="23" t="inlineStr">
        <is>
          <t>Jun</t>
        </is>
      </c>
      <c r="P31" s="23" t="n">
        <v>2026</v>
      </c>
      <c r="T31" s="32" t="n"/>
      <c r="U31" s="32" t="n"/>
    </row>
    <row r="32">
      <c r="A32" s="23" t="inlineStr">
        <is>
          <t>EVT-0061</t>
        </is>
      </c>
      <c r="B32" s="23" t="inlineStr">
        <is>
          <t>Realizado</t>
        </is>
      </c>
      <c r="C32" s="32" t="n">
        <v>46183</v>
      </c>
      <c r="D32" s="23" t="inlineStr">
        <is>
          <t>BR</t>
        </is>
      </c>
      <c r="E32" s="23" t="inlineStr">
        <is>
          <t>Local a definir</t>
        </is>
      </c>
      <c r="F32" s="23" t="inlineStr">
        <is>
          <t>Reunião estratégica</t>
        </is>
      </c>
      <c r="G32" s="23" t="inlineStr">
        <is>
          <t>Ministério do Esporte / Secom PR</t>
        </is>
      </c>
      <c r="H32" s="7" t="n">
        <v>0</v>
      </c>
      <c r="I32" s="23" t="inlineStr"/>
      <c r="J32" s="23" t="inlineStr">
        <is>
          <t>Local a definir</t>
        </is>
      </c>
      <c r="K32" s="8" t="n"/>
      <c r="L32" s="8" t="n"/>
      <c r="M32" s="23" t="inlineStr">
        <is>
          <t>https://www.gov.br/esporte/pt-br/noticias-e-conteudos/esporte/ministerio-do-esporte-e-secom-pr-alinham-estrategias-de-comunicacao-para-a-copa-feminina-2027</t>
        </is>
      </c>
      <c r="N32" s="23" t="inlineStr">
        <is>
          <t>Reunião estratégica realizada em 10/06/2026 entre o Ministério do Esporte e a Secom PR para alinhar ações integradas de comunicação e promoção da Copa Feminina 2027 no Brasil e no exterior, incluindo o fortalecimento da Marca Brasil. A fonte não informa a cidade nem o local físico.</t>
        </is>
      </c>
      <c r="O32" s="23" t="inlineStr">
        <is>
          <t>Jun</t>
        </is>
      </c>
      <c r="P32" s="23" t="n">
        <v>2026</v>
      </c>
      <c r="T32" s="32" t="n"/>
      <c r="U32" s="32" t="n"/>
    </row>
    <row r="33">
      <c r="A33" s="23" t="inlineStr">
        <is>
          <t>EVT-0067</t>
        </is>
      </c>
      <c r="B33" s="23" t="inlineStr">
        <is>
          <t>Realizado</t>
        </is>
      </c>
      <c r="C33" s="32" t="n">
        <v>46185</v>
      </c>
      <c r="D33" s="23" t="inlineStr">
        <is>
          <t>PE</t>
        </is>
      </c>
      <c r="E33" s="23" t="inlineStr">
        <is>
          <t>Recife</t>
        </is>
      </c>
      <c r="F33" s="23" t="inlineStr">
        <is>
          <t>Ativação cultural e esportiva</t>
        </is>
      </c>
      <c r="G33" s="23" t="inlineStr">
        <is>
          <t>Prefeitura do Recife / Recentro / Paço do Frevo</t>
        </is>
      </c>
      <c r="H33" s="7" t="n">
        <v>0</v>
      </c>
      <c r="I33" s="23" t="inlineStr"/>
      <c r="J33" s="23" t="inlineStr">
        <is>
          <t>Rua Barão Rodrigues Mendes — Rua do Frevo</t>
        </is>
      </c>
      <c r="K33" s="8" t="n">
        <v>-8.047599999999999</v>
      </c>
      <c r="L33" s="8" t="n">
        <v>-34.877</v>
      </c>
      <c r="M33" s="23" t="inlineStr">
        <is>
          <t>https://www2.recife.pe.gov.br/noticias/10/06/2026/recentro-promove-acao-na-rua-do-frevo-unindo-copa-do-mundo-e-o-periodo-junino</t>
        </is>
      </c>
      <c r="N33" s="23" t="inlineStr">
        <is>
          <t>Ação “Rua do Frevo: onde o futebol encontra o forró”, realizada em 12/06/2026, das 11h às 17h, no Bairro do Recife. A programação reuniu gramadão de futebol, feira temática, troca de figurinhas e apresentações culturais. Embora também integrada ao clima da Copa masculina de 2026, a Prefeitura registrou referência expressa à Copa Mundial feminina e ao papel do Recife como cidade-sede em 2027.</t>
        </is>
      </c>
      <c r="O33" s="23" t="inlineStr">
        <is>
          <t>Jun</t>
        </is>
      </c>
      <c r="P33" s="23" t="n">
        <v>2026</v>
      </c>
      <c r="T33" s="32" t="n"/>
      <c r="U33" s="32" t="n"/>
    </row>
    <row r="34">
      <c r="A34" s="23" t="inlineStr">
        <is>
          <t>EVT-0029</t>
        </is>
      </c>
      <c r="B34" s="23" t="inlineStr">
        <is>
          <t>Realizado</t>
        </is>
      </c>
      <c r="C34" s="32" t="n">
        <v>46197</v>
      </c>
      <c r="D34" s="23" t="inlineStr">
        <is>
          <t>RS</t>
        </is>
      </c>
      <c r="E34" s="23" t="inlineStr">
        <is>
          <t>Porto Alegre</t>
        </is>
      </c>
      <c r="F34" s="23" t="inlineStr">
        <is>
          <t>Ativação urbana</t>
        </is>
      </c>
      <c r="G34" s="23" t="inlineStr">
        <is>
          <t>Prefeitura de Porto Alegre / Secopa 2027</t>
        </is>
      </c>
      <c r="H34" s="7" t="n">
        <v>0</v>
      </c>
      <c r="I34" s="23" t="inlineStr"/>
      <c r="J34" s="23" t="inlineStr">
        <is>
          <t>Diversos espaços públicos, museus de Grêmio e Internacional e escolas municipais</t>
        </is>
      </c>
      <c r="K34" s="8" t="n">
        <v>-30.0346</v>
      </c>
      <c r="L34" s="8" t="n">
        <v>-51.2177</v>
      </c>
      <c r="M34" s="23" t="inlineStr">
        <is>
          <t>https://www.prefeitura.poa.br/secopa2027/noticias/porto-alegre-entra-na-contagem-regressiva-de-um-ano-para-copa-do-mundo-feminina</t>
        </is>
      </c>
      <c r="N34" s="23" t="inlineStr">
        <is>
          <t>Ativação de 24/06/2026 para marcar um ano até a Copa Feminina 2027, com iluminação de prédios e espaços públicos, visitas gratuitas aos museus de Grêmio e Internacional e ações educativas sobre a história do futebol feminino em escolas municipais.</t>
        </is>
      </c>
      <c r="O34" s="23" t="inlineStr">
        <is>
          <t>Jun</t>
        </is>
      </c>
      <c r="P34" s="23" t="n">
        <v>2026</v>
      </c>
      <c r="T34" s="32" t="n"/>
      <c r="U34" s="32" t="n"/>
    </row>
    <row r="35">
      <c r="A35" s="23" t="inlineStr">
        <is>
          <t>EVT-0031</t>
        </is>
      </c>
      <c r="B35" s="23" t="inlineStr">
        <is>
          <t>Realizado</t>
        </is>
      </c>
      <c r="C35" s="32" t="n">
        <v>46197</v>
      </c>
      <c r="D35" s="23" t="inlineStr">
        <is>
          <t>RJ</t>
        </is>
      </c>
      <c r="E35" s="23" t="inlineStr">
        <is>
          <t>Rio de Janeiro</t>
        </is>
      </c>
      <c r="F35" s="23" t="inlineStr">
        <is>
          <t>Ativação urbana</t>
        </is>
      </c>
      <c r="G35" s="23" t="inlineStr">
        <is>
          <t>FIFA / Santuário Cristo Redentor</t>
        </is>
      </c>
      <c r="H35" s="7" t="n">
        <v>0</v>
      </c>
      <c r="I35" s="23" t="inlineStr"/>
      <c r="J35" s="23" t="inlineStr">
        <is>
          <t>Cristo Redentor</t>
        </is>
      </c>
      <c r="K35" s="8" t="n">
        <v>-22.9068</v>
      </c>
      <c r="L35" s="8" t="n">
        <v>-43.1729</v>
      </c>
      <c r="M35" s="23" t="inlineStr">
        <is>
          <t>https://blog.paineirascorcovado.com.br/2026/06/25/copa-do-mundo-feminina-2027-cristo-redentor/</t>
        </is>
      </c>
      <c r="N35" s="23" t="inlineStr">
        <is>
          <t>Ativação realizada na noite de 24/06/2026 para marcar um ano até a abertura da Copa Feminina 2027, com iluminação do Cristo Redentor em verde e amarelo e projeções temáticas sobre o torneio.</t>
        </is>
      </c>
      <c r="O35" s="23" t="inlineStr">
        <is>
          <t>Jun</t>
        </is>
      </c>
      <c r="P35" s="23" t="n">
        <v>2026</v>
      </c>
      <c r="T35" s="32" t="n"/>
      <c r="U35" s="32" t="n"/>
    </row>
    <row r="36">
      <c r="A36" s="23" t="inlineStr">
        <is>
          <t>EVT-0035</t>
        </is>
      </c>
      <c r="B36" s="23" t="inlineStr">
        <is>
          <t>Realizado</t>
        </is>
      </c>
      <c r="C36" s="32" t="n">
        <v>46197</v>
      </c>
      <c r="D36" s="23" t="inlineStr">
        <is>
          <t>BA</t>
        </is>
      </c>
      <c r="E36" s="23" t="inlineStr">
        <is>
          <t>Salvador</t>
        </is>
      </c>
      <c r="F36" s="23" t="inlineStr">
        <is>
          <t>Ativação urbana</t>
        </is>
      </c>
      <c r="G36" s="23" t="inlineStr">
        <is>
          <t>Prefeitura de Salvador</t>
        </is>
      </c>
      <c r="H36" s="7" t="n">
        <v>0</v>
      </c>
      <c r="I36" s="23" t="inlineStr"/>
      <c r="J36" s="23" t="inlineStr">
        <is>
          <t>Monumento à Cidade do Salvador, Arcos da Montanha, Bambuzal do Aeroporto, estações do BRT, Casa do Olodum e sede da Prefeitura</t>
        </is>
      </c>
      <c r="K36" s="8" t="n">
        <v>-12.9777</v>
      </c>
      <c r="L36" s="8" t="n">
        <v>-38.5016</v>
      </c>
      <c r="M36" s="23" t="inlineStr">
        <is>
          <t>https://salvador.ba.gov.br/salvador-celebra-marco-de-um-ano-para-a-copa-do-mundo-feminina-com-iluminacao-especial-em-monumentos-da-cidade/</t>
        </is>
      </c>
      <c r="N36" s="23" t="inlineStr">
        <is>
          <t>Ativação realizada em 24/06/2026 para marcar um ano até a Copa Feminina 2027, com iluminação verde, amarela e azul em monumentos, equipamentos públicos, estações do BRT, Casa do Olodum e sede da Prefeitura.</t>
        </is>
      </c>
      <c r="O36" s="23" t="inlineStr">
        <is>
          <t>Jun</t>
        </is>
      </c>
      <c r="P36" s="23" t="n">
        <v>2026</v>
      </c>
      <c r="T36" s="32" t="n"/>
      <c r="U36" s="32" t="n"/>
    </row>
    <row r="37">
      <c r="A37" s="23" t="inlineStr">
        <is>
          <t>EVT-0040</t>
        </is>
      </c>
      <c r="B37" s="23" t="inlineStr">
        <is>
          <t>Realizado</t>
        </is>
      </c>
      <c r="C37" s="32" t="n">
        <v>46197</v>
      </c>
      <c r="D37" s="23" t="inlineStr">
        <is>
          <t>CE</t>
        </is>
      </c>
      <c r="E37" s="23" t="inlineStr">
        <is>
          <t>Fortaleza</t>
        </is>
      </c>
      <c r="F37" s="23" t="inlineStr">
        <is>
          <t>Ativação urbana</t>
        </is>
      </c>
      <c r="G37" s="23" t="inlineStr">
        <is>
          <t>Prefeitura de Fortaleza</t>
        </is>
      </c>
      <c r="H37" s="7" t="n">
        <v>0</v>
      </c>
      <c r="I37" s="23" t="inlineStr"/>
      <c r="J37" s="23" t="inlineStr">
        <is>
          <t>Paço Municipal, Ponte dos Ingleses e Arena Castelão</t>
        </is>
      </c>
      <c r="K37" s="8" t="n">
        <v>-3.7319</v>
      </c>
      <c r="L37" s="8" t="n">
        <v>-38.5267</v>
      </c>
      <c r="M37" s="23" t="inlineStr">
        <is>
          <t>https://www.fortaleza.ce.gov.br/noticias/fortaleza-inicia-contagem-regressiva-de-um-ano-para-a-copa-do-mundo-feminina-da-fifa-brasil-2027</t>
        </is>
      </c>
      <c r="N37" s="23" t="inlineStr">
        <is>
          <t>Ativação realizada em 24/06/2026 para marcar um ano até a Copa Feminina 2027, com iluminação do Paço Municipal, da Ponte dos Ingleses e da Arena Castelão nas cores do Brasil. A ação integrou a mobilização local e a promoção do futebol feminino.</t>
        </is>
      </c>
      <c r="O37" s="23" t="inlineStr">
        <is>
          <t>Jun</t>
        </is>
      </c>
      <c r="P37" s="23" t="n">
        <v>2026</v>
      </c>
      <c r="T37" s="32" t="n"/>
      <c r="U37" s="32" t="n"/>
    </row>
    <row r="38">
      <c r="A38" s="23" t="inlineStr">
        <is>
          <t>EVT-0041</t>
        </is>
      </c>
      <c r="B38" s="23" t="inlineStr">
        <is>
          <t>Realizado</t>
        </is>
      </c>
      <c r="C38" s="32" t="n">
        <v>46197</v>
      </c>
      <c r="D38" s="23" t="inlineStr">
        <is>
          <t>PE</t>
        </is>
      </c>
      <c r="E38" s="23" t="inlineStr">
        <is>
          <t>Recife</t>
        </is>
      </c>
      <c r="F38" s="23" t="inlineStr">
        <is>
          <t>Ativação urbana</t>
        </is>
      </c>
      <c r="G38" s="23" t="inlineStr">
        <is>
          <t>Prefeitura do Recife</t>
        </is>
      </c>
      <c r="H38" s="7" t="n">
        <v>0</v>
      </c>
      <c r="I38" s="23" t="inlineStr"/>
      <c r="J38" s="23" t="inlineStr">
        <is>
          <t>Boulevard da Rio Branco, pontes, monumentos e polos do São João</t>
        </is>
      </c>
      <c r="K38" s="8" t="n">
        <v>-8.047599999999999</v>
      </c>
      <c r="L38" s="8" t="n">
        <v>-34.877</v>
      </c>
      <c r="M38" s="23" t="inlineStr">
        <is>
          <t>https://www2.recife.pe.gov.br/noticias/23/06/2026/recife-comeca-contagem-regressiva-para-copa-do-mundo-feminina-da-fifatm</t>
        </is>
      </c>
      <c r="N38" s="23" t="inlineStr">
        <is>
          <t>Ação realizada em 24/06/2026 para marcar um ano até a Copa Feminina 2027. Incluiu participação da personagem Méry Cristina no arraial do Boulevard da Rio Branco, iluminação verde e amarela de pontes e monumentos e mensagens sobre o Mundial nos polos do São João.</t>
        </is>
      </c>
      <c r="O38" s="23" t="inlineStr">
        <is>
          <t>Jun</t>
        </is>
      </c>
      <c r="P38" s="23" t="n">
        <v>2026</v>
      </c>
      <c r="T38" s="32" t="n"/>
      <c r="U38" s="32" t="n"/>
    </row>
    <row r="39">
      <c r="A39" s="23" t="inlineStr">
        <is>
          <t>EVT-0042</t>
        </is>
      </c>
      <c r="B39" s="23" t="inlineStr">
        <is>
          <t>Realizado</t>
        </is>
      </c>
      <c r="C39" s="32" t="n">
        <v>46197</v>
      </c>
      <c r="D39" s="23" t="inlineStr">
        <is>
          <t>DF</t>
        </is>
      </c>
      <c r="E39" s="23" t="inlineStr">
        <is>
          <t>Brasília</t>
        </is>
      </c>
      <c r="F39" s="23" t="inlineStr">
        <is>
          <t>Ativação educativa</t>
        </is>
      </c>
      <c r="G39" s="23" t="inlineStr">
        <is>
          <t>FIFA / Governo Federal / Governo do Distrito Federal</t>
        </is>
      </c>
      <c r="H39" s="7" t="n">
        <v>700</v>
      </c>
      <c r="I39" s="23" t="inlineStr"/>
      <c r="J39" s="23" t="inlineStr">
        <is>
          <t>Estádio Nacional Mané Garrincha, Parque da Cidade e Rodoviária do Plano Piloto</t>
        </is>
      </c>
      <c r="K39" s="8" t="n">
        <v>-15.7939</v>
      </c>
      <c r="L39" s="8" t="n">
        <v>-47.8828</v>
      </c>
      <c r="M39" s="23" t="inlineStr">
        <is>
          <t>https://agenciabrasil.ebc.com.br/esportes/noticia/2026-06/brasilia-inicia-contagem-regressiva-de-1-ano-da-copa-do-mundo-feminina</t>
        </is>
      </c>
      <c r="N39" s="23" t="inlineStr">
        <is>
          <t>Ativação realizada em 24/06/2026 para marcar um ano até a Copa Feminina 2027. Mais de 700 estudantes dos centros olímpicos do DF visitaram o Mané Garrincha, participaram de pinturas coletivas no Parque da Cidade e de atividades de futebol na Rodoviária do Plano Piloto.</t>
        </is>
      </c>
      <c r="O39" s="23" t="inlineStr">
        <is>
          <t>Jun</t>
        </is>
      </c>
      <c r="P39" s="23" t="n">
        <v>2026</v>
      </c>
      <c r="T39" s="32" t="n"/>
      <c r="U39" s="32" t="n"/>
    </row>
    <row r="40">
      <c r="A40" s="23" t="inlineStr">
        <is>
          <t>EVT-0052</t>
        </is>
      </c>
      <c r="B40" s="23" t="inlineStr">
        <is>
          <t>Realizado</t>
        </is>
      </c>
      <c r="C40" s="32" t="n">
        <v>46197</v>
      </c>
      <c r="D40" s="23" t="inlineStr">
        <is>
          <t>RJ</t>
        </is>
      </c>
      <c r="E40" s="23" t="inlineStr">
        <is>
          <t>Rio de Janeiro</t>
        </is>
      </c>
      <c r="F40" s="23" t="inlineStr">
        <is>
          <t>Ativação pública</t>
        </is>
      </c>
      <c r="G40" s="23" t="inlineStr">
        <is>
          <t>Prefeitura do Rio / FIFA</t>
        </is>
      </c>
      <c r="H40" s="7" t="n">
        <v>0</v>
      </c>
      <c r="I40" s="23" t="inlineStr"/>
      <c r="J40" s="23" t="inlineStr">
        <is>
          <t>Fan Fest de Copacabana</t>
        </is>
      </c>
      <c r="K40" s="8" t="n">
        <v>-22.9068</v>
      </c>
      <c r="L40" s="8" t="n">
        <v>-43.1729</v>
      </c>
      <c r="M40" s="23" t="inlineStr">
        <is>
          <t>https://prefeitura.rio/cidade/pioneiras-da-selecao-feminina-de-futebol-promovem-o-mundial-com-acao-em-copacabana/</t>
        </is>
      </c>
      <c r="N40" s="23" t="inlineStr">
        <is>
          <t>Ativação realizada em 24/06/2026 para marcar um ano até a Copa Feminina 2027. Pioneiras da Seleção interagiram com o público na Fan Fest de Copacabana, participaram de altinha, fotos e divulgação do Mundial, junto a meninas de projetos esportivos municipais.</t>
        </is>
      </c>
      <c r="O40" s="23" t="inlineStr">
        <is>
          <t>Jun</t>
        </is>
      </c>
      <c r="P40" s="23" t="n">
        <v>2026</v>
      </c>
      <c r="T40" s="32" t="n"/>
      <c r="U40" s="32" t="n"/>
    </row>
    <row r="41">
      <c r="A41" s="23" t="inlineStr">
        <is>
          <t>EVT-0054</t>
        </is>
      </c>
      <c r="B41" s="23" t="inlineStr">
        <is>
          <t>Realizado</t>
        </is>
      </c>
      <c r="C41" s="32" t="n">
        <v>46199</v>
      </c>
      <c r="D41" s="23" t="inlineStr">
        <is>
          <t>EUA</t>
        </is>
      </c>
      <c r="E41" s="23" t="inlineStr">
        <is>
          <t>Miami</t>
        </is>
      </c>
      <c r="F41" s="23" t="inlineStr">
        <is>
          <t>Missão técnica internacional</t>
        </is>
      </c>
      <c r="G41" s="23" t="inlineStr">
        <is>
          <t>Prefeitura de Porto Alegre / Secopa 2027</t>
        </is>
      </c>
      <c r="H41" s="7" t="n">
        <v>0</v>
      </c>
      <c r="I41" s="23" t="inlineStr"/>
      <c r="J41" s="23" t="inlineStr">
        <is>
          <t>Miami Stadium e Goal Connect Miami 2026</t>
        </is>
      </c>
      <c r="K41" s="8" t="n"/>
      <c r="L41" s="8" t="n"/>
      <c r="M41" s="23" t="inlineStr">
        <is>
          <t>https://www.prefeitura.poa.br/secopa2027/noticias/concluida-missao-tecnica-aos-estados-unidos-para-preparacao-da-copa-feminina</t>
        </is>
      </c>
      <c r="N41" s="23" t="inlineStr">
        <is>
          <t>Missão técnica concluída em 26/06/2026 durante a Copa do Mundo FIFA 2026, como parte da preparação de Porto Alegre para a Copa Feminina 2027. A agenda acompanhou operação, logística, segurança, infraestrutura, experiência do público e regras de eventos oficiais, incluiu visita ao Miami Stadium e participação no Goal Connect Miami 2026.</t>
        </is>
      </c>
      <c r="O41" s="23" t="inlineStr">
        <is>
          <t>Jun</t>
        </is>
      </c>
      <c r="P41" s="23" t="n">
        <v>2026</v>
      </c>
      <c r="T41" s="32" t="n"/>
      <c r="U41" s="32" t="n"/>
    </row>
    <row r="42">
      <c r="A42" s="23" t="inlineStr">
        <is>
          <t>EVT-0080</t>
        </is>
      </c>
      <c r="B42" s="23" t="inlineStr">
        <is>
          <t>Realizado</t>
        </is>
      </c>
      <c r="C42" s="32" t="n">
        <v>46199</v>
      </c>
      <c r="D42" s="23" t="inlineStr">
        <is>
          <t>SP</t>
        </is>
      </c>
      <c r="E42" s="23" t="inlineStr">
        <is>
          <t>São Paulo</t>
        </is>
      </c>
      <c r="F42" s="23" t="inlineStr">
        <is>
          <t>Reunião institucional</t>
        </is>
      </c>
      <c r="G42" s="23" t="inlineStr">
        <is>
          <t>Prefeitura de São Paulo / Comissão da Copa 2027</t>
        </is>
      </c>
      <c r="H42" s="7" t="n">
        <v>0</v>
      </c>
      <c r="I42" s="23" t="inlineStr"/>
      <c r="J42" s="23" t="inlineStr">
        <is>
          <t>Online</t>
        </is>
      </c>
      <c r="K42" s="8" t="n">
        <v>-23.5505</v>
      </c>
      <c r="L42" s="8" t="n">
        <v>-46.6333</v>
      </c>
      <c r="M42" s="23" t="inlineStr">
        <is>
          <t>https://prefeitura.sp.gov.br/web/turismo/l/48770028</t>
        </is>
      </c>
      <c r="N42" s="23" t="inlineStr">
        <is>
          <t>Reunião online realizada em 26/06/2026, às 14h30, com integrantes da Comissão da Copa do Mundo Feminina FIFA 2027. A pauta oficial foi a orientação sobre o projeto de lei relacionado ao torneio.</t>
        </is>
      </c>
      <c r="O42" s="23" t="inlineStr">
        <is>
          <t>Jun</t>
        </is>
      </c>
      <c r="P42" s="23" t="n">
        <v>2026</v>
      </c>
      <c r="T42" s="32" t="n"/>
      <c r="U42" s="32" t="n"/>
    </row>
    <row r="43">
      <c r="A43" s="23" t="inlineStr">
        <is>
          <t>EVT-0065</t>
        </is>
      </c>
      <c r="B43" s="23" t="inlineStr">
        <is>
          <t>Realizado</t>
        </is>
      </c>
      <c r="C43" s="32" t="n">
        <v>46205</v>
      </c>
      <c r="D43" s="23" t="inlineStr">
        <is>
          <t>BR</t>
        </is>
      </c>
      <c r="E43" s="23" t="inlineStr">
        <is>
          <t>Local a definir</t>
        </is>
      </c>
      <c r="F43" s="23" t="inlineStr">
        <is>
          <t>Reunião de legado</t>
        </is>
      </c>
      <c r="G43" s="23" t="inlineStr">
        <is>
          <t>Ministério do Esporte / Câmara Temática do Legado Social e Esportivo</t>
        </is>
      </c>
      <c r="H43" s="7" t="n">
        <v>0</v>
      </c>
      <c r="I43" s="23" t="inlineStr"/>
      <c r="J43" s="23" t="inlineStr">
        <is>
          <t>Local a definir</t>
        </is>
      </c>
      <c r="K43" s="8" t="n"/>
      <c r="L43" s="8" t="n"/>
      <c r="M43" s="23" t="inlineStr">
        <is>
          <t>https://www.gov.br/esporte/pt-br/noticias-e-conteudos/ministerio-do-esporte-articula-plano-de-legado-para-a-copa-do-mundo-feminina-com-foco-em-metas-para-setembro</t>
        </is>
      </c>
      <c r="N43" s="23" t="inlineStr">
        <is>
          <t>Reunião realizada em 02/07/2026 para consolidar ações interministeriais do Plano de Legado da Copa Feminina 2027. Foram apresentados resultados preliminares da consulta pública e atualizadas iniciativas de futebol feminino indígena, saúde, sustentabilidade, educação, comunicação e proteção às mulheres. A fonte oficial não informa a cidade nem o local físico.</t>
        </is>
      </c>
      <c r="O43" s="23" t="inlineStr">
        <is>
          <t>Jul</t>
        </is>
      </c>
      <c r="P43" s="23" t="n">
        <v>2026</v>
      </c>
      <c r="T43" s="32" t="n"/>
      <c r="U43" s="32" t="n"/>
    </row>
    <row r="44">
      <c r="A44" s="23" t="inlineStr">
        <is>
          <t>EVT-0046</t>
        </is>
      </c>
      <c r="B44" s="23" t="inlineStr">
        <is>
          <t>Realizado</t>
        </is>
      </c>
      <c r="C44" s="32" t="n">
        <v>46211</v>
      </c>
      <c r="D44" s="23" t="inlineStr">
        <is>
          <t>BA</t>
        </is>
      </c>
      <c r="E44" s="23" t="inlineStr">
        <is>
          <t>Salvador</t>
        </is>
      </c>
      <c r="F44" s="23" t="inlineStr">
        <is>
          <t>Reunião de governança</t>
        </is>
      </c>
      <c r="G44" s="23" t="inlineStr">
        <is>
          <t>Prefeitura de Salvador / Grupo de Trabalho da Copa</t>
        </is>
      </c>
      <c r="H44" s="7" t="n">
        <v>0</v>
      </c>
      <c r="I44" s="23" t="inlineStr"/>
      <c r="J44" s="23" t="inlineStr">
        <is>
          <t>Local a definir</t>
        </is>
      </c>
      <c r="K44" s="8" t="n">
        <v>-12.9777</v>
      </c>
      <c r="L44" s="8" t="n">
        <v>-38.5016</v>
      </c>
      <c r="M44" s="23" t="inlineStr">
        <is>
          <t>https://agenciadenoticias.salvador.ba.gov.br/index.php/pt-br/releases-2/geral/30922-governanca-integrada-marca-reuniao-da-prefeitura-para-planejamento-da-copa-do-mundo-feminina-2027</t>
        </is>
      </c>
      <c r="N44" s="23" t="inlineStr">
        <is>
          <t>Reunião realizada em 08/07/2026 com pontos focais de 37 órgãos municipais para fortalecer a governança integrada e alinhar ações de mobilidade, segurança, turismo, cultura, infraestrutura, comunicação, assistência social, equidade de gênero e políticas para as mulheres. A fonte não informa o local físico do encontro.</t>
        </is>
      </c>
      <c r="O44" s="23" t="inlineStr">
        <is>
          <t>Jul</t>
        </is>
      </c>
      <c r="P44" s="23" t="n">
        <v>2026</v>
      </c>
      <c r="T44" s="32" t="n"/>
      <c r="U44" s="32" t="n"/>
    </row>
    <row r="45">
      <c r="A45" s="23" t="inlineStr">
        <is>
          <t>EVT-0044</t>
        </is>
      </c>
      <c r="B45" s="23" t="inlineStr">
        <is>
          <t>Realizado</t>
        </is>
      </c>
      <c r="C45" s="32" t="n">
        <v>46219</v>
      </c>
      <c r="D45" s="23" t="inlineStr">
        <is>
          <t>EUA</t>
        </is>
      </c>
      <c r="E45" s="23" t="inlineStr">
        <is>
          <t>Nova York</t>
        </is>
      </c>
      <c r="F45" s="23" t="inlineStr">
        <is>
          <t>Promoção internacional</t>
        </is>
      </c>
      <c r="G45" s="23" t="inlineStr">
        <is>
          <t>Prefeitura de Belo Horizonte / Belotur / Embratur / Confut</t>
        </is>
      </c>
      <c r="H45" s="7" t="n">
        <v>0</v>
      </c>
      <c r="I45" s="23" t="inlineStr"/>
      <c r="J45" s="23" t="inlineStr">
        <is>
          <t>Local a definir</t>
        </is>
      </c>
      <c r="K45" s="8" t="n"/>
      <c r="L45" s="8" t="n"/>
      <c r="M45" s="23" t="inlineStr">
        <is>
          <t>https://prefeitura.pbh.gov.br/noticias/pbh-participa-de-encontro-estrategico-sobre-copa-do-mundo-feminina-de-2027</t>
        </is>
      </c>
      <c r="N45" s="23" t="inlineStr">
        <is>
          <t>Participação da delegação de Belo Horizonte no Confut USA 2026, realizado em 16 e 17/07/2026. Em painel sobre os destinos brasileiros da Copa Feminina 2027, a Belotur apresentou a infraestrutura turística, logística e operacional da cidade-sede. A fonte não informa o local físico do evento.</t>
        </is>
      </c>
      <c r="O45" s="23" t="inlineStr">
        <is>
          <t>Jul</t>
        </is>
      </c>
      <c r="P45" s="23" t="n">
        <v>2026</v>
      </c>
      <c r="T45" s="32" t="n"/>
      <c r="U45" s="32" t="n"/>
    </row>
    <row r="46">
      <c r="A46" s="23" t="inlineStr">
        <is>
          <t>EVT-0068</t>
        </is>
      </c>
      <c r="B46" s="23" t="inlineStr">
        <is>
          <t>Realizado</t>
        </is>
      </c>
      <c r="C46" s="32" t="n">
        <v>46230</v>
      </c>
      <c r="D46" s="23" t="inlineStr">
        <is>
          <t>BR</t>
        </is>
      </c>
      <c r="E46" s="23" t="inlineStr">
        <is>
          <t>Local a definir</t>
        </is>
      </c>
      <c r="F46" s="23" t="inlineStr">
        <is>
          <t>Lançamento de programa</t>
        </is>
      </c>
      <c r="G46" s="23" t="inlineStr">
        <is>
          <t>FIFA</t>
        </is>
      </c>
      <c r="H46" s="7" t="n">
        <v>0</v>
      </c>
      <c r="I46" s="23" t="inlineStr"/>
      <c r="J46" s="23" t="inlineStr">
        <is>
          <t>Plataforma FIFA Volunteers</t>
        </is>
      </c>
      <c r="K46" s="8" t="n"/>
      <c r="L46" s="8" t="n"/>
      <c r="M46" s="23" t="inlineStr">
        <is>
          <t>https://www.gov.br/esporte/pt-br/noticias/quer-viver-a-copa-do-mundo-feminina-2027-de-perto-fifa-abre-cadastro-de-interesse-para-voluntarios</t>
        </is>
      </c>
      <c r="N46" s="23" t="inlineStr">
        <is>
          <t>Abertura, em 27/07/2026, do cadastro de manifestação de interesse para o programa de voluntariado da Copa do Mundo Feminina FIFA Brasil 2027. A FIFA prevê selecionar cerca de 6 mil pessoas para atuar na organização do torneio nas oito cidades-sede; as inscrições para o processo seletivo foram anunciadas para setembro de 2026. A etapa registrada é online e não possui cidade física.</t>
        </is>
      </c>
      <c r="O46" s="23" t="inlineStr">
        <is>
          <t>Jul</t>
        </is>
      </c>
      <c r="P46" s="23" t="n">
        <v>2026</v>
      </c>
      <c r="T46" s="32" t="n"/>
      <c r="U46" s="32" t="n"/>
    </row>
    <row r="47">
      <c r="A47" s="23" t="inlineStr">
        <is>
          <t>EVT-0076</t>
        </is>
      </c>
      <c r="B47" s="23" t="inlineStr">
        <is>
          <t>Realizado</t>
        </is>
      </c>
      <c r="C47" s="32" t="n">
        <v>46232</v>
      </c>
      <c r="D47" s="23" t="inlineStr">
        <is>
          <t>CE</t>
        </is>
      </c>
      <c r="E47" s="23" t="inlineStr">
        <is>
          <t>Fortaleza</t>
        </is>
      </c>
      <c r="F47" s="23" t="inlineStr">
        <is>
          <t>Segurança e prevenção</t>
        </is>
      </c>
      <c r="G47" s="23" t="inlineStr">
        <is>
          <t>MPCE / FIFA</t>
        </is>
      </c>
      <c r="H47" s="7" t="n">
        <v>0</v>
      </c>
      <c r="I47" s="23" t="inlineStr"/>
      <c r="J47" s="23" t="inlineStr">
        <is>
          <t>Local a definir</t>
        </is>
      </c>
      <c r="K47" s="8" t="n">
        <v>-3.7319</v>
      </c>
      <c r="L47" s="8" t="n">
        <v>-38.5267</v>
      </c>
      <c r="M47" s="23" t="inlineStr">
        <is>
          <t>https://mpce.mp.br/mp-do-ceara-e-representante-da-fifa-se-reunem-para-alinhar-parceria-para-a-copa-do-mundo-feminina-de-2027/</t>
        </is>
      </c>
      <c r="N47" s="23" t="inlineStr">
        <is>
          <t>Reunião entre o Ministério Público do Ceará e a FIFA em 29/07/2026 para alinhar prevenção e combate à violência, segurança, emergências médicas e capacitação dos profissionais da Copa Feminina 2027. O protocolo “Não é Não” será aplicado nos jogos da Arena Castelão para prevenir constrangimentos e violência contra a mulher. A fonte não informa o local físico do encontro.</t>
        </is>
      </c>
      <c r="O47" s="23" t="inlineStr">
        <is>
          <t>Jul</t>
        </is>
      </c>
      <c r="P47" s="23" t="n">
        <v>2026</v>
      </c>
      <c r="T47" s="32" t="n"/>
      <c r="U47" s="32" t="n"/>
    </row>
    <row r="48">
      <c r="A48" s="23" t="inlineStr">
        <is>
          <t>EVT-0039</t>
        </is>
      </c>
      <c r="B48" s="23" t="inlineStr">
        <is>
          <t>Realizado</t>
        </is>
      </c>
      <c r="C48" s="32" t="n">
        <v>46235</v>
      </c>
      <c r="D48" s="23" t="inlineStr">
        <is>
          <t>SP</t>
        </is>
      </c>
      <c r="E48" s="23" t="inlineStr">
        <is>
          <t>São Paulo</t>
        </is>
      </c>
      <c r="F48" s="23" t="inlineStr">
        <is>
          <t>Encontro inclusivo</t>
        </is>
      </c>
      <c r="G48" s="23" t="inlineStr">
        <is>
          <t>Prefeitura de São Paulo / Secretaria Municipal da Pessoa com Deficiência</t>
        </is>
      </c>
      <c r="H48" s="7" t="n">
        <v>0</v>
      </c>
      <c r="I48" s="23" t="inlineStr"/>
      <c r="J48" s="23" t="inlineStr">
        <is>
          <t>Casa Mãe Paulistana para Mães e Cuidadores de Pessoas com Deficiência</t>
        </is>
      </c>
      <c r="K48" s="8" t="n">
        <v>-23.5505</v>
      </c>
      <c r="L48" s="8" t="n">
        <v>-46.6333</v>
      </c>
      <c r="M48" s="23" t="inlineStr">
        <is>
          <t>https://prefeitura.sp.gov.br/web/pessoa_com_deficiencia/w/copa-do-mundo-2026-prefeitura-de-s%C3%A3o-paulo-promove-a%C3%A7%C3%B5es-inclusivas-para-pessoas-com-defici%C3%AAncia-e-seus-familiares</t>
        </is>
      </c>
      <c r="N48" s="23" t="inlineStr">
        <is>
          <t>Edição especial de aquecimento para a Copa Feminina 2027 prevista para agosto de 2026, com bate-papo da jogadora Tamires para mães, cuidadoras e familiares de pessoas com deficiência. A fonte confirma apenas o mês; o dia 01 é usado no campo técnico para ordenação e o dia exato está a definir.</t>
        </is>
      </c>
      <c r="O48" s="23" t="inlineStr">
        <is>
          <t>Ago</t>
        </is>
      </c>
      <c r="P48" s="23" t="n">
        <v>2026</v>
      </c>
      <c r="T48" s="32" t="n"/>
      <c r="U48" s="32" t="n"/>
    </row>
    <row r="49">
      <c r="A49" s="23" t="inlineStr">
        <is>
          <t>EVT-0063</t>
        </is>
      </c>
      <c r="B49" s="23" t="inlineStr">
        <is>
          <t>Realizado</t>
        </is>
      </c>
      <c r="C49" s="32" t="n">
        <v>46237</v>
      </c>
      <c r="D49" s="23" t="inlineStr">
        <is>
          <t>SP</t>
        </is>
      </c>
      <c r="E49" s="23" t="inlineStr">
        <is>
          <t>São Paulo</t>
        </is>
      </c>
      <c r="F49" s="23" t="inlineStr">
        <is>
          <t>Fórum</t>
        </is>
      </c>
      <c r="G49" s="23" t="inlineStr">
        <is>
          <t>Fórum Sustentabilidade em Campo</t>
        </is>
      </c>
      <c r="H49" s="7" t="n">
        <v>0</v>
      </c>
      <c r="I49" s="23" t="inlineStr"/>
      <c r="J49" s="23" t="inlineStr">
        <is>
          <t>Museu do Futebol</t>
        </is>
      </c>
      <c r="K49" s="8" t="n">
        <v>-23.5505</v>
      </c>
      <c r="L49" s="8" t="n">
        <v>-46.6333</v>
      </c>
      <c r="M49" s="23" t="inlineStr">
        <is>
          <t>https://www.sympla.com.br/evento/forum-sustentabilidade-em-campo/3498582</t>
        </is>
      </c>
      <c r="N49" s="23" t="inlineStr">
        <is>
          <t>Terceira edição do Fórum Sustentabilidade em Campo, realizada em 03/08/2026, das 8h às 22h, no Museu do Futebol. A programação reuniu lideranças do esporte, sustentabilidade e negócios e incluiu painel sobre oportunidades de investimento, turismo, desenvolvimento e legado da Copa do Mundo Feminina 2027, além de debates sobre esporte feminino, governança, impacto social e grandes eventos.</t>
        </is>
      </c>
      <c r="O49" s="23" t="inlineStr">
        <is>
          <t>Ago</t>
        </is>
      </c>
      <c r="P49" s="23" t="n">
        <v>2026</v>
      </c>
      <c r="T49" s="32" t="n"/>
      <c r="U49" s="32" t="n"/>
    </row>
    <row r="50">
      <c r="A50" s="23" t="inlineStr">
        <is>
          <t>EVT-0013</t>
        </is>
      </c>
      <c r="B50" s="23" t="inlineStr">
        <is>
          <t>Realizado</t>
        </is>
      </c>
      <c r="C50" s="32" t="n">
        <v>46238</v>
      </c>
      <c r="D50" s="23" t="inlineStr">
        <is>
          <t>SP</t>
        </is>
      </c>
      <c r="E50" s="23" t="inlineStr">
        <is>
          <t>São Paulo</t>
        </is>
      </c>
      <c r="F50" s="23" t="inlineStr">
        <is>
          <t>Seminário</t>
        </is>
      </c>
      <c r="G50" s="23" t="inlineStr">
        <is>
          <t>Grupo Mulheres do Brasil / parceiros</t>
        </is>
      </c>
      <c r="H50" s="7" t="n">
        <v>0</v>
      </c>
      <c r="I50" s="23" t="inlineStr"/>
      <c r="J50" s="23" t="inlineStr">
        <is>
          <t>Expo Center Norte</t>
        </is>
      </c>
      <c r="K50" s="8" t="n">
        <v>-23.5148</v>
      </c>
      <c r="L50" s="8" t="n">
        <v>-46.619</v>
      </c>
      <c r="M50" s="23" t="inlineStr">
        <is>
          <t>https://www.oliberal.com/esportes/nao-da-para-falar-em-paixao-nacional-so-valorizando-o-masculino-diz-secretaria-da-copa-1.1153852</t>
        </is>
      </c>
      <c r="N50" s="23" t="inlineStr">
        <is>
          <t>Summit Mulheres nas Profissões (4–5/08): painel sobre a Copa do Mundo Feminina FIFA 2027, legado e valorização do futebol feminino.</t>
        </is>
      </c>
      <c r="O50" s="23" t="inlineStr">
        <is>
          <t>Ago</t>
        </is>
      </c>
      <c r="P50" s="23" t="n">
        <v>2026</v>
      </c>
      <c r="T50" s="32" t="n"/>
      <c r="U50" s="32" t="n"/>
    </row>
    <row r="51">
      <c r="A51" s="23" t="inlineStr">
        <is>
          <t>EVT-0036</t>
        </is>
      </c>
      <c r="B51" s="23" t="inlineStr">
        <is>
          <t>Realizado</t>
        </is>
      </c>
      <c r="C51" s="32" t="n">
        <v>46238</v>
      </c>
      <c r="D51" s="23" t="inlineStr">
        <is>
          <t>BA</t>
        </is>
      </c>
      <c r="E51" s="23" t="inlineStr">
        <is>
          <t>Salvador</t>
        </is>
      </c>
      <c r="F51" s="23" t="inlineStr">
        <is>
          <t>Reunião de legado</t>
        </is>
      </c>
      <c r="G51" s="23" t="inlineStr">
        <is>
          <t>Prefeitura de Salvador / Grupo de Trabalho da Copa</t>
        </is>
      </c>
      <c r="H51" s="7" t="n">
        <v>0</v>
      </c>
      <c r="I51" s="23" t="inlineStr"/>
      <c r="J51" s="23" t="inlineStr">
        <is>
          <t>Local a definir</t>
        </is>
      </c>
      <c r="K51" s="8" t="n">
        <v>-12.9777</v>
      </c>
      <c r="L51" s="8" t="n">
        <v>-38.5016</v>
      </c>
      <c r="M51" s="23" t="inlineStr">
        <is>
          <t>https://secult.salvador.ba.gov.br/prefeitura-se-reune-com-clubes-federacao-atletas-e-entidades-para-debater-legado-social-da-copa-do-mundo-feminina-da-fifa-2027/</t>
        </is>
      </c>
      <c r="N51" s="23" t="inlineStr">
        <is>
          <t>Reunião realizada em 04/08/2026 com Prefeitura, Federação Bahiana de Futebol, Arena Fonte Nova, clubes e profissionais do esporte para debater inclusão, categorias de base, protagonismo feminino e o legado social da Copa 2027. A fonte não informa o local físico do encontro.</t>
        </is>
      </c>
      <c r="O51" s="23" t="inlineStr">
        <is>
          <t>Ago</t>
        </is>
      </c>
      <c r="P51" s="23" t="n">
        <v>2026</v>
      </c>
      <c r="T51" s="32" t="n"/>
      <c r="U51" s="32" t="n"/>
    </row>
    <row r="52">
      <c r="A52" s="23" t="inlineStr">
        <is>
          <t>EVT-0069</t>
        </is>
      </c>
      <c r="B52" s="23" t="inlineStr">
        <is>
          <t>Realizado</t>
        </is>
      </c>
      <c r="C52" s="32" t="n">
        <v>46238</v>
      </c>
      <c r="D52" s="23" t="inlineStr">
        <is>
          <t>RJ</t>
        </is>
      </c>
      <c r="E52" s="23" t="inlineStr">
        <is>
          <t>Rio de Janeiro</t>
        </is>
      </c>
      <c r="F52" s="23" t="inlineStr">
        <is>
          <t>Painel</t>
        </is>
      </c>
      <c r="G52" s="23" t="inlineStr">
        <is>
          <t>Rio Innovation Week / FIFA</t>
        </is>
      </c>
      <c r="H52" s="7" t="n">
        <v>0</v>
      </c>
      <c r="I52" s="23" t="inlineStr"/>
      <c r="J52" s="23" t="inlineStr">
        <is>
          <t>Rio Innovation Week</t>
        </is>
      </c>
      <c r="K52" s="8" t="n">
        <v>-22.9068</v>
      </c>
      <c r="L52" s="8" t="n">
        <v>-43.1729</v>
      </c>
      <c r="M52" s="23" t="inlineStr">
        <is>
          <t>https://ge.globo.com/futebol/futebol-internacional/noticia/2026/08/04/diretor-da-copa-2027-revela-que-730-mil-pessoas-ja-mostraram-interesse-em-comprar-ingressos-a-gente-vai-encher-estadio.ghtml</t>
        </is>
      </c>
      <c r="N52" s="23" t="inlineStr">
        <is>
          <t>Painel “A Copa do Mundo de 2027 já começou”, realizado em 04/08/2026 durante a Rio Innovation Week. O diretor de operações da Copa, Thiago Jannuzzi, apresentou dados de interesse em ingressos, capacidade dos estádios e metas de público, audiência e legado social e cultural do Mundial. A fonte confirma a cidade e o evento, mas não informa o espaço físico específico do painel.</t>
        </is>
      </c>
      <c r="O52" s="23" t="inlineStr">
        <is>
          <t>Ago</t>
        </is>
      </c>
      <c r="P52" s="23" t="n">
        <v>2026</v>
      </c>
      <c r="T52" s="32" t="n"/>
      <c r="U52" s="32" t="n"/>
    </row>
    <row r="53">
      <c r="A53" s="23" t="inlineStr">
        <is>
          <t>EVT-0024</t>
        </is>
      </c>
      <c r="B53" s="23" t="inlineStr">
        <is>
          <t>Realizado</t>
        </is>
      </c>
      <c r="C53" s="32" t="n">
        <v>46241</v>
      </c>
      <c r="D53" s="23" t="inlineStr">
        <is>
          <t>RJ</t>
        </is>
      </c>
      <c r="E53" s="23" t="inlineStr">
        <is>
          <t>Rio de Janeiro</t>
        </is>
      </c>
      <c r="F53" s="23" t="inlineStr">
        <is>
          <t>Mostra cultural</t>
        </is>
      </c>
      <c r="G53" s="23" t="inlineStr">
        <is>
          <t>CINEfoot</t>
        </is>
      </c>
      <c r="H53" s="7" t="n">
        <v>0</v>
      </c>
      <c r="I53" s="23" t="inlineStr"/>
      <c r="J53" s="23" t="inlineStr">
        <is>
          <t>CCJF e Estação Claro Rio</t>
        </is>
      </c>
      <c r="K53" s="8" t="n">
        <v>-22.9068</v>
      </c>
      <c r="L53" s="8" t="n">
        <v>-43.1729</v>
      </c>
      <c r="M53" s="23" t="inlineStr">
        <is>
          <t>https://cinefoot.org/mostra-geraldinos-arquibaldos-2026/</t>
        </is>
      </c>
      <c r="N53" s="23" t="inlineStr">
        <is>
          <t>Mostra “Rumo à Copa do Mundo Feminina 2027” no CINEfoot 16, com sessões em 07/08 no Centro Cultural Justiça Federal e em 09/08 no CCJF e na Estação Claro Rio, incluindo filmes sobre pioneiras do futebol feminino brasileiro.</t>
        </is>
      </c>
      <c r="O53" s="23" t="inlineStr">
        <is>
          <t>Ago</t>
        </is>
      </c>
      <c r="P53" s="23" t="n">
        <v>2026</v>
      </c>
      <c r="T53" s="32" t="n"/>
      <c r="U53" s="32" t="n"/>
    </row>
    <row r="54">
      <c r="A54" s="23" t="inlineStr">
        <is>
          <t>EVT-0014</t>
        </is>
      </c>
      <c r="B54" s="23" t="inlineStr">
        <is>
          <t>Realizado</t>
        </is>
      </c>
      <c r="C54" s="32" t="n">
        <v>46243</v>
      </c>
      <c r="D54" s="23" t="inlineStr">
        <is>
          <t>SP</t>
        </is>
      </c>
      <c r="E54" s="23" t="inlineStr">
        <is>
          <t>São Paulo</t>
        </is>
      </c>
      <c r="F54" s="23" t="inlineStr">
        <is>
          <t>Ativação patrocinador</t>
        </is>
      </c>
      <c r="G54" s="23" t="inlineStr">
        <is>
          <t>FIFA / SP2B</t>
        </is>
      </c>
      <c r="H54" s="7" t="n">
        <v>70000</v>
      </c>
      <c r="I54" s="23" t="inlineStr">
        <is>
          <t>Coca-Cola; Visa; Adidas; Hyundai</t>
        </is>
      </c>
      <c r="J54" s="23" t="inlineStr">
        <is>
          <t>Parque Ibirapuera</t>
        </is>
      </c>
      <c r="K54" s="8" t="n">
        <v>-23.5874</v>
      </c>
      <c r="L54" s="8" t="n">
        <v>-46.6576</v>
      </c>
      <c r="M54" s="23" t="inlineStr">
        <is>
          <t>https://economia.uol.com.br/noticias/redacao/2026/08/14/copa-do-mundo-feminina-alcanca-750-mil-interessados-em-ingressos.ghtm</t>
        </is>
      </c>
      <c r="N54" s="23" t="inlineStr">
        <is>
          <t>SP2B ocorreu de 9–16/08. A FIFA promoveu summit/encontro com marcas e executivos sobre ativações e oportunidades comerciais da Copa 2027; data específica do painel não foi publicada na fonte consultada.</t>
        </is>
      </c>
      <c r="O54" s="23" t="inlineStr">
        <is>
          <t>Ago</t>
        </is>
      </c>
      <c r="P54" s="23" t="n">
        <v>2026</v>
      </c>
      <c r="T54" s="32" t="n"/>
      <c r="U54" s="32" t="n"/>
    </row>
    <row r="55">
      <c r="A55" s="23" t="inlineStr">
        <is>
          <t>EVT-0081</t>
        </is>
      </c>
      <c r="B55" s="23" t="inlineStr">
        <is>
          <t>Realizado</t>
        </is>
      </c>
      <c r="C55" s="32" t="n">
        <v>46245</v>
      </c>
      <c r="D55" s="23" t="inlineStr">
        <is>
          <t>DF</t>
        </is>
      </c>
      <c r="E55" s="23" t="inlineStr">
        <is>
          <t>Brasília</t>
        </is>
      </c>
      <c r="F55" s="23" t="inlineStr">
        <is>
          <t>Painel / Legado</t>
        </is>
      </c>
      <c r="G55" s="23" t="inlineStr">
        <is>
          <t>Elas em Ação</t>
        </is>
      </c>
      <c r="H55" s="7" t="n">
        <v>0</v>
      </c>
      <c r="I55" s="23" t="inlineStr"/>
      <c r="J55" s="23" t="inlineStr">
        <is>
          <t>Teatro Nacional Cláudio Santoro</t>
        </is>
      </c>
      <c r="K55" s="8" t="n">
        <v>-15.7939</v>
      </c>
      <c r="L55" s="8" t="n">
        <v>-47.8828</v>
      </c>
      <c r="M55" s="23" t="inlineStr">
        <is>
          <t>https://elasemacao.com/</t>
        </is>
      </c>
      <c r="N55" s="23" t="inlineStr">
        <is>
          <t>O encontro nacional Elas em Ação — Mulheres que Transformam o Futuro incluiu, em 12/08/2026, o painel “Esporte como Arena de Poder”, dedicado ao esporte como ferramenta de transformação social e econômica e ao legado da Copa Feminina 2027. Participaram Juliana Picoli Agatte, Ruskaya Zanini e Fabíola Constâncio.</t>
        </is>
      </c>
      <c r="O55" s="23" t="inlineStr">
        <is>
          <t>Ago</t>
        </is>
      </c>
      <c r="P55" s="23" t="n">
        <v>2026</v>
      </c>
      <c r="T55" s="32" t="n"/>
      <c r="U55" s="32" t="n"/>
    </row>
    <row r="56">
      <c r="A56" s="23" t="inlineStr">
        <is>
          <t>EVT-0025</t>
        </is>
      </c>
      <c r="B56" s="23" t="inlineStr">
        <is>
          <t>Realizado</t>
        </is>
      </c>
      <c r="C56" s="32" t="n">
        <v>46248</v>
      </c>
      <c r="D56" s="23" t="inlineStr">
        <is>
          <t>RS</t>
        </is>
      </c>
      <c r="E56" s="23" t="inlineStr">
        <is>
          <t>Porto Alegre</t>
        </is>
      </c>
      <c r="F56" s="23" t="inlineStr">
        <is>
          <t>Seminário</t>
        </is>
      </c>
      <c r="G56" s="23" t="inlineStr">
        <is>
          <t>Prefeitura de Porto Alegre / Sistema Confef-Crefs</t>
        </is>
      </c>
      <c r="H56" s="7" t="n">
        <v>0</v>
      </c>
      <c r="I56" s="23" t="inlineStr"/>
      <c r="J56" s="23" t="inlineStr">
        <is>
          <t>Sede da FGF e Esefid/UFRGS</t>
        </is>
      </c>
      <c r="K56" s="8" t="n">
        <v>-30.0346</v>
      </c>
      <c r="L56" s="8" t="n">
        <v>-51.2177</v>
      </c>
      <c r="M56" s="23" t="inlineStr">
        <is>
          <t>https://prefeitura.poa.br/secopa2027/noticias/seminario-mulheres-em-campo-ocorre-nesta-sexta-feira</t>
        </is>
      </c>
      <c r="N56" s="23" t="inlineStr">
        <is>
          <t>Seminário As Mulheres em Campo, realizado em 14/08/2026, com debates sobre políticas públicas, formação, trajetórias profissionais e desenvolvimento do futebol feminino, além de oficinas e apresentação de Carta-Compromisso Local para o legado da Copa 2027.</t>
        </is>
      </c>
      <c r="O56" s="23" t="inlineStr">
        <is>
          <t>Ago</t>
        </is>
      </c>
      <c r="P56" s="23" t="n">
        <v>2026</v>
      </c>
      <c r="T56" s="32" t="n"/>
      <c r="U56" s="32" t="n"/>
    </row>
    <row r="57">
      <c r="A57" s="23" t="inlineStr">
        <is>
          <t>EVT-0015</t>
        </is>
      </c>
      <c r="B57" s="23" t="inlineStr">
        <is>
          <t>Realizado</t>
        </is>
      </c>
      <c r="C57" s="32" t="n">
        <v>46251</v>
      </c>
      <c r="D57" s="23" t="inlineStr">
        <is>
          <t>PE</t>
        </is>
      </c>
      <c r="E57" s="23" t="inlineStr">
        <is>
          <t>Recife</t>
        </is>
      </c>
      <c r="F57" s="23" t="inlineStr">
        <is>
          <t>Workshop</t>
        </is>
      </c>
      <c r="G57" s="23" t="inlineStr">
        <is>
          <t>FIFA / Federação Pernambucana de Futebol</t>
        </is>
      </c>
      <c r="H57" s="7" t="n">
        <v>0</v>
      </c>
      <c r="I57" s="23" t="inlineStr"/>
      <c r="J57" s="23" t="inlineStr">
        <is>
          <t>Sede da FPF</t>
        </is>
      </c>
      <c r="K57" s="8" t="n">
        <v>-8.047599999999999</v>
      </c>
      <c r="L57" s="8" t="n">
        <v>-34.877</v>
      </c>
      <c r="M57" s="23" t="inlineStr">
        <is>
          <t>https://tribunaonline.com.br/pernambuco/esporte/fpf-recebe-comitiva-da-fifa-para-alinhar-preparativos-da-copa-do-mundo-feminina-328649</t>
        </is>
      </c>
      <c r="N57" s="23" t="inlineStr">
        <is>
          <t>Comitiva da FIFA reuniu-se com a FPF para alinhar preparação, integração institucional e operação da Copa 2027 em Pernambuco.</t>
        </is>
      </c>
      <c r="O57" s="23" t="inlineStr">
        <is>
          <t>Ago</t>
        </is>
      </c>
      <c r="P57" s="23" t="n">
        <v>2026</v>
      </c>
      <c r="T57" s="32" t="n"/>
      <c r="U57" s="32" t="n"/>
    </row>
    <row r="58">
      <c r="A58" s="23" t="inlineStr">
        <is>
          <t>EVT-0016</t>
        </is>
      </c>
      <c r="B58" s="23" t="inlineStr">
        <is>
          <t>Realizado</t>
        </is>
      </c>
      <c r="C58" s="32" t="n">
        <v>46254</v>
      </c>
      <c r="D58" s="23" t="inlineStr">
        <is>
          <t>SP</t>
        </is>
      </c>
      <c r="E58" s="23" t="inlineStr">
        <is>
          <t>São Paulo</t>
        </is>
      </c>
      <c r="F58" s="23" t="inlineStr">
        <is>
          <t>Sorteio Oficial</t>
        </is>
      </c>
      <c r="G58" s="23" t="inlineStr">
        <is>
          <t>FIFA</t>
        </is>
      </c>
      <c r="H58" s="7" t="n">
        <v>0</v>
      </c>
      <c r="I58" s="23" t="inlineStr"/>
      <c r="J58" s="23" t="inlineStr">
        <is>
          <t>Sede da FIFA, Zurique / transmissão online</t>
        </is>
      </c>
      <c r="K58" s="8" t="n">
        <v>-23.5505</v>
      </c>
      <c r="L58" s="8" t="n">
        <v>-46.6333</v>
      </c>
      <c r="M58" s="23" t="inlineStr">
        <is>
          <t>https://ge.globo.com/futebol/copa-do-mundo-feminina/noticia/2026/08/14/copa-do-mundo-2027-calendario-sera-revelado-dia-20-de-agosto.ghtml</t>
        </is>
      </c>
      <c r="N58" s="23" t="inlineStr">
        <is>
          <t>Evento em 20/08, às 9h de Brasília: divulgação do calendário e distribuição de jogos por sede, cidades dos jogos do Brasil e sorteio da fase preliminar da repescagem.</t>
        </is>
      </c>
      <c r="O58" s="23" t="inlineStr">
        <is>
          <t>Ago</t>
        </is>
      </c>
      <c r="P58" s="23" t="n">
        <v>2026</v>
      </c>
      <c r="T58" s="32" t="n"/>
      <c r="U58" s="32" t="n"/>
    </row>
    <row r="59">
      <c r="A59" s="23" t="inlineStr">
        <is>
          <t>EVT-0021</t>
        </is>
      </c>
      <c r="B59" s="23" t="inlineStr">
        <is>
          <t>Realizado</t>
        </is>
      </c>
      <c r="C59" s="32" t="n">
        <v>46257</v>
      </c>
      <c r="D59" s="23" t="inlineStr">
        <is>
          <t>SP</t>
        </is>
      </c>
      <c r="E59" s="23" t="inlineStr">
        <is>
          <t>São Paulo</t>
        </is>
      </c>
      <c r="F59" s="23" t="inlineStr">
        <is>
          <t>Summit</t>
        </is>
      </c>
      <c r="G59" s="23" t="inlineStr">
        <is>
          <t>Instituto Futuro em Jogo</t>
        </is>
      </c>
      <c r="H59" s="7" t="n">
        <v>0</v>
      </c>
      <c r="I59" s="23" t="inlineStr"/>
      <c r="J59" s="23" t="inlineStr">
        <is>
          <t>Museu do Futebol</t>
        </is>
      </c>
      <c r="K59" s="8" t="n">
        <v>-23.5477</v>
      </c>
      <c r="L59" s="8" t="n">
        <v>-46.6657</v>
      </c>
      <c r="M59" s="23" t="inlineStr">
        <is>
          <t>https://www.sympla.com.br/evento/elas-jogam-summit-sao-paulo-e-o-legado-da-copa-de-2027-23-08-domingo/3508796</t>
        </is>
      </c>
      <c r="N59" s="23" t="inlineStr">
        <is>
          <t>Elas Jogam Summit — São Paulo e o Legado da Copa 2027. Evento presencial em 23/08/2026, das 8h30 às 19h, no Museu do Futebol.</t>
        </is>
      </c>
      <c r="O59" s="23" t="inlineStr">
        <is>
          <t>Ago</t>
        </is>
      </c>
      <c r="P59" s="23" t="n">
        <v>2026</v>
      </c>
      <c r="T59" s="32" t="n"/>
      <c r="U59" s="32" t="n"/>
    </row>
    <row r="60">
      <c r="A60" s="23" t="inlineStr">
        <is>
          <t>EVT-0023</t>
        </is>
      </c>
      <c r="B60" s="23" t="inlineStr">
        <is>
          <t>Planejado</t>
        </is>
      </c>
      <c r="C60" s="32" t="n">
        <v>46258</v>
      </c>
      <c r="D60" s="23" t="inlineStr">
        <is>
          <t>RJ</t>
        </is>
      </c>
      <c r="E60" s="23" t="inlineStr">
        <is>
          <t>Rio de Janeiro</t>
        </is>
      </c>
      <c r="F60" s="23" t="inlineStr">
        <is>
          <t>Workshop</t>
        </is>
      </c>
      <c r="G60" s="23" t="inlineStr">
        <is>
          <t>FIFA / CBF</t>
        </is>
      </c>
      <c r="H60" s="7" t="n">
        <v>0</v>
      </c>
      <c r="I60" s="23" t="inlineStr"/>
      <c r="J60" s="23" t="inlineStr">
        <is>
          <t>A definir</t>
        </is>
      </c>
      <c r="K60" s="8" t="n">
        <v>-22.9068</v>
      </c>
      <c r="L60" s="8" t="n">
        <v>-43.1729</v>
      </c>
      <c r="M60" s="23" t="inlineStr">
        <is>
          <t>https://prefeitura.poa.br/secopa2027/noticias/porto-alegre-apresenta-preparacao-para-copa-feminina-2027-em-workshop-da-fifa</t>
        </is>
      </c>
      <c r="N60" s="23" t="inlineStr">
        <is>
          <t>II Workshop de Cidades-Sede e Estádios da Copa do Mundo Feminina FIFA 2027, realizado de 24 a 26/08/2026 no Rio de Janeiro, reunindo representantes das oito cidades-sede, governos, FIFA e CBF.</t>
        </is>
      </c>
      <c r="O60" s="23" t="inlineStr">
        <is>
          <t>Ago</t>
        </is>
      </c>
      <c r="P60" s="23" t="n">
        <v>2026</v>
      </c>
      <c r="T60" s="32" t="n"/>
      <c r="U60" s="32" t="n"/>
    </row>
    <row r="61">
      <c r="A61" s="23" t="inlineStr">
        <is>
          <t>EVT-0064</t>
        </is>
      </c>
      <c r="B61" s="23" t="inlineStr">
        <is>
          <t>Planejado</t>
        </is>
      </c>
      <c r="C61" s="32" t="n">
        <v>46264</v>
      </c>
      <c r="D61" s="23" t="inlineStr">
        <is>
          <t>BA</t>
        </is>
      </c>
      <c r="E61" s="23" t="inlineStr">
        <is>
          <t>Salvador</t>
        </is>
      </c>
      <c r="F61" s="23" t="inlineStr">
        <is>
          <t>Torneio de futebol feminino</t>
        </is>
      </c>
      <c r="G61" s="23" t="inlineStr">
        <is>
          <t>Prefeitura de Salvador / Sempre / Federação Bahiana de Futebol</t>
        </is>
      </c>
      <c r="H61" s="7" t="n">
        <v>0</v>
      </c>
      <c r="I61" s="23" t="inlineStr"/>
      <c r="J61" s="23" t="inlineStr">
        <is>
          <t>Local a definir</t>
        </is>
      </c>
      <c r="K61" s="8" t="n">
        <v>-12.9777</v>
      </c>
      <c r="L61" s="8" t="n">
        <v>-38.5016</v>
      </c>
      <c r="M61" s="23" t="inlineStr">
        <is>
          <t>https://comunicacao.salvador.ba.gov.br/prefeitura-lanca-copa-salvador-interbairros-2026-com-40-times-e-participacao-inedita-de-equipes-femininas/</t>
        </is>
      </c>
      <c r="N61" s="23" t="inlineStr">
        <is>
          <t>Copa Salvador Interbairros 2026, prevista de 30/08 a 06/12/2026, terá pela primeira vez uma categoria feminina, com dez equipes das regiões administrativas da capital. A inclusão foi apresentada pela Prefeitura como ação de ampliação de oportunidades para mulheres e construção do legado local da Copa Feminina 2027. A fonte não detalha os locais de todas as partidas.</t>
        </is>
      </c>
      <c r="O61" s="23" t="inlineStr">
        <is>
          <t>Ago</t>
        </is>
      </c>
      <c r="P61" s="23" t="n">
        <v>2026</v>
      </c>
      <c r="T61" s="32" t="n"/>
      <c r="U61" s="32" t="n"/>
    </row>
    <row r="62">
      <c r="A62" s="23" t="inlineStr">
        <is>
          <t>EVT-0091</t>
        </is>
      </c>
      <c r="B62" s="23" t="inlineStr">
        <is>
          <t>Planejado</t>
        </is>
      </c>
      <c r="C62" s="32" t="n">
        <v>46264</v>
      </c>
      <c r="D62" s="23" t="inlineStr">
        <is>
          <t>SP</t>
        </is>
      </c>
      <c r="E62" s="23" t="inlineStr">
        <is>
          <t>São Paulo</t>
        </is>
      </c>
      <c r="F62" s="23" t="inlineStr">
        <is>
          <t>Festival e ativação de mídia</t>
        </is>
      </c>
      <c r="G62" s="23" t="inlineStr">
        <is>
          <t>Sportv / Nossa Arena</t>
        </is>
      </c>
      <c r="H62" s="7" t="n">
        <v>0</v>
      </c>
      <c r="I62" s="23" t="inlineStr">
        <is>
          <t>Sportv</t>
        </is>
      </c>
      <c r="J62" s="23" t="inlineStr">
        <is>
          <t>Nossa Arena</t>
        </is>
      </c>
      <c r="K62" s="8" t="n">
        <v>-23.5505</v>
      </c>
      <c r="L62" s="8" t="n">
        <v>-46.6333</v>
      </c>
      <c r="M62" s="23" t="inlineStr">
        <is>
          <t>https://www.meioemensagem.com.br/midia/sportv-faz-evento-para-celebrar-protagonismo-feminino</t>
        </is>
      </c>
      <c r="N62" s="23" t="inlineStr">
        <is>
          <t>Festival programado para 30/08/2026, das 9h às 13h, com atividades esportivas, debates, brunch e lançamento da campanha do Sportv sobre futebol feminino. A programação inclui bate-papo específico sobre a cobertura do canal para a Copa do Mundo Feminina 2027, com Alline Calandrini, Júlia Vergueiro e convidados, além da entrega de novos vestiários e apresentação de Alline como embaixadora do projeto.</t>
        </is>
      </c>
      <c r="O62" s="23" t="inlineStr">
        <is>
          <t>Ago</t>
        </is>
      </c>
      <c r="P62" s="23" t="n">
        <v>2026</v>
      </c>
      <c r="T62" s="32" t="n"/>
      <c r="U62" s="32" t="n"/>
    </row>
    <row r="63">
      <c r="A63" s="23" t="inlineStr">
        <is>
          <t>EVT-0082</t>
        </is>
      </c>
      <c r="B63" s="23" t="inlineStr">
        <is>
          <t>Planejado</t>
        </is>
      </c>
      <c r="C63" s="32" t="n">
        <v>46270</v>
      </c>
      <c r="D63" s="23" t="inlineStr">
        <is>
          <t>POL</t>
        </is>
      </c>
      <c r="E63" s="23" t="inlineStr">
        <is>
          <t>Bielsko-Biała</t>
        </is>
      </c>
      <c r="F63" s="23" t="inlineStr">
        <is>
          <t>Seleções de Base</t>
        </is>
      </c>
      <c r="G63" s="23" t="inlineStr">
        <is>
          <t>FIFA / CBF / Seleção Brasileira Feminina Sub-20</t>
        </is>
      </c>
      <c r="H63" s="7" t="n">
        <v>0</v>
      </c>
      <c r="I63" s="23" t="inlineStr"/>
      <c r="J63" s="23" t="inlineStr">
        <is>
          <t>Estádio de Bielsko-Biała</t>
        </is>
      </c>
      <c r="K63" s="8" t="n"/>
      <c r="L63" s="8" t="n"/>
      <c r="M63" s="23" t="inlineStr">
        <is>
          <t>https://www.fifa.com/pt/tournaments/womens/u20womensworldcup/poland-2026</t>
        </is>
      </c>
      <c r="N63" s="23" t="inlineStr">
        <is>
          <t>Copa do Mundo Feminina Sub-20 da FIFA Polônia 2026, disputada de 05 a 27/09/2026. O Brasil está no Grupo B e enfrenta Tanzânia (05/09), Canadá (08/09) e Inglaterra (11/09), sempre no Estádio de Bielsko-Biała, às 10h de Brasília.</t>
        </is>
      </c>
      <c r="O63" s="23" t="inlineStr">
        <is>
          <t>Set</t>
        </is>
      </c>
      <c r="P63" s="23" t="n">
        <v>2026</v>
      </c>
      <c r="T63" s="32" t="n"/>
      <c r="U63" s="32" t="n"/>
    </row>
    <row r="64">
      <c r="A64" s="23" t="inlineStr">
        <is>
          <t>EVT-0083</t>
        </is>
      </c>
      <c r="B64" s="23" t="inlineStr">
        <is>
          <t>Planejado</t>
        </is>
      </c>
      <c r="C64" s="32" t="n">
        <v>46273</v>
      </c>
      <c r="D64" s="23" t="inlineStr">
        <is>
          <t>PRY</t>
        </is>
      </c>
      <c r="E64" s="23" t="inlineStr">
        <is>
          <t>Assunção</t>
        </is>
      </c>
      <c r="F64" s="23" t="inlineStr">
        <is>
          <t>Seleções de Base</t>
        </is>
      </c>
      <c r="G64" s="23" t="inlineStr">
        <is>
          <t>CONMEBOL / CBF / Seleção Brasileira Feminina Sub-15</t>
        </is>
      </c>
      <c r="H64" s="7" t="n">
        <v>0</v>
      </c>
      <c r="I64" s="23" t="inlineStr"/>
      <c r="J64" s="23" t="inlineStr">
        <is>
          <t>Local a definir</t>
        </is>
      </c>
      <c r="K64" s="8" t="n"/>
      <c r="L64" s="8" t="n"/>
      <c r="M64" s="23" t="inlineStr">
        <is>
          <t>https://www.cbf.com.br/selecao-brasileira/noticias/convocacoes-selecao-feminina-sub-15/a/beatriz-vaz-convoca-20-atletas-para-liga-evolucao-sub-15-da-conmebol</t>
        </is>
      </c>
      <c r="N64" s="23" t="inlineStr">
        <is>
          <t>A Seleção Brasileira Feminina Sub-15 busca o bicampeonato da CONMEBOL Liga Evolução, disputada de 08 a 20/09/2026 no Paraguai. A fonte confirma Assunção como cidade de referência, mas não informa o local físico dos jogos.</t>
        </is>
      </c>
      <c r="O64" s="23" t="inlineStr">
        <is>
          <t>Set</t>
        </is>
      </c>
      <c r="P64" s="23" t="n">
        <v>2026</v>
      </c>
      <c r="T64" s="32" t="n"/>
      <c r="U64" s="32" t="n"/>
    </row>
    <row r="65">
      <c r="A65" s="23" t="inlineStr">
        <is>
          <t>EVT-0022</t>
        </is>
      </c>
      <c r="B65" s="23" t="inlineStr">
        <is>
          <t>Planejado</t>
        </is>
      </c>
      <c r="C65" s="32" t="n">
        <v>46279</v>
      </c>
      <c r="D65" s="23" t="inlineStr">
        <is>
          <t>RJ</t>
        </is>
      </c>
      <c r="E65" s="23" t="inlineStr">
        <is>
          <t>Rio de Janeiro</t>
        </is>
      </c>
      <c r="F65" s="23" t="inlineStr">
        <is>
          <t>Summit</t>
        </is>
      </c>
      <c r="G65" s="23" t="inlineStr">
        <is>
          <t>CONFUT / WIFS</t>
        </is>
      </c>
      <c r="H65" s="7" t="n">
        <v>0</v>
      </c>
      <c r="I65" s="23" t="inlineStr"/>
      <c r="J65" s="23" t="inlineStr">
        <is>
          <t>Museu do Amanhã</t>
        </is>
      </c>
      <c r="K65" s="8" t="n">
        <v>-22.8942</v>
      </c>
      <c r="L65" s="8" t="n">
        <v>-43.1794</v>
      </c>
      <c r="M65" s="23" t="inlineStr">
        <is>
          <t>https://womanifs.com/</t>
        </is>
      </c>
      <c r="N65" s="23" t="inlineStr">
        <is>
          <t>Women's International Football Summit (WIFS), encontro internacional dedicado ao futebol feminino, em 14 e 15/09/2026 no Museu do Amanhã.</t>
        </is>
      </c>
      <c r="O65" s="23" t="inlineStr">
        <is>
          <t>Set</t>
        </is>
      </c>
      <c r="P65" s="23" t="n">
        <v>2026</v>
      </c>
      <c r="T65" s="32" t="n"/>
      <c r="U65" s="32" t="n"/>
    </row>
    <row r="66">
      <c r="A66" s="23" t="inlineStr">
        <is>
          <t>EVT-0062</t>
        </is>
      </c>
      <c r="B66" s="23" t="inlineStr">
        <is>
          <t>Planejado</t>
        </is>
      </c>
      <c r="C66" s="32" t="n">
        <v>46284</v>
      </c>
      <c r="D66" s="23" t="inlineStr">
        <is>
          <t>RJ</t>
        </is>
      </c>
      <c r="E66" s="23" t="inlineStr">
        <is>
          <t>Rio de Janeiro</t>
        </is>
      </c>
      <c r="F66" s="23" t="inlineStr">
        <is>
          <t>Tour histórico-cultural</t>
        </is>
      </c>
      <c r="G66" s="23" t="inlineStr">
        <is>
          <t>Tour Delas</t>
        </is>
      </c>
      <c r="H66" s="7" t="n">
        <v>0</v>
      </c>
      <c r="I66" s="23" t="inlineStr"/>
      <c r="J66" s="23" t="inlineStr">
        <is>
          <t>Praça Tiradentes — ponto de encontro em frente ao VLT</t>
        </is>
      </c>
      <c r="K66" s="8" t="n">
        <v>-22.9068</v>
      </c>
      <c r="L66" s="8" t="n">
        <v>-43.1729</v>
      </c>
      <c r="M66" s="23" t="inlineStr">
        <is>
          <t>https://www.sympla.com.br/evento/historia-do-futebol-feminino-no-rio/3546698</t>
        </is>
      </c>
      <c r="N66" s="23" t="inlineStr">
        <is>
          <t>Walking tour previsto para 19/09/2026, das 10h às 13h, pelo centro do Rio. O roteiro resgata a história do futebol feminino no Brasil, incluindo a proibição da modalidade, as pioneiras, a força dos coletivos de torcedoras e a Copa do Mundo Feminina 2027 como marco de um século de resistência. A realização depende de um mínimo de cinco participantes.</t>
        </is>
      </c>
      <c r="O66" s="23" t="inlineStr">
        <is>
          <t>Set</t>
        </is>
      </c>
      <c r="P66" s="23" t="n">
        <v>2026</v>
      </c>
      <c r="T66" s="32" t="n"/>
      <c r="U66" s="32" t="n"/>
    </row>
    <row r="67">
      <c r="A67" s="23" t="inlineStr">
        <is>
          <t>EVT-0084</t>
        </is>
      </c>
      <c r="B67" s="23" t="inlineStr">
        <is>
          <t>Planejado</t>
        </is>
      </c>
      <c r="C67" s="32" t="n">
        <v>46287</v>
      </c>
      <c r="D67" s="23" t="inlineStr">
        <is>
          <t>RJ</t>
        </is>
      </c>
      <c r="E67" s="23" t="inlineStr">
        <is>
          <t>Teresópolis</t>
        </is>
      </c>
      <c r="F67" s="23" t="inlineStr">
        <is>
          <t>Seleções de Base</t>
        </is>
      </c>
      <c r="G67" s="23" t="inlineStr">
        <is>
          <t>CBF / Seleção Brasileira Feminina Sub-17</t>
        </is>
      </c>
      <c r="H67" s="7" t="n">
        <v>0</v>
      </c>
      <c r="I67" s="23" t="inlineStr"/>
      <c r="J67" s="23" t="inlineStr">
        <is>
          <t>Granja Comary</t>
        </is>
      </c>
      <c r="K67" s="8" t="n">
        <v>-22.4167</v>
      </c>
      <c r="L67" s="8" t="n">
        <v>-42.9782</v>
      </c>
      <c r="M67" s="23" t="inlineStr">
        <is>
          <t>https://www.cbf.com.br/selecao-brasileira/noticias/noticias/selecao-base-feminina/confira-o-calendario-do-segundo-semestre-das-selecoes-femininas-de-base</t>
        </is>
      </c>
      <c r="N67" s="23" t="inlineStr">
        <is>
          <t>Período de treinamento da Seleção Brasileira Feminina Sub-17 entre 22/09 e 16/10/2026, na Granja Comary, como preparação final para a Copa do Mundo da categoria no Marrocos.</t>
        </is>
      </c>
      <c r="O67" s="23" t="inlineStr">
        <is>
          <t>Set</t>
        </is>
      </c>
      <c r="P67" s="23" t="n">
        <v>2026</v>
      </c>
      <c r="T67" s="32" t="n"/>
      <c r="U67" s="32" t="n"/>
    </row>
    <row r="68">
      <c r="A68" s="23" t="inlineStr">
        <is>
          <t>EVT-0074</t>
        </is>
      </c>
      <c r="B68" s="23" t="inlineStr">
        <is>
          <t>Planejado</t>
        </is>
      </c>
      <c r="C68" s="32" t="n">
        <v>46298</v>
      </c>
      <c r="D68" s="23" t="inlineStr">
        <is>
          <t>SP</t>
        </is>
      </c>
      <c r="E68" s="23" t="inlineStr">
        <is>
          <t>São Paulo</t>
        </is>
      </c>
      <c r="F68" s="23" t="inlineStr">
        <is>
          <t>Palestra</t>
        </is>
      </c>
      <c r="G68" s="23" t="inlineStr">
        <is>
          <t>COB Expo</t>
        </is>
      </c>
      <c r="H68" s="7" t="n">
        <v>0</v>
      </c>
      <c r="I68" s="23" t="inlineStr"/>
      <c r="J68" s="23" t="inlineStr">
        <is>
          <t>Pro Magno Centro de Eventos</t>
        </is>
      </c>
      <c r="K68" s="8" t="n">
        <v>-23.5505</v>
      </c>
      <c r="L68" s="8" t="n">
        <v>-46.6333</v>
      </c>
      <c r="M68" s="23" t="inlineStr">
        <is>
          <t>https://cobexpo.soudaliga.com.br/reserva?date=2026-10-03&amp;id=22500&amp;nextInternalLocale=pt-BR</t>
        </is>
      </c>
      <c r="N68" s="23" t="inlineStr">
        <is>
          <t>Sessão “Copa do Mundo Feminina FIFA 2027 no Brasil: mídia, visibilidade e construção de legado”, em 03/10/2026, das 9h30 às 11h30, durante a COB Expo 2026.</t>
        </is>
      </c>
      <c r="O68" s="23" t="inlineStr">
        <is>
          <t>Out</t>
        </is>
      </c>
      <c r="P68" s="23" t="n">
        <v>2026</v>
      </c>
      <c r="Q68" t="inlineStr">
        <is>
          <t>09:30</t>
        </is>
      </c>
      <c r="R68" t="inlineStr">
        <is>
          <t>11:30</t>
        </is>
      </c>
      <c r="S68" t="inlineStr">
        <is>
          <t>America/Sao_Paulo</t>
        </is>
      </c>
      <c r="T68" s="32" t="n"/>
      <c r="U68" s="32" t="n"/>
    </row>
    <row r="69">
      <c r="A69" s="23" t="inlineStr">
        <is>
          <t>EVT-0085</t>
        </is>
      </c>
      <c r="B69" s="23" t="inlineStr">
        <is>
          <t>Planejado</t>
        </is>
      </c>
      <c r="C69" s="32" t="n">
        <v>46300</v>
      </c>
      <c r="D69" s="23" t="inlineStr">
        <is>
          <t>BR</t>
        </is>
      </c>
      <c r="E69" s="23" t="inlineStr">
        <is>
          <t>Local a definir</t>
        </is>
      </c>
      <c r="F69" s="23" t="inlineStr">
        <is>
          <t>Seleções de Base</t>
        </is>
      </c>
      <c r="G69" s="23" t="inlineStr">
        <is>
          <t>CBF / Seleção Brasileira Feminina Sub-20</t>
        </is>
      </c>
      <c r="H69" s="7" t="n">
        <v>0</v>
      </c>
      <c r="I69" s="23" t="inlineStr"/>
      <c r="J69" s="23" t="inlineStr">
        <is>
          <t>Local a definir</t>
        </is>
      </c>
      <c r="K69" s="8" t="n"/>
      <c r="L69" s="8" t="n"/>
      <c r="M69" s="23" t="inlineStr">
        <is>
          <t>https://www.cbf.com.br/selecao-brasileira/noticias/noticias/selecao-base-feminina/confira-o-calendario-do-segundo-semestre-das-selecoes-femininas-de-base</t>
        </is>
      </c>
      <c r="N69" s="23" t="inlineStr">
        <is>
          <t>Período de treinamentos da Seleção Brasileira Feminina Sub-20 previsto de 05 a 13/10/2026. A CBF não informou cidade nem local físico.</t>
        </is>
      </c>
      <c r="O69" s="23" t="inlineStr">
        <is>
          <t>Out</t>
        </is>
      </c>
      <c r="P69" s="23" t="n">
        <v>2026</v>
      </c>
      <c r="T69" s="32" t="n"/>
      <c r="U69" s="32" t="n"/>
    </row>
    <row r="70">
      <c r="A70" s="23" t="inlineStr">
        <is>
          <t>EVT-0086</t>
        </is>
      </c>
      <c r="B70" s="23" t="inlineStr">
        <is>
          <t>Planejado</t>
        </is>
      </c>
      <c r="C70" s="32" t="n">
        <v>46312</v>
      </c>
      <c r="D70" s="23" t="inlineStr">
        <is>
          <t>MAR</t>
        </is>
      </c>
      <c r="E70" s="23" t="inlineStr">
        <is>
          <t>Local a definir</t>
        </is>
      </c>
      <c r="F70" s="23" t="inlineStr">
        <is>
          <t>Seleções de Base</t>
        </is>
      </c>
      <c r="G70" s="23" t="inlineStr">
        <is>
          <t>FIFA / CBF / Seleção Brasileira Feminina Sub-17</t>
        </is>
      </c>
      <c r="H70" s="7" t="n">
        <v>0</v>
      </c>
      <c r="I70" s="23" t="inlineStr"/>
      <c r="J70" s="23" t="inlineStr">
        <is>
          <t>Local a definir</t>
        </is>
      </c>
      <c r="K70" s="8" t="n"/>
      <c r="L70" s="8" t="n"/>
      <c r="M70" s="23" t="inlineStr">
        <is>
          <t>https://www.cbf.com.br/selecao-brasileira/noticias/noticias/selecao-base-feminina/confira-o-calendario-do-segundo-semestre-das-selecoes-femininas-de-base</t>
        </is>
      </c>
      <c r="N70" s="23" t="inlineStr">
        <is>
          <t>Copa do Mundo Feminina Sub-17 da FIFA, disputada de 17/10 a 07/11/2026 no Marrocos. O Brasil integra grupo com Canadá, Noruega e uma seleção africana; a fonte consultada não especifica cidade nem estádio.</t>
        </is>
      </c>
      <c r="O70" s="23" t="inlineStr">
        <is>
          <t>Out</t>
        </is>
      </c>
      <c r="P70" s="23" t="n">
        <v>2026</v>
      </c>
      <c r="T70" s="32" t="n"/>
      <c r="U70" s="32" t="n"/>
    </row>
    <row r="71">
      <c r="A71" s="23" t="inlineStr">
        <is>
          <t>EVT-0087</t>
        </is>
      </c>
      <c r="B71" s="23" t="inlineStr">
        <is>
          <t>Planejado</t>
        </is>
      </c>
      <c r="C71" s="32" t="n">
        <v>46340</v>
      </c>
      <c r="D71" s="23" t="inlineStr">
        <is>
          <t>BR</t>
        </is>
      </c>
      <c r="E71" s="23" t="inlineStr">
        <is>
          <t>Local a definir</t>
        </is>
      </c>
      <c r="F71" s="23" t="inlineStr">
        <is>
          <t>Seleções de Base</t>
        </is>
      </c>
      <c r="G71" s="23" t="inlineStr">
        <is>
          <t>CBF / Seleção Brasileira Feminina Sub-15</t>
        </is>
      </c>
      <c r="H71" s="7" t="n">
        <v>0</v>
      </c>
      <c r="I71" s="23" t="inlineStr"/>
      <c r="J71" s="23" t="inlineStr">
        <is>
          <t>Local a definir</t>
        </is>
      </c>
      <c r="K71" s="8" t="n"/>
      <c r="L71" s="8" t="n"/>
      <c r="M71" s="23" t="inlineStr">
        <is>
          <t>https://www.cbf.com.br/selecao-brasileira/noticias/noticias/selecao-base-feminina/confira-o-calendario-do-segundo-semestre-das-selecoes-femininas-de-base</t>
        </is>
      </c>
      <c r="N71" s="23" t="inlineStr">
        <is>
          <t>Torneio Brasil de Seleções previsto de 14 a 22/11/2026 como encerramento do calendário da Seleção Feminina Sub-15. A fonte não informa cidade, local físico ou tabela de jogos.</t>
        </is>
      </c>
      <c r="O71" s="23" t="inlineStr">
        <is>
          <t>Nov</t>
        </is>
      </c>
      <c r="P71" s="23" t="n">
        <v>2026</v>
      </c>
      <c r="T71" s="32" t="n"/>
      <c r="U71" s="32" t="n"/>
    </row>
    <row r="72">
      <c r="A72" s="23" t="inlineStr">
        <is>
          <t>EVT-0055</t>
        </is>
      </c>
      <c r="B72" s="23" t="inlineStr">
        <is>
          <t>Planejado</t>
        </is>
      </c>
      <c r="C72" s="32" t="n">
        <v>46341</v>
      </c>
      <c r="D72" s="23" t="inlineStr">
        <is>
          <t>SP</t>
        </is>
      </c>
      <c r="E72" s="23" t="inlineStr">
        <is>
          <t>São Paulo</t>
        </is>
      </c>
      <c r="F72" s="23" t="inlineStr">
        <is>
          <t>Premiação</t>
        </is>
      </c>
      <c r="G72" s="23" t="inlineStr">
        <is>
          <t>TV Brasil / EBC / Petrobras</t>
        </is>
      </c>
      <c r="H72" s="7" t="n">
        <v>0</v>
      </c>
      <c r="I72" s="23" t="inlineStr">
        <is>
          <t>Petrobras</t>
        </is>
      </c>
      <c r="J72" s="23" t="inlineStr">
        <is>
          <t>Local a definir</t>
        </is>
      </c>
      <c r="K72" s="8" t="n">
        <v>-23.5505</v>
      </c>
      <c r="L72" s="8" t="n">
        <v>-46.6333</v>
      </c>
      <c r="M72" s="23" t="inlineStr">
        <is>
          <t>https://www.ebc.com.br/premiotvbrasilpetrobrasparaelas/</t>
        </is>
      </c>
      <c r="N72" s="23" t="inlineStr">
        <is>
          <t>Primeira edição do Prêmio TV Brasil Petrobras Para Elas, marcada para 15/11/2026, em São Paulo, com transmissão ao vivo pela TV Brasil e YouTube. A premiação reconhece atletas, treinadoras, clubes, departamentos e iniciativas relevantes para o fortalecimento do futebol feminino brasileiro. A fonte oficial confirma cidade e data, mas não informa o local físico.</t>
        </is>
      </c>
      <c r="O72" s="23" t="inlineStr">
        <is>
          <t>Nov</t>
        </is>
      </c>
      <c r="P72" s="23" t="n">
        <v>2026</v>
      </c>
      <c r="T72" s="32" t="n"/>
      <c r="U72" s="32" t="n"/>
    </row>
    <row r="73">
      <c r="A73" s="23" t="inlineStr">
        <is>
          <t>EVT-0088</t>
        </is>
      </c>
      <c r="B73" s="23" t="inlineStr">
        <is>
          <t>Planejado</t>
        </is>
      </c>
      <c r="C73" s="32" t="n">
        <v>46350</v>
      </c>
      <c r="D73" s="23" t="inlineStr">
        <is>
          <t>BR</t>
        </is>
      </c>
      <c r="E73" s="23" t="inlineStr">
        <is>
          <t>Local a definir</t>
        </is>
      </c>
      <c r="F73" s="23" t="inlineStr">
        <is>
          <t>Seleções de Base</t>
        </is>
      </c>
      <c r="G73" s="23" t="inlineStr">
        <is>
          <t>CBF / Seleção Brasileira Feminina Sub-20</t>
        </is>
      </c>
      <c r="H73" s="7" t="n">
        <v>0</v>
      </c>
      <c r="I73" s="23" t="inlineStr"/>
      <c r="J73" s="23" t="inlineStr">
        <is>
          <t>Local a definir</t>
        </is>
      </c>
      <c r="K73" s="8" t="n"/>
      <c r="L73" s="8" t="n"/>
      <c r="M73" s="23" t="inlineStr">
        <is>
          <t>https://www.cbf.com.br/selecao-brasileira/noticias/noticias/selecao-base-feminina/confira-o-calendario-do-segundo-semestre-das-selecoes-femininas-de-base</t>
        </is>
      </c>
      <c r="N73" s="23" t="inlineStr">
        <is>
          <t>Janela de amistosos internacionais da Seleção Brasileira Feminina Sub-20 prevista entre 24/11 e 05/12/2026. Adversários, cidade e local físico ainda não foram divulgados.</t>
        </is>
      </c>
      <c r="O73" s="23" t="inlineStr">
        <is>
          <t>Nov</t>
        </is>
      </c>
      <c r="P73" s="23" t="n">
        <v>2026</v>
      </c>
      <c r="T73" s="32" t="n"/>
      <c r="U73" s="32" t="n"/>
    </row>
    <row r="74">
      <c r="A74" s="23" t="inlineStr">
        <is>
          <t>EVT-0011</t>
        </is>
      </c>
      <c r="B74" s="23" t="inlineStr">
        <is>
          <t>Planejado</t>
        </is>
      </c>
      <c r="C74" s="32" t="n">
        <v>46357</v>
      </c>
      <c r="D74" s="23" t="inlineStr">
        <is>
          <t>BR</t>
        </is>
      </c>
      <c r="E74" s="23" t="inlineStr">
        <is>
          <t>Brasil</t>
        </is>
      </c>
      <c r="F74" s="23" t="inlineStr">
        <is>
          <t>Centro de Treinamento</t>
        </is>
      </c>
      <c r="G74" s="23" t="inlineStr">
        <is>
          <t>CBF / Seleção Brasileira Feminina</t>
        </is>
      </c>
      <c r="H74" s="7" t="n">
        <v>0</v>
      </c>
      <c r="I74" s="23" t="inlineStr"/>
      <c r="J74" s="23" t="inlineStr">
        <is>
          <t>A definir</t>
        </is>
      </c>
      <c r="K74" s="8" t="n"/>
      <c r="L74" s="8" t="n"/>
      <c r="M74" s="23" t="inlineStr">
        <is>
          <t>Informado pelo usuário</t>
        </is>
      </c>
      <c r="N74" s="23" t="inlineStr">
        <is>
          <t>Definição do Team Base Camp prevista para dezembro de 2026. Data exata a definir.</t>
        </is>
      </c>
      <c r="O74" s="23" t="inlineStr">
        <is>
          <t>Dez</t>
        </is>
      </c>
      <c r="P74" s="23" t="n">
        <v>2026</v>
      </c>
      <c r="T74" s="32" t="n"/>
      <c r="U74" s="32" t="n"/>
    </row>
    <row r="75">
      <c r="A75" s="23" t="inlineStr">
        <is>
          <t>EVT-0089</t>
        </is>
      </c>
      <c r="B75" s="23" t="inlineStr">
        <is>
          <t>Planejado</t>
        </is>
      </c>
      <c r="C75" s="32" t="n">
        <v>46362</v>
      </c>
      <c r="D75" s="23" t="inlineStr">
        <is>
          <t>BR</t>
        </is>
      </c>
      <c r="E75" s="23" t="inlineStr">
        <is>
          <t>Local a definir</t>
        </is>
      </c>
      <c r="F75" s="23" t="inlineStr">
        <is>
          <t>Seleções de Base</t>
        </is>
      </c>
      <c r="G75" s="23" t="inlineStr">
        <is>
          <t>CBF / Seleção Brasileira Feminina Sub-17</t>
        </is>
      </c>
      <c r="H75" s="7" t="n">
        <v>0</v>
      </c>
      <c r="I75" s="23" t="inlineStr"/>
      <c r="J75" s="23" t="inlineStr">
        <is>
          <t>Local a definir</t>
        </is>
      </c>
      <c r="K75" s="8" t="n"/>
      <c r="L75" s="8" t="n"/>
      <c r="M75" s="23" t="inlineStr">
        <is>
          <t>https://www.cbf.com.br/selecao-brasileira/noticias/noticias/selecao-base-feminina/confira-o-calendario-do-segundo-semestre-das-selecoes-femininas-de-base</t>
        </is>
      </c>
      <c r="N75" s="23" t="inlineStr">
        <is>
          <t>Período de treinamento da Seleção Brasileira Feminina Sub-17 previsto de 06 a 12/12/2026. A CBF não informou cidade nem local físico.</t>
        </is>
      </c>
      <c r="O75" s="23" t="inlineStr">
        <is>
          <t>Dez</t>
        </is>
      </c>
      <c r="P75" s="23" t="n">
        <v>2026</v>
      </c>
      <c r="T75" s="32" t="n"/>
      <c r="U75" s="32" t="n"/>
    </row>
    <row r="76">
      <c r="A76" s="23" t="inlineStr">
        <is>
          <t>EVT-0010</t>
        </is>
      </c>
      <c r="B76" s="23" t="inlineStr">
        <is>
          <t>Planejado</t>
        </is>
      </c>
      <c r="C76" s="32" t="n">
        <v>46367</v>
      </c>
      <c r="D76" s="23" t="inlineStr">
        <is>
          <t>RJ</t>
        </is>
      </c>
      <c r="E76" s="23" t="inlineStr">
        <is>
          <t>Rio de Janeiro</t>
        </is>
      </c>
      <c r="F76" s="23" t="inlineStr">
        <is>
          <t>Sorteio Oficial</t>
        </is>
      </c>
      <c r="G76" s="23" t="inlineStr">
        <is>
          <t>FIFA</t>
        </is>
      </c>
      <c r="H76" s="7" t="n">
        <v>0</v>
      </c>
      <c r="I76" s="23" t="inlineStr"/>
      <c r="J76" s="23" t="inlineStr">
        <is>
          <t>Museu de Arte Moderna do Rio de Janeiro (MAM Rio)</t>
        </is>
      </c>
      <c r="K76" s="8" t="n">
        <v>-22.9068</v>
      </c>
      <c r="L76" s="8" t="n">
        <v>-43.1729</v>
      </c>
      <c r="M76" s="23" t="inlineStr">
        <is>
          <t>https://www.fifa.com/pt/tournaments/womens/womensworldcup/brazil-2027/articles/sorteio-grupos-copa-mundo-feminina-2027-data-local</t>
        </is>
      </c>
      <c r="N76" s="23" t="inlineStr">
        <is>
          <t>Sorteio final dos grupos confirmado para 11/12/2026 no MAM Rio. O evento definirá os oito grupos e o caminho das 32 seleções na Copa do Mundo Feminina FIFA 2027.</t>
        </is>
      </c>
      <c r="O76" s="23" t="inlineStr">
        <is>
          <t>Dez</t>
        </is>
      </c>
      <c r="P76" s="23" t="n">
        <v>2026</v>
      </c>
      <c r="T76" s="32" t="n"/>
      <c r="U76" s="32" t="n"/>
    </row>
    <row r="77">
      <c r="A77" s="23" t="inlineStr">
        <is>
          <t>EVT-0008</t>
        </is>
      </c>
      <c r="B77" s="23" t="inlineStr">
        <is>
          <t>Planejado</t>
        </is>
      </c>
      <c r="C77" s="32" t="n">
        <v>46444</v>
      </c>
      <c r="D77" s="23" t="inlineStr">
        <is>
          <t>BR</t>
        </is>
      </c>
      <c r="E77" s="23" t="inlineStr">
        <is>
          <t>Brasil</t>
        </is>
      </c>
      <c r="F77" s="23" t="inlineStr">
        <is>
          <t>Amistosos da Seleção</t>
        </is>
      </c>
      <c r="G77" s="23" t="inlineStr">
        <is>
          <t>CBF / Seleção Brasileira Feminina</t>
        </is>
      </c>
      <c r="H77" s="7" t="n">
        <v>0</v>
      </c>
      <c r="I77" s="23" t="inlineStr"/>
      <c r="J77" s="23" t="inlineStr">
        <is>
          <t>A definir</t>
        </is>
      </c>
      <c r="K77" s="8" t="n"/>
      <c r="L77" s="8" t="n"/>
      <c r="M77" s="23" t="inlineStr">
        <is>
          <t>Informado pelo usuário</t>
        </is>
      </c>
      <c r="N77" s="23" t="inlineStr">
        <is>
          <t>Primeira janela de amistosos de 2027, de 26/02 a 06/03, voltada aos testes táticos finais antes da convocação.</t>
        </is>
      </c>
      <c r="O77" s="23" t="inlineStr">
        <is>
          <t>Fev</t>
        </is>
      </c>
      <c r="P77" s="23" t="n">
        <v>2027</v>
      </c>
      <c r="T77" s="32" t="n"/>
      <c r="U77" s="32" t="n"/>
    </row>
    <row r="78">
      <c r="A78" s="23" t="inlineStr">
        <is>
          <t>EVT-0090</t>
        </is>
      </c>
      <c r="B78" s="23" t="inlineStr">
        <is>
          <t>Planejado</t>
        </is>
      </c>
      <c r="C78" s="32" t="n">
        <v>46478</v>
      </c>
      <c r="D78" s="23" t="inlineStr">
        <is>
          <t>BR</t>
        </is>
      </c>
      <c r="E78" s="23" t="inlineStr">
        <is>
          <t>Local a definir</t>
        </is>
      </c>
      <c r="F78" s="23" t="inlineStr">
        <is>
          <t>Ativação itinerante</t>
        </is>
      </c>
      <c r="G78" s="23" t="inlineStr">
        <is>
          <t>FIFA / cidades-sede</t>
        </is>
      </c>
      <c r="H78" s="7" t="n">
        <v>0</v>
      </c>
      <c r="I78" s="23" t="inlineStr"/>
      <c r="J78" s="23" t="inlineStr">
        <is>
          <t>Local a definir</t>
        </is>
      </c>
      <c r="K78" s="8" t="n"/>
      <c r="L78" s="8" t="n"/>
      <c r="M78" s="23" t="inlineStr">
        <is>
          <t>https://www.correiodopovo.com.br/esportes/taca-da-copa-feminina-fara-tour-pelo-brasil-entre-abril-e-maio-de-2027-1.1742125</t>
        </is>
      </c>
      <c r="N78" s="23" t="inlineStr">
        <is>
          <t>A FIFA anunciou durante o II Workshop de Cidades-Sede e Estádios que o Tour da Taça deve percorrer todas as cidades-sede entre abril e maio de 2027. O dia 01/04 foi usado apenas como data técnica para ordenação; as datas exatas, a ordem das cidades e os locais de exposição ainda serão definidos.</t>
        </is>
      </c>
      <c r="O78" s="23" t="inlineStr">
        <is>
          <t>Abr</t>
        </is>
      </c>
      <c r="P78" s="23" t="n">
        <v>2027</v>
      </c>
      <c r="T78" s="32" t="n"/>
      <c r="U78" s="32" t="n"/>
    </row>
    <row r="79">
      <c r="A79" s="23" t="inlineStr">
        <is>
          <t>EVT-0009</t>
        </is>
      </c>
      <c r="B79" s="23" t="inlineStr">
        <is>
          <t>Planejado</t>
        </is>
      </c>
      <c r="C79" s="32" t="n">
        <v>46482</v>
      </c>
      <c r="D79" s="23" t="inlineStr">
        <is>
          <t>BR</t>
        </is>
      </c>
      <c r="E79" s="23" t="inlineStr">
        <is>
          <t>Brasil</t>
        </is>
      </c>
      <c r="F79" s="23" t="inlineStr">
        <is>
          <t>Data FIFA / Convocação</t>
        </is>
      </c>
      <c r="G79" s="23" t="inlineStr">
        <is>
          <t>CBF / Seleção Brasileira Feminina</t>
        </is>
      </c>
      <c r="H79" s="7" t="n">
        <v>0</v>
      </c>
      <c r="I79" s="23" t="inlineStr"/>
      <c r="J79" s="23" t="inlineStr">
        <is>
          <t>A definir</t>
        </is>
      </c>
      <c r="K79" s="8" t="n"/>
      <c r="L79" s="8" t="n"/>
      <c r="M79" s="23" t="inlineStr">
        <is>
          <t>Informado pelo usuário</t>
        </is>
      </c>
      <c r="N79" s="23" t="inlineStr">
        <is>
          <t>Última Data FIFA oficial antes do Mundial, de 05 a 13/04/2027. Período previsto para Arthur Elias fechar a lista oficial de convocadas.</t>
        </is>
      </c>
      <c r="O79" s="23" t="inlineStr">
        <is>
          <t>Abr</t>
        </is>
      </c>
      <c r="P79" s="23" t="n">
        <v>2027</v>
      </c>
      <c r="T79" s="32" t="n"/>
      <c r="U79" s="32" t="n"/>
    </row>
    <row r="80">
      <c r="A80" s="23" t="inlineStr">
        <is>
          <t>EVT-0012</t>
        </is>
      </c>
      <c r="B80" s="23" t="inlineStr">
        <is>
          <t>Planejado</t>
        </is>
      </c>
      <c r="C80" s="32" t="n">
        <v>46508</v>
      </c>
      <c r="D80" s="23" t="inlineStr">
        <is>
          <t>BR</t>
        </is>
      </c>
      <c r="E80" s="23" t="inlineStr">
        <is>
          <t>Brasil</t>
        </is>
      </c>
      <c r="F80" s="23" t="inlineStr">
        <is>
          <t>Preparação da Seleção</t>
        </is>
      </c>
      <c r="G80" s="23" t="inlineStr">
        <is>
          <t>CBF / Seleção Brasileira Feminina</t>
        </is>
      </c>
      <c r="H80" s="7" t="n">
        <v>0</v>
      </c>
      <c r="I80" s="23" t="inlineStr"/>
      <c r="J80" s="23" t="inlineStr">
        <is>
          <t>Centro de treinamento a definir</t>
        </is>
      </c>
      <c r="K80" s="8" t="n">
        <v>-22.9122</v>
      </c>
      <c r="L80" s="8" t="n">
        <v>-43.2302</v>
      </c>
      <c r="M80" s="23" t="inlineStr">
        <is>
          <t>Informado pelo usuário</t>
        </is>
      </c>
      <c r="N80" s="23" t="inlineStr">
        <is>
          <t>Período de preparação fechada entre maio e junho de 2027, com concentração final e treinos intensivos sem interrupção de clubes.</t>
        </is>
      </c>
      <c r="O80" s="23" t="inlineStr">
        <is>
          <t>Mai</t>
        </is>
      </c>
      <c r="P80" s="23" t="n">
        <v>2027</v>
      </c>
      <c r="T80" s="32" t="n"/>
      <c r="U80" s="32" t="n"/>
    </row>
    <row r="81">
      <c r="A81" s="23" t="inlineStr">
        <is>
          <t>EVT-0077</t>
        </is>
      </c>
      <c r="B81" s="23" t="inlineStr">
        <is>
          <t>Planejado</t>
        </is>
      </c>
      <c r="C81" s="32" t="n">
        <v>46548</v>
      </c>
      <c r="D81" s="23" t="inlineStr">
        <is>
          <t>RJ</t>
        </is>
      </c>
      <c r="E81" s="23" t="inlineStr">
        <is>
          <t>Rio de Janeiro</t>
        </is>
      </c>
      <c r="F81" s="23" t="inlineStr">
        <is>
          <t>Marco operacional</t>
        </is>
      </c>
      <c r="G81" s="23" t="inlineStr">
        <is>
          <t>FIFA / administração do Maracanã</t>
        </is>
      </c>
      <c r="H81" s="7" t="n">
        <v>0</v>
      </c>
      <c r="I81" s="23" t="inlineStr"/>
      <c r="J81" s="23" t="inlineStr">
        <is>
          <t>Maracanã</t>
        </is>
      </c>
      <c r="K81" s="8" t="n">
        <v>-22.9122</v>
      </c>
      <c r="L81" s="8" t="n">
        <v>-43.2302</v>
      </c>
      <c r="M81" s="23" t="inlineStr">
        <is>
          <t>https://www.uol.com.br/esporte/futebol/ultimas-noticias/2026/08/24/cbf-garante-solucao-para-clubes-nao-perderem-mandos-na-copa-feminina.ghtm</t>
        </is>
      </c>
      <c r="N81" s="23" t="inlineStr">
        <is>
          <t>O Maracanã será o primeiro estádio entregue para uso exclusivo da FIFA, em 10/06/2027, 14 dias antes da abertura da Copa. As demais arenas terão início escalonado conforme a data de sua primeira partida; a fonte não publica aqui todas as datas individuais de entrega.</t>
        </is>
      </c>
      <c r="O81" s="23" t="inlineStr">
        <is>
          <t>Jun</t>
        </is>
      </c>
      <c r="P81" s="23" t="n">
        <v>2027</v>
      </c>
      <c r="T81" s="32" t="n"/>
      <c r="U81" s="32" t="n"/>
    </row>
    <row r="82">
      <c r="A82" s="23" t="inlineStr">
        <is>
          <t>EVT-0017</t>
        </is>
      </c>
      <c r="B82" s="23" t="inlineStr">
        <is>
          <t>Planejado</t>
        </is>
      </c>
      <c r="C82" s="32" t="n">
        <v>46562</v>
      </c>
      <c r="D82" s="23" t="inlineStr">
        <is>
          <t>RJ</t>
        </is>
      </c>
      <c r="E82" s="23" t="inlineStr">
        <is>
          <t>Rio de Janeiro</t>
        </is>
      </c>
      <c r="F82" s="23" t="inlineStr">
        <is>
          <t>Jogo da Copa</t>
        </is>
      </c>
      <c r="G82" s="23" t="inlineStr">
        <is>
          <t>FIFA</t>
        </is>
      </c>
      <c r="H82" s="7" t="n">
        <v>0</v>
      </c>
      <c r="I82" s="23" t="inlineStr"/>
      <c r="J82" s="23" t="inlineStr">
        <is>
          <t>Maracanã</t>
        </is>
      </c>
      <c r="K82" s="8" t="n">
        <v>-22.9122</v>
      </c>
      <c r="L82" s="8" t="n">
        <v>-43.2302</v>
      </c>
      <c r="M82" s="23" t="inlineStr">
        <is>
          <t>https://www.fifa.com/pt/articles/tabela-jogos-copa-feminina-divulgacao-maracana-final-abertura</t>
        </is>
      </c>
      <c r="N82" s="23" t="inlineStr">
        <is>
          <t>Partida de abertura da Copa e estreia do Brasil no Grupo A; adversário será definido no sorteio final.</t>
        </is>
      </c>
      <c r="O82" s="23" t="inlineStr">
        <is>
          <t>Jun</t>
        </is>
      </c>
      <c r="P82" s="23" t="n">
        <v>2027</v>
      </c>
      <c r="T82" s="32" t="n"/>
      <c r="U82" s="32" t="n"/>
    </row>
    <row r="83">
      <c r="A83" s="23" t="inlineStr">
        <is>
          <t>EVT-0018</t>
        </is>
      </c>
      <c r="B83" s="23" t="inlineStr">
        <is>
          <t>Planejado</t>
        </is>
      </c>
      <c r="C83" s="32" t="n">
        <v>46567</v>
      </c>
      <c r="D83" s="23" t="inlineStr">
        <is>
          <t>SP</t>
        </is>
      </c>
      <c r="E83" s="23" t="inlineStr">
        <is>
          <t>São Paulo</t>
        </is>
      </c>
      <c r="F83" s="23" t="inlineStr">
        <is>
          <t>Jogo da Copa</t>
        </is>
      </c>
      <c r="G83" s="23" t="inlineStr">
        <is>
          <t>FIFA</t>
        </is>
      </c>
      <c r="H83" s="7" t="n">
        <v>0</v>
      </c>
      <c r="I83" s="23" t="inlineStr"/>
      <c r="J83" s="23" t="inlineStr">
        <is>
          <t>Arena Itaquera</t>
        </is>
      </c>
      <c r="K83" s="8" t="n">
        <v>-23.5453</v>
      </c>
      <c r="L83" s="8" t="n">
        <v>-46.4742</v>
      </c>
      <c r="M83" s="23" t="inlineStr">
        <is>
          <t>https://www.fifa.com/pt/articles/tabela-jogos-copa-feminina-divulgacao-maracana-final-abertura</t>
        </is>
      </c>
      <c r="N83" s="23" t="inlineStr">
        <is>
          <t>Segundo jogo do Brasil na fase de grupos; adversário será definido no sorteio final.</t>
        </is>
      </c>
      <c r="O83" s="23" t="inlineStr">
        <is>
          <t>Jun</t>
        </is>
      </c>
      <c r="P83" s="23" t="n">
        <v>2027</v>
      </c>
      <c r="T83" s="32" t="n"/>
      <c r="U83" s="32" t="n"/>
    </row>
    <row r="84">
      <c r="A84" s="23" t="inlineStr">
        <is>
          <t>EVT-0019</t>
        </is>
      </c>
      <c r="B84" s="23" t="inlineStr">
        <is>
          <t>Planejado</t>
        </is>
      </c>
      <c r="C84" s="32" t="n">
        <v>46572</v>
      </c>
      <c r="D84" s="23" t="inlineStr">
        <is>
          <t>DF</t>
        </is>
      </c>
      <c r="E84" s="23" t="inlineStr">
        <is>
          <t>Brasília</t>
        </is>
      </c>
      <c r="F84" s="23" t="inlineStr">
        <is>
          <t>Jogo da Copa</t>
        </is>
      </c>
      <c r="G84" s="23" t="inlineStr">
        <is>
          <t>FIFA</t>
        </is>
      </c>
      <c r="H84" s="7" t="n">
        <v>0</v>
      </c>
      <c r="I84" s="23" t="inlineStr"/>
      <c r="J84" s="23" t="inlineStr">
        <is>
          <t>Estádio Nacional Mané Garrincha</t>
        </is>
      </c>
      <c r="K84" s="8" t="n">
        <v>-15.7835</v>
      </c>
      <c r="L84" s="8" t="n">
        <v>-47.8992</v>
      </c>
      <c r="M84" s="23" t="inlineStr">
        <is>
          <t>https://www.fifa.com/pt/articles/tabela-jogos-copa-feminina-divulgacao-maracana-final-abertura</t>
        </is>
      </c>
      <c r="N84" s="23" t="inlineStr">
        <is>
          <t>Terceiro jogo do Brasil na fase de grupos; adversário será definido no sorteio final.</t>
        </is>
      </c>
      <c r="O84" s="23" t="inlineStr">
        <is>
          <t>Jul</t>
        </is>
      </c>
      <c r="P84" s="23" t="n">
        <v>2027</v>
      </c>
      <c r="T84" s="32" t="n"/>
      <c r="U84" s="32" t="n"/>
    </row>
    <row r="85">
      <c r="A85" s="23" t="inlineStr">
        <is>
          <t>EVT-0020</t>
        </is>
      </c>
      <c r="B85" s="23" t="inlineStr">
        <is>
          <t>Planejado</t>
        </is>
      </c>
      <c r="C85" s="32" t="n">
        <v>46593</v>
      </c>
      <c r="D85" s="23" t="inlineStr">
        <is>
          <t>RJ</t>
        </is>
      </c>
      <c r="E85" s="23" t="inlineStr">
        <is>
          <t>Rio de Janeiro</t>
        </is>
      </c>
      <c r="F85" s="23" t="inlineStr">
        <is>
          <t>Final da Copa</t>
        </is>
      </c>
      <c r="G85" s="23" t="inlineStr">
        <is>
          <t>FIFA</t>
        </is>
      </c>
      <c r="H85" s="7" t="n">
        <v>0</v>
      </c>
      <c r="I85" s="23" t="inlineStr"/>
      <c r="J85" s="23" t="inlineStr">
        <is>
          <t>Maracanã</t>
        </is>
      </c>
      <c r="K85" s="8" t="n">
        <v>-22.9122</v>
      </c>
      <c r="L85" s="8" t="n">
        <v>-43.2302</v>
      </c>
      <c r="M85" s="23" t="inlineStr">
        <is>
          <t>https://www.fifa.com/pt/articles/tabela-jogos-copa-feminina-divulgacao-maracana-final-abertura</t>
        </is>
      </c>
      <c r="N85" s="23" t="inlineStr">
        <is>
          <t>Final da Copa do Mundo Feminina da FIFA Brasil 2027.</t>
        </is>
      </c>
      <c r="O85" s="23" t="inlineStr">
        <is>
          <t>Jul</t>
        </is>
      </c>
      <c r="P85" s="23" t="n">
        <v>2027</v>
      </c>
      <c r="T85" s="32" t="n"/>
      <c r="U85" s="32" t="n"/>
    </row>
    <row r="86">
      <c r="A86" s="23" t="inlineStr">
        <is>
          <t>EVT-0094</t>
        </is>
      </c>
      <c r="B86" s="23" t="inlineStr">
        <is>
          <t>Planejado</t>
        </is>
      </c>
      <c r="C86" s="32" t="n">
        <v>46362</v>
      </c>
      <c r="D86" s="23" t="inlineStr">
        <is>
          <t>SP</t>
        </is>
      </c>
      <c r="E86" s="23" t="inlineStr">
        <is>
          <t>São Paulo</t>
        </is>
      </c>
      <c r="F86" s="23" t="inlineStr">
        <is>
          <t>Cultura / futebol feminino</t>
        </is>
      </c>
      <c r="G86" s="23" t="inlineStr">
        <is>
          <t>CCXP / Conspiração / Globo Filmes / TV Globo / Fox In The Snow</t>
        </is>
      </c>
      <c r="H86" s="7" t="n">
        <v>0</v>
      </c>
      <c r="I86" s="23" t="inlineStr"/>
      <c r="J86" s="23" t="inlineStr">
        <is>
          <t>São Paulo Expo</t>
        </is>
      </c>
      <c r="K86" s="8" t="n"/>
      <c r="L86" s="8" t="n"/>
      <c r="M86" s="23" t="inlineStr">
        <is>
          <t>https://oglobo.globo.com/cultura/noticia/2026/09/02/marta-e-alice-carvalho-sao-confirmadas-em-painel-da-ccxp.ghtml</t>
        </is>
      </c>
      <c r="N86" s="23" t="inlineStr">
        <is>
          <t>Painel confirmado para 06/12/2026, último dia da CCXP26, com a presença de Marta e da atriz Alice Carvalho, que interpreta a jogadora em sua cinebiografia. O longa tem estreia prevista para abril de 2027, ano da Copa do Mundo Feminina no Brasil, ampliando a visibilidade cultural do futebol feminino no período de preparação para o torneio.</t>
        </is>
      </c>
      <c r="O86" s="23" t="inlineStr">
        <is>
          <t>Dez</t>
        </is>
      </c>
      <c r="P86" s="23" t="n">
        <v>2026</v>
      </c>
      <c r="T86" s="32" t="n"/>
      <c r="U86" s="32" t="n"/>
    </row>
    <row r="87">
      <c r="A87" s="23" t="inlineStr">
        <is>
          <t>EVT-20260907-DESFILE-COPA2027</t>
        </is>
      </c>
      <c r="B87" s="23" t="inlineStr">
        <is>
          <t>Planejado</t>
        </is>
      </c>
      <c r="C87" s="32" t="n">
        <v>46272</v>
      </c>
      <c r="D87" s="23" t="inlineStr">
        <is>
          <t>DF</t>
        </is>
      </c>
      <c r="E87" s="23" t="inlineStr">
        <is>
          <t>Brasília</t>
        </is>
      </c>
      <c r="F87" s="23" t="inlineStr">
        <is>
          <t>Evento público / ativação institucional</t>
        </is>
      </c>
      <c r="G87" s="23" t="inlineStr">
        <is>
          <t>Governo Federal / Presidência da República</t>
        </is>
      </c>
      <c r="H87" s="7" t="n">
        <v>0</v>
      </c>
      <c r="I87" s="23" t="inlineStr"/>
      <c r="J87" s="23" t="inlineStr">
        <is>
          <t>Esplanada dos Ministérios</t>
        </is>
      </c>
      <c r="K87" s="8" t="n">
        <v>-15.7975</v>
      </c>
      <c r="L87" s="8" t="n">
        <v>-47.8919</v>
      </c>
      <c r="M87" s="23" t="inlineStr">
        <is>
          <t>https://www1.folha.uol.com.br/blogs/brasilia-hoje/2026/09/lula-vai-usar-mote-a-forca-que-une-o-brasil-para-desfile-de-7-de-setembro.shtml</t>
        </is>
      </c>
      <c r="N87" s="23" t="inlineStr">
        <is>
          <t>O Desfile Cívico-Militar de 7 de Setembro de 2026, com início previsto às 9h na Esplanada dos Ministérios e acesso público gratuito às arquibancadas, terá a Copa do Mundo Feminina de 2027 como um dos três eixos temáticos oficiais da programação, ao lado de soberania nacional e enfrentamento à violência contra as mulheres. A programação divulgada prevê representação temática ligada ao Mundial e participação de atletas, conectando um dos maiores eventos públicos nacionais à promoção da Copa Feminina 2027.</t>
        </is>
      </c>
      <c r="O87" s="23" t="inlineStr">
        <is>
          <t>Set</t>
        </is>
      </c>
      <c r="P87" s="23" t="n">
        <v>2026</v>
      </c>
      <c r="T87" s="32" t="n"/>
      <c r="U87" s="32" t="n"/>
    </row>
    <row r="88">
      <c r="A88" s="23" t="inlineStr">
        <is>
          <t>EVT-0107</t>
        </is>
      </c>
      <c r="B88" s="23" t="inlineStr">
        <is>
          <t>Planejado</t>
        </is>
      </c>
      <c r="C88" s="33" t="n">
        <v>46302</v>
      </c>
      <c r="D88" s="23" t="inlineStr">
        <is>
          <t>SP</t>
        </is>
      </c>
      <c r="E88" s="23" t="inlineStr">
        <is>
          <t>São Paulo</t>
        </is>
      </c>
      <c r="F88" s="23" t="inlineStr">
        <is>
          <t>Formação profissional</t>
        </is>
      </c>
      <c r="G88" s="23" t="inlineStr">
        <is>
          <t>FPF Academia / Federação Paulista de Futebol</t>
        </is>
      </c>
      <c r="H88" s="7" t="n">
        <v>0</v>
      </c>
      <c r="I88" s="23" t="inlineStr">
        <is>
          <t>Petrobras</t>
        </is>
      </c>
      <c r="J88" s="23" t="inlineStr">
        <is>
          <t>Edifício Pelé e atividades híbridas</t>
        </is>
      </c>
      <c r="K88" s="8" t="n">
        <v>-23.5505</v>
      </c>
      <c r="L88" s="8" t="n">
        <v>-46.6333</v>
      </c>
      <c r="M88" s="23" t="inlineStr">
        <is>
          <t>https://futebolpaulista.com.br/Noticias/Detalhe.aspx?Noticia=33167</t>
        </is>
      </c>
      <c r="N88" s="23" t="inlineStr">
        <is>
          <t>Programa gratuito e exclusivo para mulheres voltado à formação de treinadoras e ao aumento da presença feminina em comissões técnicas. A 4ª edição ocorre de 07/10/2026 a 27/01/2027, com 78 horas de formação, aulas on-line, encontros presenciais, atividades práticas em campo e mentorias. As inscrições foram abertas em 03/09/2026. É editorialmente relevante para o Radar por fortalecer a qualificação profissional e o legado estrutural do futebol feminino no período de preparação para a Copa Feminina 2027.</t>
        </is>
      </c>
      <c r="O88" s="23" t="inlineStr">
        <is>
          <t>Out</t>
        </is>
      </c>
      <c r="P88" s="23" t="n">
        <v>2026</v>
      </c>
      <c r="T88" s="32" t="n"/>
      <c r="U88" s="32" t="n"/>
    </row>
    <row r="89">
      <c r="A89" s="23" t="inlineStr">
        <is>
          <t>EVT-ENFF-20260924</t>
        </is>
      </c>
      <c r="B89" s="23" t="inlineStr">
        <is>
          <t>Planejado</t>
        </is>
      </c>
      <c r="C89" s="33" t="n">
        <v>46289</v>
      </c>
      <c r="D89" s="23" t="inlineStr">
        <is>
          <t>RS</t>
        </is>
      </c>
      <c r="E89" s="23" t="inlineStr">
        <is>
          <t>Porto Alegre</t>
        </is>
      </c>
      <c r="F89" s="23" t="inlineStr">
        <is>
          <t>Congresso / encontro setorial</t>
        </is>
      </c>
      <c r="G89" s="23" t="inlineStr">
        <is>
          <t>ENFF</t>
        </is>
      </c>
      <c r="H89" s="7" t="n">
        <v>0</v>
      </c>
      <c r="I89" s="23" t="inlineStr"/>
      <c r="J89" s="23" t="inlineStr">
        <is>
          <t>Arena do Grêmio</t>
        </is>
      </c>
      <c r="K89" s="8" t="n">
        <v>-30.0277</v>
      </c>
      <c r="L89" s="8" t="n">
        <v>-51.2287</v>
      </c>
      <c r="M89" s="23" t="inlineStr">
        <is>
          <t>https://www.sympla.com.br/evento/enff/3495995</t>
        </is>
      </c>
      <c r="N89" s="23" t="inlineStr">
        <is>
          <t>Encontro Nacional do Futebol Feminino previsto para 24 e 25/09/2026, na Arena do Grêmio, em Porto Alegre. A programação propõe conectar gestão, mercado, políticas públicas, marcas e oportunidades no futebol feminino, com foco especial no legado do Mundial Feminino de 2027 no Brasil. Item incluído por relevância direta para o ecossistema, ativações e oportunidades de engajamento ligadas à Copa 2027.</t>
        </is>
      </c>
      <c r="O89" s="23" t="inlineStr">
        <is>
          <t>Set</t>
        </is>
      </c>
      <c r="P89" s="23" t="n">
        <v>2026</v>
      </c>
      <c r="Q89" t="inlineStr">
        <is>
          <t>08:00</t>
        </is>
      </c>
      <c r="R89" t="inlineStr">
        <is>
          <t>18:00</t>
        </is>
      </c>
      <c r="S89" t="inlineStr">
        <is>
          <t>America/Sao_Paulo</t>
        </is>
      </c>
      <c r="T89" s="32" t="n">
        <v>46290</v>
      </c>
      <c r="U89" s="32" t="n"/>
    </row>
    <row r="90">
      <c r="A90" s="23" t="inlineStr">
        <is>
          <t>EVT-0105</t>
        </is>
      </c>
      <c r="B90" s="23" t="inlineStr">
        <is>
          <t>Realizado</t>
        </is>
      </c>
      <c r="C90" s="33" t="n">
        <v>46267</v>
      </c>
      <c r="D90" s="23" t="inlineStr">
        <is>
          <t>DF</t>
        </is>
      </c>
      <c r="E90" s="23" t="inlineStr">
        <is>
          <t>Brasília</t>
        </is>
      </c>
      <c r="F90" s="23" t="inlineStr">
        <is>
          <t>Encontro de impacto social</t>
        </is>
      </c>
      <c r="G90" s="23" t="inlineStr">
        <is>
          <t>Embaixada do Reino Unido / Secopa27 / Common Goal</t>
        </is>
      </c>
      <c r="H90" s="7" t="n">
        <v>0</v>
      </c>
      <c r="I90" s="23" t="inlineStr"/>
      <c r="J90" s="23" t="inlineStr">
        <is>
          <t>Embaixada do Reino Unido</t>
        </is>
      </c>
      <c r="K90" s="8" t="n">
        <v>-15.7939</v>
      </c>
      <c r="L90" s="8" t="n">
        <v>-47.8828</v>
      </c>
      <c r="M90" s="23" t="inlineStr">
        <is>
          <t>https://blogs.correiobraziliense.com.br/dribledecorpo/a-294-dias-da-copa-inglaterra-debate-no-df-violencia-contra-a-mulher/</t>
        </is>
      </c>
      <c r="N90" s="23" t="inlineStr">
        <is>
          <t>Encontro realizado em 02/09/2026 na Embaixada do Reino Unido, em Brasília, para debater soluções de enfrentamento à violência contra mulheres e meninas no contexto da preparação para a Copa do Mundo Feminina 2027. A programação teve abertura da secretária extraordinária Juliana Agatte e participação da Common Goal, que trabalha para usar o Mundial como plataforma de impacto social e equidade de gênero.</t>
        </is>
      </c>
      <c r="O90" s="23" t="inlineStr">
        <is>
          <t>Set</t>
        </is>
      </c>
      <c r="P90" s="23" t="n">
        <v>2026</v>
      </c>
      <c r="T90" s="32" t="n"/>
      <c r="U90" s="32" t="n"/>
    </row>
    <row r="91">
      <c r="A91" s="23" t="inlineStr">
        <is>
          <t>EVT-EDITORIAL-20260903-FUTEBOL-CIDADANIA</t>
        </is>
      </c>
      <c r="B91" s="23" t="inlineStr">
        <is>
          <t>Realizado</t>
        </is>
      </c>
      <c r="C91" s="33" t="n">
        <v>46268</v>
      </c>
      <c r="D91" s="23" t="inlineStr">
        <is>
          <t>BA</t>
        </is>
      </c>
      <c r="E91" s="23" t="inlineStr">
        <is>
          <t>Salvador</t>
        </is>
      </c>
      <c r="F91" s="23" t="inlineStr">
        <is>
          <t>Painel e debate</t>
        </is>
      </c>
      <c r="G91" s="23" t="inlineStr">
        <is>
          <t>SETRE Bahia / IPIE / UFBA</t>
        </is>
      </c>
      <c r="H91" s="7" t="n">
        <v>0</v>
      </c>
      <c r="I91" s="23" t="inlineStr"/>
      <c r="J91" s="23" t="inlineStr">
        <is>
          <t>Colégio Estadual Professor Rômulo Almeida</t>
        </is>
      </c>
      <c r="K91" s="8" t="n">
        <v>-12.9777</v>
      </c>
      <c r="L91" s="8" t="n">
        <v>-38.5016</v>
      </c>
      <c r="M91" s="23" t="inlineStr">
        <is>
          <t>https://bahiaeconomica.com.br/wp/2026/09/03/painel-debate-futebol-feminino-e-lanca-inscricoes-para-voluntarios-da-copa-2027/</t>
        </is>
      </c>
      <c r="N91" s="23" t="inlineStr">
        <is>
          <t>Painel realizado em 03/09/2026 com pesquisadores, representantes do esporte e comunidade escolar. O encontro debateu safeguarding e prevenção de abusos e assédios, apresentou diretrizes do voluntariado da Copa 2027 e discutiu legado do futebol feminino na Bahia, incluindo propostas de Centro de Referência do Futebol Feminino e formação de árbitras, treinadoras e gestoras.</t>
        </is>
      </c>
      <c r="O91" s="23" t="inlineStr">
        <is>
          <t>Set</t>
        </is>
      </c>
      <c r="P91" s="23" t="n">
        <v>2026</v>
      </c>
      <c r="T91" s="32" t="n"/>
      <c r="U91" s="32" t="n"/>
    </row>
    <row r="92">
      <c r="A92" s="23" t="inlineStr">
        <is>
          <t>evt-sesc-futebol-mulheres-20260915</t>
        </is>
      </c>
      <c r="B92" s="23" t="inlineStr">
        <is>
          <t>Planejado</t>
        </is>
      </c>
      <c r="C92" s="33" t="n">
        <v>46280</v>
      </c>
      <c r="D92" s="23" t="inlineStr">
        <is>
          <t>SP</t>
        </is>
      </c>
      <c r="E92" s="23" t="inlineStr">
        <is>
          <t>São Paulo</t>
        </is>
      </c>
      <c r="F92" s="23" t="inlineStr">
        <is>
          <t>Curso / formação</t>
        </is>
      </c>
      <c r="G92" s="23" t="inlineStr">
        <is>
          <t>Sesc São Paulo — Centro de Pesquisa e Formação</t>
        </is>
      </c>
      <c r="H92" s="7" t="n">
        <v>0</v>
      </c>
      <c r="I92" s="23" t="inlineStr"/>
      <c r="J92" s="23" t="inlineStr">
        <is>
          <t>Centro de Pesquisa e Formação do Sesc São Paulo</t>
        </is>
      </c>
      <c r="K92" s="8" t="n">
        <v>-23.5505</v>
      </c>
      <c r="L92" s="8" t="n">
        <v>-46.6333</v>
      </c>
      <c r="M92" s="23" t="inlineStr">
        <is>
          <t>https://www.sescsp.org.br/programacao/futebol-para-mulheres-entre-a-pratica-e-a-copa-modulo-2/</t>
        </is>
      </c>
      <c r="N92" s="23" t="inlineStr">
        <is>
          <t>Módulo 2 do ciclo do Sesc sobre presença e protagonismo das mulheres no futebol brasileiro, com encontros em 15 e 17/09/2026, das 14h às 16h. A programação aborda gestão do futebol para mulheres e aspectos técnicos e fisiológicos, explicitamente no contexto que antecede e acompanha a Copa no Brasil.</t>
        </is>
      </c>
      <c r="O92" s="23" t="inlineStr">
        <is>
          <t>Set</t>
        </is>
      </c>
      <c r="P92" s="23" t="n">
        <v>2026</v>
      </c>
      <c r="T92" s="32" t="n"/>
      <c r="U92" s="32" t="n"/>
    </row>
    <row r="93">
      <c r="A93" s="23" t="inlineStr">
        <is>
          <t>SUG-rec9KbCAC206gEtAF</t>
        </is>
      </c>
      <c r="B93" s="23" t="inlineStr">
        <is>
          <t>Planejado</t>
        </is>
      </c>
      <c r="C93" s="33" t="n">
        <v>46297</v>
      </c>
      <c r="D93" s="23" t="inlineStr"/>
      <c r="E93" s="23" t="inlineStr">
        <is>
          <t>Sao paulo</t>
        </is>
      </c>
      <c r="F93" s="23" t="inlineStr">
        <is>
          <t>Evento</t>
        </is>
      </c>
      <c r="G93" s="23" t="inlineStr"/>
      <c r="H93" s="7" t="n">
        <v>0</v>
      </c>
      <c r="I93" s="23" t="inlineStr"/>
      <c r="J93" s="23" t="inlineStr"/>
      <c r="K93" s="8" t="n"/>
      <c r="L93" s="8" t="n"/>
      <c r="M93" s="23" t="inlineStr">
        <is>
          <t>https://www.instagram.com/p/DdOij3vIDWw/?stkn=bDAyNnJucWdoY3N3</t>
        </is>
      </c>
      <c r="N93" s="23" t="inlineStr"/>
      <c r="O93" s="23" t="inlineStr"/>
      <c r="P93" s="23" t="n">
        <v>2026</v>
      </c>
      <c r="Q93" t="inlineStr">
        <is>
          <t>17:00</t>
        </is>
      </c>
      <c r="S93" t="inlineStr">
        <is>
          <t>America/Sao_Paulo</t>
        </is>
      </c>
      <c r="T93" s="32" t="n"/>
      <c r="U93" s="32" t="n"/>
    </row>
    <row r="94">
      <c r="A94" s="23" t="inlineStr">
        <is>
          <t>CBF-2026-10-10-ARGENTINA</t>
        </is>
      </c>
      <c r="B94" s="23" t="inlineStr">
        <is>
          <t>Planejado</t>
        </is>
      </c>
      <c r="C94" s="33" t="n">
        <v>46305</v>
      </c>
      <c r="D94" s="23" t="inlineStr">
        <is>
          <t>RS</t>
        </is>
      </c>
      <c r="E94" s="23" t="inlineStr">
        <is>
          <t>Porto Alegre</t>
        </is>
      </c>
      <c r="F94" s="23" t="inlineStr">
        <is>
          <t>Amistoso da Seleção Feminina</t>
        </is>
      </c>
      <c r="G94" s="23" t="inlineStr">
        <is>
          <t>CBF</t>
        </is>
      </c>
      <c r="H94" s="7" t="n">
        <v>0</v>
      </c>
      <c r="I94" s="23" t="inlineStr"/>
      <c r="J94" s="23" t="inlineStr">
        <is>
          <t>Beira-Rio</t>
        </is>
      </c>
      <c r="K94" s="8" t="n">
        <v>-30.0654</v>
      </c>
      <c r="L94" s="8" t="n">
        <v>-51.2365</v>
      </c>
      <c r="M94" s="23" t="inlineStr">
        <is>
          <t>https://news.google.com/rss/articles/CBMi4AFBVV95cUxOVGlGSW9BX09yWEhwMFFxVkROUUg4ZURKSWVITWhXOGt4Y2ppbGR3QThhTTVtX1lQZWxxTG8zcnJhZGRTd3JabHIwRlliTWZuRldoVEZIT0FuaUFnamhwLWdNN19GenBOYVVhNmtLWThabGpyem1vT0VjN3FOYnRXTjlLRGd4SXJGTkJCZ1Z3eHYzUElzRmRpVG9OaC1JVXZtVkw0bzh0bUFBQldsSTM5VklkMnktZ1lEU2dROVd3Q1VPeFY0NTJEQy00a3dPQ2xWcWY2cTAwMHMtQTQ3M2VSedIB4AFBVV95cUxOVGlGSW9BX09yWEhwMFFxVkROUUg4ZURKSWVITWhXOGt4Y2ppbGR3QThhTTVtX1lQZWxxTG8zcnJhZGRTd3JabHIwRlliTWZuRldoVEZIT0FuaUFnamhwLWdNN19GenBOYVVhNmtLWThabGpyem1vT0VjN3FOYnRXTjlLRGd4SXJGTkJCZ1Z3eHYzUElzRmRpVG9OaC1JVXZtVkw0bzh0bUFBQldsSTM5VklkMnktZ1lEU2dROVd3Q1VPeFY0NTJEQy00a3dPQ2xWcWY2cTAwMHMtQTQ3M2VSeQ?oc=5</t>
        </is>
      </c>
      <c r="N94" s="23" t="inlineStr">
        <is>
          <t>Amistoso Brasil x Argentina confirmado; evento materializado independentemente da notícia.</t>
        </is>
      </c>
      <c r="O94" s="23" t="inlineStr">
        <is>
          <t>Out</t>
        </is>
      </c>
      <c r="P94" s="23" t="n">
        <v>2026</v>
      </c>
      <c r="Q94" t="inlineStr">
        <is>
          <t>16:30</t>
        </is>
      </c>
      <c r="S94" t="inlineStr">
        <is>
          <t>America/Sao_Paulo</t>
        </is>
      </c>
      <c r="T94" s="32" t="n"/>
      <c r="U94" s="32" t="n"/>
    </row>
    <row r="95">
      <c r="A95" s="23" t="inlineStr">
        <is>
          <t>CBF-2026-10-13-ARGENTINA</t>
        </is>
      </c>
      <c r="B95" s="23" t="inlineStr">
        <is>
          <t>Planejado</t>
        </is>
      </c>
      <c r="C95" s="33" t="n">
        <v>46308</v>
      </c>
      <c r="D95" s="23" t="inlineStr">
        <is>
          <t>PE</t>
        </is>
      </c>
      <c r="E95" s="23" t="inlineStr">
        <is>
          <t>Recife</t>
        </is>
      </c>
      <c r="F95" s="23" t="inlineStr">
        <is>
          <t>Amistoso da Seleção Feminina</t>
        </is>
      </c>
      <c r="G95" s="23" t="inlineStr">
        <is>
          <t>CBF</t>
        </is>
      </c>
      <c r="H95" s="7" t="n">
        <v>0</v>
      </c>
      <c r="I95" s="23" t="inlineStr"/>
      <c r="J95" s="23" t="inlineStr">
        <is>
          <t>Arena Pernambuco</t>
        </is>
      </c>
      <c r="K95" s="8" t="n">
        <v>-8.047599999999999</v>
      </c>
      <c r="L95" s="8" t="n">
        <v>-34.877</v>
      </c>
      <c r="M95" s="23" t="inlineStr">
        <is>
          <t>https://news.google.com/rss/articles/CBMiuwFBVV95cUxONEpFakxFQkFRWVNsaEtUVC1KRHZNVXNxV2U4MkxucmtHckxpV2JOQ2ppMW03dmd0eVVxY2ZoRGFtRC1RSEtudzZTUXBfSGZQdEdYWnltMzlDS25tcTRiQUctT0thYWRwMGMwZjB6Nk9RVlRTRXhvVVRXTjNTZkpKWTktczc3YTNpSnhnVnNkNDI2NWVnbU52UHg5cVpMU2haUzUtMEVzS1cxRDNMd1paOFFsLUJQQm9XTVpv?oc=5</t>
        </is>
      </c>
      <c r="N95" s="23" t="inlineStr">
        <is>
          <t>Amistoso Brasil x Argentina confirmado; evento materializado independentemente da notícia.</t>
        </is>
      </c>
      <c r="O95" s="23" t="inlineStr">
        <is>
          <t>Out</t>
        </is>
      </c>
      <c r="P95" s="23" t="n">
        <v>2026</v>
      </c>
      <c r="Q95" t="inlineStr">
        <is>
          <t>20:30</t>
        </is>
      </c>
      <c r="S95" t="inlineStr">
        <is>
          <t>America/Sao_Paulo</t>
        </is>
      </c>
      <c r="T95" s="32" t="n"/>
      <c r="U95" s="32" t="n"/>
    </row>
    <row r="96">
      <c r="A96" s="23" t="inlineStr">
        <is>
          <t>WIFS-2027-06-23-RJ</t>
        </is>
      </c>
      <c r="B96" s="23" t="inlineStr">
        <is>
          <t>Planejado</t>
        </is>
      </c>
      <c r="C96" s="33" t="n">
        <v>46561</v>
      </c>
      <c r="D96" s="23" t="inlineStr">
        <is>
          <t>RJ</t>
        </is>
      </c>
      <c r="E96" s="23" t="inlineStr">
        <is>
          <t>Rio de Janeiro</t>
        </is>
      </c>
      <c r="F96" s="23" t="inlineStr">
        <is>
          <t>Ativação / evento Copa Feminina 2027</t>
        </is>
      </c>
      <c r="G96" s="23" t="inlineStr">
        <is>
          <t>WIFS</t>
        </is>
      </c>
      <c r="H96" s="7" t="n">
        <v>0</v>
      </c>
      <c r="I96" s="23" t="inlineStr"/>
      <c r="J96" s="23" t="inlineStr"/>
      <c r="K96" s="8" t="n"/>
      <c r="L96" s="8" t="n"/>
      <c r="M96" s="23" t="inlineStr">
        <is>
          <t>https://womanifs.com/</t>
        </is>
      </c>
      <c r="N96" s="23" t="inlineStr">
        <is>
          <t>Evento derivado de página-fonte; data e cidade validadas no conteúdo antes da materialização.</t>
        </is>
      </c>
      <c r="O96" s="23" t="inlineStr">
        <is>
          <t>Jun</t>
        </is>
      </c>
      <c r="P96" s="23" t="n">
        <v>2027</v>
      </c>
      <c r="T96" s="32" t="n"/>
      <c r="U96" s="32" t="n"/>
    </row>
    <row r="97">
      <c r="A97" s="23" t="inlineStr">
        <is>
          <t>WIFS-2027-07-06-PE</t>
        </is>
      </c>
      <c r="B97" s="23" t="inlineStr">
        <is>
          <t>Planejado</t>
        </is>
      </c>
      <c r="C97" s="33" t="n">
        <v>46574</v>
      </c>
      <c r="D97" s="23" t="inlineStr">
        <is>
          <t>PE</t>
        </is>
      </c>
      <c r="E97" s="23" t="inlineStr">
        <is>
          <t>Recife</t>
        </is>
      </c>
      <c r="F97" s="23" t="inlineStr">
        <is>
          <t>Ativação / evento Copa Feminina 2027</t>
        </is>
      </c>
      <c r="G97" s="23" t="inlineStr">
        <is>
          <t>WIFS</t>
        </is>
      </c>
      <c r="H97" s="7" t="n">
        <v>0</v>
      </c>
      <c r="I97" s="23" t="inlineStr"/>
      <c r="J97" s="23" t="inlineStr"/>
      <c r="K97" s="8" t="n"/>
      <c r="L97" s="8" t="n"/>
      <c r="M97" s="23" t="inlineStr">
        <is>
          <t>https://womanifs.com/</t>
        </is>
      </c>
      <c r="N97" s="23" t="inlineStr">
        <is>
          <t>Evento derivado de página-fonte; data e cidade validadas no conteúdo antes da materialização.</t>
        </is>
      </c>
      <c r="O97" s="23" t="inlineStr">
        <is>
          <t>Jul</t>
        </is>
      </c>
      <c r="P97" s="23" t="n">
        <v>2027</v>
      </c>
      <c r="T97" s="32" t="n"/>
      <c r="U97" s="32" t="n"/>
    </row>
    <row r="98">
      <c r="A98" s="23" t="inlineStr">
        <is>
          <t>WIFS-2027-07-09-CE</t>
        </is>
      </c>
      <c r="B98" s="23" t="inlineStr">
        <is>
          <t>Planejado</t>
        </is>
      </c>
      <c r="C98" s="33" t="n">
        <v>46577</v>
      </c>
      <c r="D98" s="23" t="inlineStr">
        <is>
          <t>CE</t>
        </is>
      </c>
      <c r="E98" s="23" t="inlineStr">
        <is>
          <t>Fortaleza</t>
        </is>
      </c>
      <c r="F98" s="23" t="inlineStr">
        <is>
          <t>Ativação / evento Copa Feminina 2027</t>
        </is>
      </c>
      <c r="G98" s="23" t="inlineStr">
        <is>
          <t>WIFS</t>
        </is>
      </c>
      <c r="H98" s="7" t="n">
        <v>0</v>
      </c>
      <c r="I98" s="23" t="inlineStr"/>
      <c r="J98" s="23" t="inlineStr"/>
      <c r="K98" s="8" t="n"/>
      <c r="L98" s="8" t="n"/>
      <c r="M98" s="23" t="inlineStr">
        <is>
          <t>https://womanifs.com/</t>
        </is>
      </c>
      <c r="N98" s="23" t="inlineStr">
        <is>
          <t>Evento derivado de página-fonte; data e cidade validadas no conteúdo antes da materialização.</t>
        </is>
      </c>
      <c r="O98" s="23" t="inlineStr">
        <is>
          <t>Jul</t>
        </is>
      </c>
      <c r="P98" s="23" t="n">
        <v>2027</v>
      </c>
      <c r="T98" s="32" t="n"/>
      <c r="U98" s="32" t="n"/>
    </row>
    <row r="99">
      <c r="A99" s="23" t="inlineStr">
        <is>
          <t>WIFS-2027-07-11-BA</t>
        </is>
      </c>
      <c r="B99" s="23" t="inlineStr">
        <is>
          <t>Planejado</t>
        </is>
      </c>
      <c r="C99" s="33" t="n">
        <v>46579</v>
      </c>
      <c r="D99" s="23" t="inlineStr">
        <is>
          <t>BA</t>
        </is>
      </c>
      <c r="E99" s="23" t="inlineStr">
        <is>
          <t>Salvador</t>
        </is>
      </c>
      <c r="F99" s="23" t="inlineStr">
        <is>
          <t>Ativação / evento Copa Feminina 2027</t>
        </is>
      </c>
      <c r="G99" s="23" t="inlineStr">
        <is>
          <t>WIFS</t>
        </is>
      </c>
      <c r="H99" s="7" t="n">
        <v>0</v>
      </c>
      <c r="I99" s="23" t="inlineStr"/>
      <c r="J99" s="23" t="inlineStr"/>
      <c r="K99" s="8" t="n"/>
      <c r="L99" s="8" t="n"/>
      <c r="M99" s="23" t="inlineStr">
        <is>
          <t>https://womanifs.com/</t>
        </is>
      </c>
      <c r="N99" s="23" t="inlineStr">
        <is>
          <t>Evento derivado de página-fonte; data e cidade validadas no conteúdo antes da materialização.</t>
        </is>
      </c>
      <c r="O99" s="23" t="inlineStr">
        <is>
          <t>Jul</t>
        </is>
      </c>
      <c r="P99" s="23" t="n">
        <v>2027</v>
      </c>
      <c r="T99" s="32" t="n"/>
      <c r="U99" s="32" t="n"/>
    </row>
    <row r="100">
      <c r="A100" s="23" t="inlineStr">
        <is>
          <t>WIFS-2027-06-27-RS</t>
        </is>
      </c>
      <c r="B100" s="23" t="inlineStr">
        <is>
          <t>Planejado</t>
        </is>
      </c>
      <c r="C100" s="33" t="n">
        <v>46565</v>
      </c>
      <c r="D100" s="23" t="inlineStr">
        <is>
          <t>RS</t>
        </is>
      </c>
      <c r="E100" s="23" t="inlineStr">
        <is>
          <t>Porto Alegre</t>
        </is>
      </c>
      <c r="F100" s="23" t="inlineStr">
        <is>
          <t>Ativação / evento Copa Feminina 2027</t>
        </is>
      </c>
      <c r="G100" s="23" t="inlineStr">
        <is>
          <t>WIFS</t>
        </is>
      </c>
      <c r="H100" s="7" t="n">
        <v>0</v>
      </c>
      <c r="I100" s="23" t="inlineStr"/>
      <c r="J100" s="23" t="inlineStr"/>
      <c r="K100" s="8" t="n"/>
      <c r="L100" s="8" t="n"/>
      <c r="M100" s="23" t="inlineStr">
        <is>
          <t>https://womanifs.com/</t>
        </is>
      </c>
      <c r="N100" s="23" t="inlineStr">
        <is>
          <t>Evento derivado de página-fonte; data e cidade validadas no conteúdo antes da materialização.</t>
        </is>
      </c>
      <c r="O100" s="23" t="inlineStr">
        <is>
          <t>Jun</t>
        </is>
      </c>
      <c r="P100" s="23" t="n">
        <v>2027</v>
      </c>
      <c r="T100" s="32" t="n"/>
      <c r="U100" s="32" t="n"/>
    </row>
    <row r="101">
      <c r="A101" s="23" t="inlineStr">
        <is>
          <t>WIFS-2027-07-03-DF</t>
        </is>
      </c>
      <c r="B101" s="23" t="inlineStr">
        <is>
          <t>Planejado</t>
        </is>
      </c>
      <c r="C101" s="33" t="n">
        <v>46571</v>
      </c>
      <c r="D101" s="23" t="inlineStr">
        <is>
          <t>DF</t>
        </is>
      </c>
      <c r="E101" s="23" t="inlineStr">
        <is>
          <t>Brasília</t>
        </is>
      </c>
      <c r="F101" s="23" t="inlineStr">
        <is>
          <t>Ativação / evento Copa Feminina 2027</t>
        </is>
      </c>
      <c r="G101" s="23" t="inlineStr">
        <is>
          <t>WIFS</t>
        </is>
      </c>
      <c r="H101" s="7" t="n">
        <v>0</v>
      </c>
      <c r="I101" s="23" t="inlineStr"/>
      <c r="J101" s="23" t="inlineStr"/>
      <c r="K101" s="8" t="n"/>
      <c r="L101" s="8" t="n"/>
      <c r="M101" s="23" t="inlineStr">
        <is>
          <t>https://womanifs.com/</t>
        </is>
      </c>
      <c r="N101" s="23" t="inlineStr">
        <is>
          <t>Evento derivado de página-fonte; data e cidade validadas no conteúdo antes da materialização.</t>
        </is>
      </c>
      <c r="O101" s="23" t="inlineStr">
        <is>
          <t>Jul</t>
        </is>
      </c>
      <c r="P101" s="23" t="n">
        <v>2027</v>
      </c>
      <c r="T101" s="32" t="n"/>
      <c r="U101" s="32" t="n"/>
    </row>
    <row r="102">
      <c r="A102" s="23" t="inlineStr">
        <is>
          <t>WIFS-2027-07-15-MG</t>
        </is>
      </c>
      <c r="B102" s="23" t="inlineStr">
        <is>
          <t>Planejado</t>
        </is>
      </c>
      <c r="C102" s="33" t="n">
        <v>46583</v>
      </c>
      <c r="D102" s="23" t="inlineStr">
        <is>
          <t>MG</t>
        </is>
      </c>
      <c r="E102" s="23" t="inlineStr">
        <is>
          <t>Belo Horizonte</t>
        </is>
      </c>
      <c r="F102" s="23" t="inlineStr">
        <is>
          <t>Ativação / evento Copa Feminina 2027</t>
        </is>
      </c>
      <c r="G102" s="23" t="inlineStr">
        <is>
          <t>WIFS</t>
        </is>
      </c>
      <c r="H102" s="7" t="n">
        <v>0</v>
      </c>
      <c r="I102" s="23" t="inlineStr"/>
      <c r="J102" s="23" t="inlineStr"/>
      <c r="K102" s="8" t="n"/>
      <c r="L102" s="8" t="n"/>
      <c r="M102" s="23" t="inlineStr">
        <is>
          <t>https://womanifs.com/</t>
        </is>
      </c>
      <c r="N102" s="23" t="inlineStr">
        <is>
          <t>Evento derivado de página-fonte; data e cidade validadas no conteúdo antes da materialização.</t>
        </is>
      </c>
      <c r="O102" s="23" t="inlineStr">
        <is>
          <t>Jul</t>
        </is>
      </c>
      <c r="P102" s="23" t="n">
        <v>2027</v>
      </c>
      <c r="T102" s="32" t="n"/>
      <c r="U102" s="32" t="n"/>
    </row>
    <row r="103">
      <c r="A103" s="23" t="inlineStr">
        <is>
          <t>WIFS-2027-07-23-SP</t>
        </is>
      </c>
      <c r="B103" s="23" t="inlineStr">
        <is>
          <t>Planejado</t>
        </is>
      </c>
      <c r="C103" s="33" t="n">
        <v>46591</v>
      </c>
      <c r="D103" s="23" t="inlineStr">
        <is>
          <t>SP</t>
        </is>
      </c>
      <c r="E103" s="23" t="inlineStr">
        <is>
          <t>São Paulo</t>
        </is>
      </c>
      <c r="F103" s="23" t="inlineStr">
        <is>
          <t>Ativação / evento Copa Feminina 2027</t>
        </is>
      </c>
      <c r="G103" s="23" t="inlineStr">
        <is>
          <t>WIFS</t>
        </is>
      </c>
      <c r="H103" s="7" t="n">
        <v>0</v>
      </c>
      <c r="I103" s="23" t="inlineStr"/>
      <c r="J103" s="23" t="inlineStr"/>
      <c r="K103" s="8" t="n"/>
      <c r="L103" s="8" t="n"/>
      <c r="M103" s="23" t="inlineStr">
        <is>
          <t>https://womanifs.com/</t>
        </is>
      </c>
      <c r="N103" s="23" t="inlineStr">
        <is>
          <t>Evento derivado de página-fonte; data e cidade validadas no conteúdo antes da materialização.</t>
        </is>
      </c>
      <c r="O103" s="23" t="inlineStr">
        <is>
          <t>Jul</t>
        </is>
      </c>
      <c r="P103" s="23" t="n">
        <v>2027</v>
      </c>
      <c r="T103" s="32" t="n"/>
      <c r="U103" s="32" t="n"/>
    </row>
    <row r="104">
      <c r="A104" s="23" t="inlineStr">
        <is>
          <t>CBF-2026-11-29-JAPÃO</t>
        </is>
      </c>
      <c r="B104" s="23" t="inlineStr">
        <is>
          <t>Planejado</t>
        </is>
      </c>
      <c r="C104" s="33" t="n">
        <v>46355</v>
      </c>
      <c r="D104" s="23" t="inlineStr">
        <is>
          <t>JP</t>
        </is>
      </c>
      <c r="E104" s="23" t="inlineStr">
        <is>
          <t>Hiroshima</t>
        </is>
      </c>
      <c r="F104" s="23" t="inlineStr">
        <is>
          <t>Amistoso da Seleção Feminina</t>
        </is>
      </c>
      <c r="G104" s="23" t="inlineStr">
        <is>
          <t>CBF</t>
        </is>
      </c>
      <c r="H104" s="7" t="n">
        <v>0</v>
      </c>
      <c r="I104" s="23" t="inlineStr"/>
      <c r="J104" s="23" t="inlineStr">
        <is>
          <t>Edion Peace Wing Hiroshima</t>
        </is>
      </c>
      <c r="K104" s="8" t="n"/>
      <c r="L104" s="8" t="n"/>
      <c r="M104" s="23" t="inlineStr">
        <is>
          <t>https://news.google.com/rss/articles/CBMiuwFBVV95cUxONEpFakxFQkFRWVNsaEtUVC1KRHZNVXNxV2U4MkxucmtHckxpV2JOQ2ppMW03dmd0eVVxY2ZoRGFtRC1RSEtudzZTUXBfSGZQdEdYWnltMzlDS25tcTRiQUctT0thYWRwMGMwZjB6Nk9RVlRTRXhvVVRXTjNTZkpKWTktczc3YTNpSnhnVnNkNDI2NWVnbU52UHg5cVpMU2haUzUtMEVzS1cxRDNMd1paOFFsLUJQQm9XTVpv?oc=5</t>
        </is>
      </c>
      <c r="N104" s="23" t="inlineStr">
        <is>
          <t>Amistoso Brasil x Japão confirmado; evento materializado independentemente da notícia.</t>
        </is>
      </c>
      <c r="O104" s="23" t="inlineStr">
        <is>
          <t>Nov</t>
        </is>
      </c>
      <c r="P104" s="23" t="n">
        <v>2026</v>
      </c>
      <c r="T104" s="32" t="n"/>
      <c r="U104" s="32" t="n"/>
    </row>
    <row r="105">
      <c r="A105" s="23" t="inlineStr">
        <is>
          <t>CBF-2026-12-05-JAPÃO</t>
        </is>
      </c>
      <c r="B105" s="23" t="inlineStr">
        <is>
          <t>Planejado</t>
        </is>
      </c>
      <c r="C105" s="33" t="n">
        <v>46361</v>
      </c>
      <c r="D105" s="23" t="inlineStr">
        <is>
          <t>JP</t>
        </is>
      </c>
      <c r="E105" s="23" t="inlineStr">
        <is>
          <t>Okayama</t>
        </is>
      </c>
      <c r="F105" s="23" t="inlineStr">
        <is>
          <t>Amistoso da Seleção Feminina</t>
        </is>
      </c>
      <c r="G105" s="23" t="inlineStr">
        <is>
          <t>CBF</t>
        </is>
      </c>
      <c r="H105" s="7" t="n">
        <v>0</v>
      </c>
      <c r="I105" s="23" t="inlineStr"/>
      <c r="J105" s="23" t="inlineStr">
        <is>
          <t>JFE Harenokuni Stadium</t>
        </is>
      </c>
      <c r="K105" s="8" t="n"/>
      <c r="L105" s="8" t="n"/>
      <c r="M105" s="23" t="inlineStr">
        <is>
          <t>https://news.google.com/rss/articles/CBMiuwFBVV95cUxONEpFakxFQkFRWVNsaEtUVC1KRHZNVXNxV2U4MkxucmtHckxpV2JOQ2ppMW03dmd0eVVxY2ZoRGFtRC1RSEtudzZTUXBfSGZQdEdYWnltMzlDS25tcTRiQUctT0thYWRwMGMwZjB6Nk9RVlRTRXhvVVRXTjNTZkpKWTktczc3YTNpSnhnVnNkNDI2NWVnbU52UHg5cVpMU2haUzUtMEVzS1cxRDNMd1paOFFsLUJQQm9XTVpv?oc=5</t>
        </is>
      </c>
      <c r="N105" s="23" t="inlineStr">
        <is>
          <t>Amistoso Brasil x Japão confirmado; evento materializado independentemente da notícia.</t>
        </is>
      </c>
      <c r="O105" s="23" t="inlineStr">
        <is>
          <t>Dez</t>
        </is>
      </c>
      <c r="P105" s="23" t="n">
        <v>2026</v>
      </c>
      <c r="T105" s="32" t="n"/>
      <c r="U105" s="32" t="n"/>
    </row>
    <row r="106">
      <c r="A106" s="23" t="inlineStr">
        <is>
          <t>CBF-CONVOCACAO-2026-09-22</t>
        </is>
      </c>
      <c r="B106" s="23" t="inlineStr">
        <is>
          <t>Planejado</t>
        </is>
      </c>
      <c r="C106" s="33" t="n">
        <v>46287</v>
      </c>
      <c r="D106" s="23" t="inlineStr">
        <is>
          <t>RJ</t>
        </is>
      </c>
      <c r="E106" s="23" t="inlineStr">
        <is>
          <t>Rio de Janeiro</t>
        </is>
      </c>
      <c r="F106" s="23" t="inlineStr">
        <is>
          <t>Convocação da Seleção Feminina</t>
        </is>
      </c>
      <c r="G106" s="23" t="inlineStr">
        <is>
          <t>CBF</t>
        </is>
      </c>
      <c r="H106" s="7" t="n">
        <v>0</v>
      </c>
      <c r="I106" s="23" t="inlineStr"/>
      <c r="J106" s="23" t="inlineStr"/>
      <c r="K106" s="8" t="n"/>
      <c r="L106" s="8" t="n"/>
      <c r="M106" s="23" t="inlineStr">
        <is>
          <t>https://news.google.com/rss/articles/CBMizgFBVV95cUxQNUlNNkxSc1N6TjZpQnNsaExUM1k2S0I4amZ2YkpCdFRQY3Ftb0dVNVVMX2VFOEpoSGVCSnprT1FpMVZYVmVGeVFla0x4TnNrLWtyZFVIODVqNzNmd0Z1Q0txQjJyYzVRQTF6cExHSG5CVEJxUE93eU40TkI3Z1YyYXJkYksyYmhLeDhKQ0hRc1BzZU1VUnJESTdtY3ZyVEthYndGY29HZzBXeExBa3haOWZYYXl6alBwUWEzSEgzNjJ4ejRVRU1kWnFMV2tndw?oc=5</t>
        </is>
      </c>
      <c r="N106" s="23" t="inlineStr">
        <is>
          <t>Convocação da Seleção Brasileira Feminina identificada em cobertura pública do próprio dia; seleções de base são excluídas.</t>
        </is>
      </c>
      <c r="O106" s="23" t="inlineStr">
        <is>
          <t>Set</t>
        </is>
      </c>
      <c r="P106" s="23" t="n">
        <v>2026</v>
      </c>
      <c r="Q106" t="inlineStr">
        <is>
          <t>15:00</t>
        </is>
      </c>
      <c r="S106" t="inlineStr">
        <is>
          <t>America/Sao_Paulo</t>
        </is>
      </c>
      <c r="T106" s="32" t="n"/>
      <c r="U106" s="32" t="n"/>
    </row>
    <row r="107">
      <c r="A107" s="23" t="inlineStr">
        <is>
          <t>EVT-20261026-BALLON-DOR-LORENA</t>
        </is>
      </c>
      <c r="B107" s="23" t="inlineStr">
        <is>
          <t>Planejado</t>
        </is>
      </c>
      <c r="C107" s="33" t="n">
        <v>46321</v>
      </c>
      <c r="D107" s="23" t="inlineStr">
        <is>
          <t>GBR</t>
        </is>
      </c>
      <c r="E107" s="23" t="inlineStr">
        <is>
          <t>Londres</t>
        </is>
      </c>
      <c r="F107" s="23" t="inlineStr">
        <is>
          <t>Premiação internacional</t>
        </is>
      </c>
      <c r="G107" s="23" t="inlineStr">
        <is>
          <t>France Football</t>
        </is>
      </c>
      <c r="H107" s="7" t="n">
        <v>0</v>
      </c>
      <c r="I107" s="23" t="inlineStr"/>
      <c r="J107" s="23" t="inlineStr">
        <is>
          <t>Local a definir</t>
        </is>
      </c>
      <c r="K107" s="8" t="n"/>
      <c r="L107" s="8" t="n"/>
      <c r="M107" s="23" t="inlineStr">
        <is>
          <t>https://www.cbf.com.br/selecao-brasileira/noticias/noticias/selecao-feminina-principal/lorena-concorre-a-melhor-jogadora-e-melhor-goleira-no-bola-de-ouro-202526</t>
        </is>
      </c>
      <c r="N107" s="23" t="inlineStr">
        <is>
          <t>A goleira Lorena, titular da Seleção Brasileira principal, é a única brasileira indicada no futebol feminino da Bola de Ouro 2026 e concorre às categorias de melhor jogadora e melhor goleira. A CBF confirma a cerimônia para 26/10/2026, em Londres. A pauta acompanha o reconhecimento internacional de atleta central no ciclo da Copa Feminina 2027.</t>
        </is>
      </c>
      <c r="O107" s="23" t="inlineStr">
        <is>
          <t>Out</t>
        </is>
      </c>
      <c r="P107" s="23" t="n">
        <v>2026</v>
      </c>
      <c r="Q107" t="inlineStr">
        <is>
          <t>17:00</t>
        </is>
      </c>
      <c r="R107" t="inlineStr">
        <is>
          <t>19:00</t>
        </is>
      </c>
      <c r="S107" t="inlineStr">
        <is>
          <t>America/Sao_Paulo</t>
        </is>
      </c>
      <c r="T107" s="32" t="n"/>
      <c r="U107" s="32" t="n"/>
    </row>
    <row r="108">
      <c r="A108" s="23" t="n"/>
      <c r="B108" s="23" t="inlineStr">
        <is>
          <t>Realizado</t>
        </is>
      </c>
      <c r="C108" s="33" t="n">
        <v>46283</v>
      </c>
      <c r="D108" s="23" t="inlineStr">
        <is>
          <t>SP</t>
        </is>
      </c>
      <c r="E108" s="23" t="inlineStr">
        <is>
          <t>São Paulo</t>
        </is>
      </c>
      <c r="F108" s="23" t="inlineStr">
        <is>
          <t>Visita técnica</t>
        </is>
      </c>
      <c r="G108" s="23" t="inlineStr">
        <is>
          <t>FIFA / Federação Paulista de Futebol / Neo Química Arena</t>
        </is>
      </c>
      <c r="H108" s="7" t="n">
        <v>0</v>
      </c>
      <c r="I108" s="23" t="inlineStr"/>
      <c r="J108" s="23" t="inlineStr">
        <is>
          <t>Neo Química Arena</t>
        </is>
      </c>
      <c r="K108" s="8" t="n">
        <v>-23.5453</v>
      </c>
      <c r="L108" s="8" t="n">
        <v>-46.4741</v>
      </c>
      <c r="M108" s="23" t="inlineStr">
        <is>
          <t>https://futebolpaulista.com.br/Noticias/Detalhe.aspx?Noticia=33285</t>
        </is>
      </c>
      <c r="N108" s="23" t="inlineStr">
        <is>
          <t>Visita técnica realizada em 18/09/2026 para acompanhar a infraestrutura destinada às seleções, a área de jogo, as arquibancadas e os fluxos de acesso do público. A Neo Química Arena receberá dez partidas da Copa do Mundo Feminina FIFA 2027 e será o único estádio presente em todas as fases, incluindo uma semifinal e a disputa do terceiro lugar.</t>
        </is>
      </c>
      <c r="O108" s="23" t="inlineStr">
        <is>
          <t>Set</t>
        </is>
      </c>
      <c r="P108" s="23" t="n">
        <v>2026</v>
      </c>
      <c r="T108" s="32" t="n"/>
      <c r="U108" s="32" t="n"/>
    </row>
    <row r="109">
      <c r="A109" s="23" t="inlineStr">
        <is>
          <t>EVT-20261014-FECOMERCIO-RS-DEBATE-COPA-2027</t>
        </is>
      </c>
      <c r="B109" s="23" t="inlineStr">
        <is>
          <t>Planejado</t>
        </is>
      </c>
      <c r="C109" s="33" t="n">
        <v>46309</v>
      </c>
      <c r="D109" s="23" t="inlineStr">
        <is>
          <t>RS</t>
        </is>
      </c>
      <c r="E109" s="23" t="inlineStr">
        <is>
          <t>Porto Alegre</t>
        </is>
      </c>
      <c r="F109" s="23" t="inlineStr">
        <is>
          <t>Debate e preparação da cidade-sede</t>
        </is>
      </c>
      <c r="G109" s="23" t="inlineStr">
        <is>
          <t>Fecomércio-RS</t>
        </is>
      </c>
      <c r="H109" s="7" t="n">
        <v>0</v>
      </c>
      <c r="I109" s="23" t="inlineStr"/>
      <c r="J109" s="23" t="inlineStr">
        <is>
          <t>Fecomércio-RS/Sesc/Senac e IFEP</t>
        </is>
      </c>
      <c r="K109" s="8" t="n"/>
      <c r="L109" s="8" t="n"/>
      <c r="M109" s="23" t="inlineStr">
        <is>
          <t>https://www.sympla.com.br/evento/lgc/3580338</t>
        </is>
      </c>
      <c r="N109" s="23" t="inlineStr">
        <is>
          <t>Encontro sobre oportunidades, desafios e impactos da Copa do Mundo Feminina FIFA 2027 no turismo, comércio e serviços do Rio Grande do Sul. A programação inclui participação de Débora Garcia, secretária extraordinária da Copa Feminina 2027 em Porto Alegre, com debate sobre preparativos da cidade-sede e perspectivas para a economia gaúcha.</t>
        </is>
      </c>
      <c r="O109" s="23" t="inlineStr">
        <is>
          <t>Out</t>
        </is>
      </c>
      <c r="P109" s="23" t="n">
        <v>2026</v>
      </c>
      <c r="Q109" t="inlineStr">
        <is>
          <t>11:30</t>
        </is>
      </c>
      <c r="R109" t="inlineStr">
        <is>
          <t>14:00</t>
        </is>
      </c>
      <c r="S109" t="inlineStr">
        <is>
          <t>America/Sao_Paulo</t>
        </is>
      </c>
      <c r="T109" s="32" t="n"/>
      <c r="U109" s="32" t="n"/>
    </row>
    <row r="110">
      <c r="A110" s="23" t="inlineStr">
        <is>
          <t>EVT-SUMMIT-20260925</t>
        </is>
      </c>
      <c r="B110" s="23" t="inlineStr">
        <is>
          <t>Planejado</t>
        </is>
      </c>
      <c r="C110" s="33" t="n">
        <v>46290</v>
      </c>
      <c r="D110" s="23" t="inlineStr">
        <is>
          <t>SP</t>
        </is>
      </c>
      <c r="E110" s="23" t="inlineStr">
        <is>
          <t>São Paulo</t>
        </is>
      </c>
      <c r="F110" s="23" t="inlineStr">
        <is>
          <t>Summit</t>
        </is>
      </c>
      <c r="G110" s="23" t="inlineStr">
        <is>
          <t>Em Busca de uma Estrela</t>
        </is>
      </c>
      <c r="H110" s="7" t="n">
        <v>0</v>
      </c>
      <c r="I110" s="23" t="inlineStr"/>
      <c r="J110" s="23" t="inlineStr">
        <is>
          <t>Hotel Transamerica Executive Nova Paulista</t>
        </is>
      </c>
      <c r="K110" s="8" t="n">
        <v>-23.589</v>
      </c>
      <c r="L110" s="8" t="n">
        <v>-46.634</v>
      </c>
      <c r="M110" s="23" t="inlineStr">
        <is>
          <t>https://embuscadeumaestrela.com.br/summit-internacional-das-estrelas/</t>
        </is>
      </c>
      <c r="N110" s="23" t="inlineStr">
        <is>
          <t>Encontro sobre formação, carreira, mercado, mídia, conteúdo, inovação e marcas no futebol feminino. A programação encerra com a dinâmica “2027 como ponto de partida”, conectando marca, mídia e cultura à construção da modalidade.</t>
        </is>
      </c>
      <c r="O110" s="23" t="inlineStr">
        <is>
          <t>Set</t>
        </is>
      </c>
      <c r="P110" s="23" t="n">
        <v>2026</v>
      </c>
      <c r="T110" s="32" t="n"/>
      <c r="U110" s="32" t="n"/>
    </row>
    <row r="111">
      <c r="A111" s="23" t="inlineStr">
        <is>
          <t>EVT-20260924-OABRJ-LEGADO-COPA-2027</t>
        </is>
      </c>
      <c r="B111" s="23" t="inlineStr">
        <is>
          <t>Realizado</t>
        </is>
      </c>
      <c r="C111" s="33" t="n">
        <v>46289</v>
      </c>
      <c r="D111" s="23" t="inlineStr">
        <is>
          <t>RJ</t>
        </is>
      </c>
      <c r="E111" s="23" t="inlineStr">
        <is>
          <t>Rio de Janeiro</t>
        </is>
      </c>
      <c r="F111" s="23" t="inlineStr">
        <is>
          <t>Debate e legado social</t>
        </is>
      </c>
      <c r="G111" s="23" t="inlineStr">
        <is>
          <t>Comissão de Direito Desportivo da OABRJ</t>
        </is>
      </c>
      <c r="H111" s="7" t="n">
        <v>0</v>
      </c>
      <c r="I111" s="23" t="inlineStr"/>
      <c r="J111" s="23" t="inlineStr">
        <is>
          <t>OABRJ — Plenário Carlos Maurício Martins Rodrigues</t>
        </is>
      </c>
      <c r="K111" s="8" t="n"/>
      <c r="L111" s="8" t="n"/>
      <c r="M111" s="23" t="inlineStr">
        <is>
          <t>https://oabrj.org.br/eventos/nfl-more-legado-copa-mundo-feminina-fifa-2027-brasil</t>
        </is>
      </c>
      <c r="N111" s="23" t="inlineStr">
        <is>
          <t>Encontro gratuito sobre o esporte como ferramenta de prevenção da violência contra mulheres e meninas e a construção do legado social da Copa do Mundo Feminina FIFA 2027. A programação reuniu representantes da FIFA, CBF, Ministério do Esporte, Ministério das Mulheres, ONU Mulheres, UNESCO, Globo, EBC, Petrobras, NFL e No More.</t>
        </is>
      </c>
      <c r="O111" s="23" t="inlineStr">
        <is>
          <t>Set</t>
        </is>
      </c>
      <c r="P111" s="23" t="n">
        <v>2026</v>
      </c>
      <c r="Q111" t="inlineStr">
        <is>
          <t>09:00</t>
        </is>
      </c>
      <c r="R111" t="inlineStr">
        <is>
          <t>13:00</t>
        </is>
      </c>
      <c r="S111" t="inlineStr">
        <is>
          <t>America/Sao_Paulo</t>
        </is>
      </c>
      <c r="T111" s="32" t="n"/>
      <c r="U111" s="32" t="n"/>
    </row>
    <row r="112">
      <c r="A112" s="23" t="inlineStr">
        <is>
          <t>EVT-20261010-ESQUENTA-MVA</t>
        </is>
      </c>
      <c r="B112" s="23" t="inlineStr">
        <is>
          <t>Planejado</t>
        </is>
      </c>
      <c r="C112" s="33" t="n">
        <v>46305</v>
      </c>
      <c r="D112" s="23" t="inlineStr">
        <is>
          <t>RS</t>
        </is>
      </c>
      <c r="E112" s="23" t="inlineStr">
        <is>
          <t>Porto Alegre</t>
        </is>
      </c>
      <c r="F112" s="23" t="inlineStr">
        <is>
          <t>Ativação de torcida</t>
        </is>
      </c>
      <c r="G112" s="23" t="inlineStr">
        <is>
          <t>Movimento Verde Amarelo (MVA)</t>
        </is>
      </c>
      <c r="H112" s="7" t="n">
        <v>0</v>
      </c>
      <c r="I112" s="23" t="inlineStr"/>
      <c r="J112" s="23" t="inlineStr">
        <is>
          <t>The Front</t>
        </is>
      </c>
      <c r="K112" s="8" t="n"/>
      <c r="L112" s="8" t="n"/>
      <c r="M112" s="23" t="inlineStr">
        <is>
          <t>https://www.instagram.com/p/DeHz9VVDIxA/?stkn=Y204OWx4NWNyYnhx</t>
        </is>
      </c>
      <c r="N112" s="23" t="inlineStr">
        <is>
          <t>Encontro do Movimento Verde Amarelo em Porto Alegre antes do amistoso entre Brasil e Argentina pela Seleção Brasileira Feminina principal. O esquenta começa às 11h no The Front; a partida será disputada no Beira-Rio às 16h30, dentro da preparação brasileira para a Copa do Mundo Feminina FIFA 2027.</t>
        </is>
      </c>
      <c r="O112" s="23" t="inlineStr">
        <is>
          <t>Out</t>
        </is>
      </c>
      <c r="P112" s="23" t="n">
        <v>2026</v>
      </c>
      <c r="Q112" t="inlineStr">
        <is>
          <t>11:00</t>
        </is>
      </c>
      <c r="S112" t="inlineStr">
        <is>
          <t>America/Sao_Paulo</t>
        </is>
      </c>
      <c r="T112" s="32" t="n"/>
      <c r="U112" s="32" t="n"/>
    </row>
    <row r="113">
      <c r="A113" s="23" t="n"/>
      <c r="B113" s="23" t="inlineStr">
        <is>
          <t>Planejado</t>
        </is>
      </c>
      <c r="C113" s="33" t="n">
        <v>46341</v>
      </c>
      <c r="D113" s="23" t="inlineStr">
        <is>
          <t>SP</t>
        </is>
      </c>
      <c r="E113" s="23" t="inlineStr">
        <is>
          <t>Embu das Artes</t>
        </is>
      </c>
      <c r="F113" s="23" t="inlineStr">
        <is>
          <t>Jogo comemorativo de futebol feminino</t>
        </is>
      </c>
      <c r="G113" s="23" t="inlineStr">
        <is>
          <t>A confirmar</t>
        </is>
      </c>
      <c r="H113" s="7" t="n">
        <v>0</v>
      </c>
      <c r="I113" s="23" t="inlineStr"/>
      <c r="J113" s="23" t="inlineStr">
        <is>
          <t>Local exato a confirmar</t>
        </is>
      </c>
      <c r="K113" s="8" t="n"/>
      <c r="L113" s="8" t="n"/>
      <c r="M113" s="23" t="inlineStr">
        <is>
          <t>https://www.instagram.com/p/DdJ1c_ETobV/</t>
        </is>
      </c>
      <c r="N113" s="23" t="inlineStr">
        <is>
          <t>Evento sugerido para 15/11/2026, em Embu das Artes/SP, com participação de Formiga e Milene Domingues, referências da Seleção Brasileira e do ecossistema do futebol feminino. A ação é editorialmente relevante para a mobilização rumo à Copa Feminina 2027 mesmo sem chancela oficial da FIFA. Horário, endereço exato e organizador permanecem a confirmar.</t>
        </is>
      </c>
      <c r="O113" s="23" t="n"/>
      <c r="P113" s="23" t="n"/>
      <c r="T113" s="32" t="n"/>
      <c r="U113" s="32" t="n"/>
    </row>
    <row r="114">
      <c r="A114" s="23" t="inlineStr">
        <is>
          <t>SUG-rec6pxuy0Dd11NXhU</t>
        </is>
      </c>
      <c r="B114" s="23" t="inlineStr">
        <is>
          <t>Planejado</t>
        </is>
      </c>
      <c r="C114" s="33" t="n">
        <v>46303</v>
      </c>
      <c r="D114" s="23" t="inlineStr"/>
      <c r="E114" s="23" t="inlineStr">
        <is>
          <t>Porto Alegre</t>
        </is>
      </c>
      <c r="F114" s="23" t="inlineStr">
        <is>
          <t>Evento</t>
        </is>
      </c>
      <c r="G114" s="23" t="inlineStr"/>
      <c r="H114" s="7" t="n">
        <v>0</v>
      </c>
      <c r="I114" s="23" t="inlineStr"/>
      <c r="J114" s="23" t="inlineStr">
        <is>
          <t>Porto Alegre</t>
        </is>
      </c>
      <c r="K114" s="8" t="n"/>
      <c r="L114" s="8" t="n"/>
      <c r="M114" s="23" t="inlineStr">
        <is>
          <t>https://www.instagram.com/p/DeNEDfADIcI/?stkn=aXRlZWowMmp0NW1t</t>
        </is>
      </c>
      <c r="N114" s="23" t="inlineStr"/>
      <c r="O114" s="23" t="inlineStr"/>
      <c r="P114" s="23" t="n">
        <v>2026</v>
      </c>
      <c r="T114" s="32" t="n"/>
      <c r="U114" s="32" t="n"/>
    </row>
    <row r="115">
      <c r="A115" s="23" t="inlineStr">
        <is>
          <t>SUG-recTFPAx0lxJ5ZDYs</t>
        </is>
      </c>
      <c r="B115" s="23" t="inlineStr">
        <is>
          <t>Planejado</t>
        </is>
      </c>
      <c r="C115" s="33" t="n">
        <v>46325</v>
      </c>
      <c r="D115" s="23" t="inlineStr">
        <is>
          <t>SP</t>
        </is>
      </c>
      <c r="E115" s="23" t="inlineStr">
        <is>
          <t>Americana</t>
        </is>
      </c>
      <c r="F115" s="23" t="inlineStr">
        <is>
          <t>Capacitação e formação no futebol feminino</t>
        </is>
      </c>
      <c r="G115" s="23" t="inlineStr">
        <is>
          <t>CBF / Federação Paulista de Futebol / Escola de Goleiros Camisa 1</t>
        </is>
      </c>
      <c r="H115" s="7" t="n">
        <v>0</v>
      </c>
      <c r="I115" s="23" t="inlineStr"/>
      <c r="J115" s="23" t="inlineStr">
        <is>
          <t>Escola de Goleiros Camisa 1</t>
        </is>
      </c>
      <c r="K115" s="8" t="n"/>
      <c r="L115" s="8" t="n"/>
      <c r="M115" s="23" t="inlineStr">
        <is>
          <t>https://www.cbf.com.br/selecao-brasileira/noticias/selecao-feminina-principal/a/cbf-lanca-projeto-nacional-para-identificar-e-formar-jovens-para-posicao-de-goleira</t>
        </is>
      </c>
      <c r="N115" s="23" t="inlineStr">
        <is>
          <t>Primeira etapa do projeto Em Busca da Camisa #1, de 30/10 a 02/11/2026 em Americana (SP). Ação de observação e formação de jovens goleiras, com workshop para preparadores. A CBF prevê etapas nas cinco regiões do país até a Copa Feminina de 2027. Sugestão recebida em 13/10/2026 e verificada em fonte oficial da CBF. Atividade de categorias de base: não tratar como pauta de Instagram da Seleção principal.</t>
        </is>
      </c>
      <c r="O115" s="23" t="inlineStr">
        <is>
          <t>Out</t>
        </is>
      </c>
      <c r="P115" s="23" t="n">
        <v>2026</v>
      </c>
      <c r="T115" s="32" t="n">
        <v>46328</v>
      </c>
      <c r="U115" s="32" t="n"/>
    </row>
    <row r="116">
      <c r="A116" s="23" t="inlineStr">
        <is>
          <t>EVT-20261019-CRISTIANE-OSASCO-FE26</t>
        </is>
      </c>
      <c r="B116" s="23" t="inlineStr">
        <is>
          <t>Planejado</t>
        </is>
      </c>
      <c r="C116" s="33" t="n">
        <v>46314</v>
      </c>
      <c r="D116" s="23" t="inlineStr">
        <is>
          <t>SP</t>
        </is>
      </c>
      <c r="E116" s="23" t="inlineStr">
        <is>
          <t>São Paulo</t>
        </is>
      </c>
      <c r="F116" s="23" t="inlineStr">
        <is>
          <t>Palestra sobre futebol feminino</t>
        </is>
      </c>
      <c r="G116" s="23" t="inlineStr">
        <is>
          <t>Sebrae-SP — Feira do Empreendedor 2026</t>
        </is>
      </c>
      <c r="H116" s="7" t="n">
        <v>0</v>
      </c>
      <c r="I116" s="23" t="inlineStr"/>
      <c r="J116" s="23" t="inlineStr">
        <is>
          <t>Arena do Conhecimento — São Paulo Expo</t>
        </is>
      </c>
      <c r="K116" s="8" t="n"/>
      <c r="L116" s="8" t="n"/>
      <c r="M116" s="23" t="inlineStr">
        <is>
          <t>https://feiradoempreendedor.sebraesp.com.br/programacao/</t>
        </is>
      </c>
      <c r="N116" s="23" t="inlineStr">
        <is>
          <t>Palestra gratuita de Cristiane Rozeira sobre sua trajetória, enfrentamento do preconceito e carreira internacional no futebol feminino. Inscrição gratuita na Feira do Empreendedor 2026, que acontece de 19 a 22/10 no São Paulo Expo. Horário e duração confirmados na programação oficial do Sebrae: 16h às 17h, em 19/10/2026. Fonte complementar enviada pelo responsável do Radar: https://www.instagram.com/p/DemVhEAl407/. Inscrições: https://fe26.sebraesp.com.br/. Curadoria manual em 19/10/2026, sem uso de Airtable.</t>
        </is>
      </c>
      <c r="O116" s="23" t="inlineStr">
        <is>
          <t>Out</t>
        </is>
      </c>
      <c r="P116" s="23" t="n">
        <v>2026</v>
      </c>
      <c r="Q116" t="inlineStr">
        <is>
          <t>16:00</t>
        </is>
      </c>
      <c r="R116" t="inlineStr">
        <is>
          <t>17:00</t>
        </is>
      </c>
      <c r="S116" t="inlineStr">
        <is>
          <t>America/Sao_Paulo</t>
        </is>
      </c>
      <c r="T116" s="32" t="n"/>
      <c r="U116" s="32" t="n"/>
    </row>
    <row r="117">
      <c r="A117" s="23" t="inlineStr">
        <is>
          <t>EVT-20261019-CRISTIANE-90MIN-FE26</t>
        </is>
      </c>
      <c r="B117" s="23" t="inlineStr">
        <is>
          <t>Planejado</t>
        </is>
      </c>
      <c r="C117" s="33" t="n">
        <v>46314</v>
      </c>
      <c r="D117" s="23" t="inlineStr">
        <is>
          <t>SP</t>
        </is>
      </c>
      <c r="E117" s="23" t="inlineStr">
        <is>
          <t>São Paulo</t>
        </is>
      </c>
      <c r="F117" s="23" t="inlineStr">
        <is>
          <t>Debate sobre futebol feminino e Copa do Mundo</t>
        </is>
      </c>
      <c r="G117" s="23" t="inlineStr">
        <is>
          <t>Sebrae-SP — Feira do Empreendedor 2026</t>
        </is>
      </c>
      <c r="H117" s="7" t="n">
        <v>0</v>
      </c>
      <c r="I117" s="23" t="inlineStr"/>
      <c r="J117" s="23" t="inlineStr">
        <is>
          <t>Espetáculo Delas — São Paulo Expo</t>
        </is>
      </c>
      <c r="K117" s="8" t="n"/>
      <c r="L117" s="8" t="n"/>
      <c r="M117" s="23" t="inlineStr">
        <is>
          <t>https://feiradoempreendedor.sebraesp.com.br/programacao/</t>
        </is>
      </c>
      <c r="N117" s="23" t="inlineStr">
        <is>
          <t>Atividade em formato pitch com Cristiane Rozeira: 'Além dos 90 minutos: o protagonismo feminino na Copa do Mundo de Futebol Feminino', identificada como programação independente da palestra das 16h. Horário confirmado na programação oficial do Sebrae: 19/10/2026 das 17h30 às 18h, espaço Espetáculo Delas. Feira gratuita mediante inscrição: https://fe26.sebraesp.com.br/. Curadoria manual em 19/10/2026, sem uso de Airtable.</t>
        </is>
      </c>
      <c r="O117" s="23" t="inlineStr">
        <is>
          <t>Out</t>
        </is>
      </c>
      <c r="P117" s="23" t="n">
        <v>2026</v>
      </c>
      <c r="Q117" t="inlineStr">
        <is>
          <t>17:30</t>
        </is>
      </c>
      <c r="R117" t="inlineStr">
        <is>
          <t>18:00</t>
        </is>
      </c>
      <c r="S117" t="inlineStr">
        <is>
          <t>America/Sao_Paulo</t>
        </is>
      </c>
      <c r="T117" s="32" t="n"/>
      <c r="U117" s="32" t="n"/>
    </row>
    <row r="118">
      <c r="A118" s="23" t="n"/>
      <c r="B118" s="23" t="n"/>
      <c r="C118" s="6" t="n"/>
      <c r="D118" s="23" t="n"/>
      <c r="E118" s="23" t="n"/>
      <c r="F118" s="23" t="n"/>
      <c r="G118" s="23" t="n"/>
      <c r="H118" s="7" t="n"/>
      <c r="I118" s="23" t="n"/>
      <c r="J118" s="23" t="n"/>
      <c r="K118" s="8" t="n"/>
      <c r="L118" s="8" t="n"/>
      <c r="M118" s="23" t="n"/>
      <c r="N118" s="23" t="n"/>
      <c r="O118" s="23" t="n"/>
      <c r="P118" s="23" t="n"/>
    </row>
    <row r="119">
      <c r="A119" s="23" t="n"/>
      <c r="B119" s="23" t="n"/>
      <c r="C119" s="6" t="n"/>
      <c r="D119" s="23" t="n"/>
      <c r="E119" s="23" t="n"/>
      <c r="F119" s="23" t="n"/>
      <c r="G119" s="23" t="n"/>
      <c r="H119" s="7" t="n"/>
      <c r="I119" s="23" t="n"/>
      <c r="J119" s="23" t="n"/>
      <c r="K119" s="8" t="n"/>
      <c r="L119" s="8" t="n"/>
      <c r="M119" s="23" t="n"/>
      <c r="N119" s="23" t="n"/>
      <c r="O119" s="23" t="n"/>
      <c r="P119" s="23" t="n"/>
    </row>
    <row r="120">
      <c r="A120" s="23" t="n"/>
      <c r="B120" s="23" t="n"/>
      <c r="C120" s="6" t="n"/>
      <c r="D120" s="23" t="n"/>
      <c r="E120" s="23" t="n"/>
      <c r="F120" s="23" t="n"/>
      <c r="G120" s="23" t="n"/>
      <c r="H120" s="7" t="n"/>
      <c r="I120" s="23" t="n"/>
      <c r="J120" s="23" t="n"/>
      <c r="K120" s="8" t="n"/>
      <c r="L120" s="8" t="n"/>
      <c r="M120" s="23" t="n"/>
      <c r="N120" s="23" t="n"/>
      <c r="O120" s="23" t="n"/>
      <c r="P120" s="23" t="n"/>
    </row>
    <row r="121">
      <c r="A121" s="23" t="n"/>
      <c r="B121" s="23" t="n"/>
      <c r="C121" s="6" t="n"/>
      <c r="D121" s="23" t="n"/>
      <c r="E121" s="23" t="n"/>
      <c r="F121" s="23" t="n"/>
      <c r="G121" s="23" t="n"/>
      <c r="H121" s="7" t="n"/>
      <c r="I121" s="23" t="n"/>
      <c r="J121" s="23" t="n"/>
      <c r="K121" s="8" t="n"/>
      <c r="L121" s="8" t="n"/>
      <c r="M121" s="23" t="n"/>
      <c r="N121" s="23" t="n"/>
      <c r="O121" s="23" t="n"/>
      <c r="P121" s="23" t="n"/>
    </row>
    <row r="122">
      <c r="A122" s="23" t="n"/>
      <c r="B122" s="23" t="n"/>
      <c r="C122" s="6" t="n"/>
      <c r="D122" s="23" t="n"/>
      <c r="E122" s="23" t="n"/>
      <c r="F122" s="23" t="n"/>
      <c r="G122" s="23" t="n"/>
      <c r="H122" s="7" t="n"/>
      <c r="I122" s="23" t="n"/>
      <c r="J122" s="23" t="n"/>
      <c r="K122" s="8" t="n"/>
      <c r="L122" s="8" t="n"/>
      <c r="M122" s="23" t="n"/>
      <c r="N122" s="23" t="n"/>
      <c r="O122" s="23" t="n"/>
      <c r="P122" s="23" t="n"/>
    </row>
    <row r="123">
      <c r="A123" s="23" t="n"/>
      <c r="B123" s="23" t="n"/>
      <c r="C123" s="6" t="n"/>
      <c r="D123" s="23" t="n"/>
      <c r="E123" s="23" t="n"/>
      <c r="F123" s="23" t="n"/>
      <c r="G123" s="23" t="n"/>
      <c r="H123" s="7" t="n"/>
      <c r="I123" s="23" t="n"/>
      <c r="J123" s="23" t="n"/>
      <c r="K123" s="8" t="n"/>
      <c r="L123" s="8" t="n"/>
      <c r="M123" s="23" t="n"/>
      <c r="N123" s="23" t="n"/>
      <c r="O123" s="23" t="n"/>
      <c r="P123" s="23" t="n"/>
    </row>
    <row r="124">
      <c r="A124" s="23" t="n"/>
      <c r="B124" s="23" t="n"/>
      <c r="C124" s="6" t="n"/>
      <c r="D124" s="23" t="n"/>
      <c r="E124" s="23" t="n"/>
      <c r="F124" s="23" t="n"/>
      <c r="G124" s="23" t="n"/>
      <c r="H124" s="7" t="n"/>
      <c r="I124" s="23" t="n"/>
      <c r="J124" s="23" t="n"/>
      <c r="K124" s="8" t="n"/>
      <c r="L124" s="8" t="n"/>
      <c r="M124" s="23" t="n"/>
      <c r="N124" s="23" t="n"/>
      <c r="O124" s="23" t="n"/>
      <c r="P124" s="23" t="n"/>
    </row>
    <row r="125">
      <c r="A125" s="23" t="n"/>
      <c r="B125" s="23" t="n"/>
      <c r="C125" s="6" t="n"/>
      <c r="D125" s="23" t="n"/>
      <c r="E125" s="23" t="n"/>
      <c r="F125" s="23" t="n"/>
      <c r="G125" s="23" t="n"/>
      <c r="H125" s="7" t="n"/>
      <c r="I125" s="23" t="n"/>
      <c r="J125" s="23" t="n"/>
      <c r="K125" s="8" t="n"/>
      <c r="L125" s="8" t="n"/>
      <c r="M125" s="23" t="n"/>
      <c r="N125" s="23" t="n"/>
      <c r="O125" s="23" t="n"/>
      <c r="P125" s="23" t="n"/>
    </row>
    <row r="126">
      <c r="A126" s="23" t="n"/>
      <c r="B126" s="23" t="n"/>
      <c r="C126" s="6" t="n"/>
      <c r="D126" s="23" t="n"/>
      <c r="E126" s="23" t="n"/>
      <c r="F126" s="23" t="n"/>
      <c r="G126" s="23" t="n"/>
      <c r="H126" s="7" t="n"/>
      <c r="I126" s="23" t="n"/>
      <c r="J126" s="23" t="n"/>
      <c r="K126" s="8" t="n"/>
      <c r="L126" s="8" t="n"/>
      <c r="M126" s="23" t="n"/>
      <c r="N126" s="23" t="n"/>
      <c r="O126" s="23" t="n"/>
      <c r="P126" s="23" t="n"/>
    </row>
    <row r="127">
      <c r="A127" s="23" t="n"/>
      <c r="B127" s="23" t="n"/>
      <c r="C127" s="6" t="n"/>
      <c r="D127" s="23" t="n"/>
      <c r="E127" s="23" t="n"/>
      <c r="F127" s="23" t="n"/>
      <c r="G127" s="23" t="n"/>
      <c r="H127" s="7" t="n"/>
      <c r="I127" s="23" t="n"/>
      <c r="J127" s="23" t="n"/>
      <c r="K127" s="8" t="n"/>
      <c r="L127" s="8" t="n"/>
      <c r="M127" s="23" t="n"/>
      <c r="N127" s="23" t="n"/>
      <c r="O127" s="23" t="n"/>
      <c r="P127" s="23" t="n"/>
    </row>
    <row r="128">
      <c r="A128" s="23" t="n"/>
      <c r="B128" s="23" t="n"/>
      <c r="C128" s="6" t="n"/>
      <c r="D128" s="23" t="n"/>
      <c r="E128" s="23" t="n"/>
      <c r="F128" s="23" t="n"/>
      <c r="G128" s="23" t="n"/>
      <c r="H128" s="7" t="n"/>
      <c r="I128" s="23" t="n"/>
      <c r="J128" s="23" t="n"/>
      <c r="K128" s="8" t="n"/>
      <c r="L128" s="8" t="n"/>
      <c r="M128" s="23" t="n"/>
      <c r="N128" s="23" t="n"/>
      <c r="O128" s="23" t="n"/>
      <c r="P128" s="23" t="n"/>
    </row>
    <row r="129">
      <c r="A129" s="23" t="n"/>
      <c r="B129" s="23" t="n"/>
      <c r="C129" s="6" t="n"/>
      <c r="D129" s="23" t="n"/>
      <c r="E129" s="23" t="n"/>
      <c r="F129" s="23" t="n"/>
      <c r="G129" s="23" t="n"/>
      <c r="H129" s="7" t="n"/>
      <c r="I129" s="23" t="n"/>
      <c r="J129" s="23" t="n"/>
      <c r="K129" s="8" t="n"/>
      <c r="L129" s="8" t="n"/>
      <c r="M129" s="23" t="n"/>
      <c r="N129" s="23" t="n"/>
      <c r="O129" s="23" t="n"/>
      <c r="P129" s="23" t="n"/>
    </row>
    <row r="130">
      <c r="A130" s="23" t="n"/>
      <c r="B130" s="23" t="n"/>
      <c r="C130" s="6" t="n"/>
      <c r="D130" s="23" t="n"/>
      <c r="E130" s="23" t="n"/>
      <c r="F130" s="23" t="n"/>
      <c r="G130" s="23" t="n"/>
      <c r="H130" s="7" t="n"/>
      <c r="I130" s="23" t="n"/>
      <c r="J130" s="23" t="n"/>
      <c r="K130" s="8" t="n"/>
      <c r="L130" s="8" t="n"/>
      <c r="M130" s="23" t="n"/>
      <c r="N130" s="23" t="n"/>
      <c r="O130" s="23" t="n"/>
      <c r="P130" s="23" t="n"/>
    </row>
    <row r="131">
      <c r="A131" s="23" t="n"/>
      <c r="B131" s="23" t="n"/>
      <c r="C131" s="6" t="n"/>
      <c r="D131" s="23" t="n"/>
      <c r="E131" s="23" t="n"/>
      <c r="F131" s="23" t="n"/>
      <c r="G131" s="23" t="n"/>
      <c r="H131" s="7" t="n"/>
      <c r="I131" s="23" t="n"/>
      <c r="J131" s="23" t="n"/>
      <c r="K131" s="8" t="n"/>
      <c r="L131" s="8" t="n"/>
      <c r="M131" s="23" t="n"/>
      <c r="N131" s="23" t="n"/>
      <c r="O131" s="23" t="n"/>
      <c r="P131" s="23" t="n"/>
    </row>
    <row r="132">
      <c r="A132" s="23" t="n"/>
      <c r="B132" s="23" t="n"/>
      <c r="C132" s="6" t="n"/>
      <c r="D132" s="23" t="n"/>
      <c r="E132" s="23" t="n"/>
      <c r="F132" s="23" t="n"/>
      <c r="G132" s="23" t="n"/>
      <c r="H132" s="7" t="n"/>
      <c r="I132" s="23" t="n"/>
      <c r="J132" s="23" t="n"/>
      <c r="K132" s="8" t="n"/>
      <c r="L132" s="8" t="n"/>
      <c r="M132" s="23" t="n"/>
      <c r="N132" s="23" t="n"/>
      <c r="O132" s="23" t="n"/>
      <c r="P132" s="23" t="n"/>
    </row>
    <row r="133">
      <c r="A133" s="23" t="n"/>
      <c r="B133" s="23" t="n"/>
      <c r="C133" s="6" t="n"/>
      <c r="D133" s="23" t="n"/>
      <c r="E133" s="23" t="n"/>
      <c r="F133" s="23" t="n"/>
      <c r="G133" s="23" t="n"/>
      <c r="H133" s="7" t="n"/>
      <c r="I133" s="23" t="n"/>
      <c r="J133" s="23" t="n"/>
      <c r="K133" s="8" t="n"/>
      <c r="L133" s="8" t="n"/>
      <c r="M133" s="23" t="n"/>
      <c r="N133" s="23" t="n"/>
      <c r="O133" s="23" t="n"/>
      <c r="P133" s="23" t="n"/>
    </row>
    <row r="134">
      <c r="A134" s="23" t="n"/>
      <c r="B134" s="23" t="n"/>
      <c r="C134" s="6" t="n"/>
      <c r="D134" s="23" t="n"/>
      <c r="E134" s="23" t="n"/>
      <c r="F134" s="23" t="n"/>
      <c r="G134" s="23" t="n"/>
      <c r="H134" s="7" t="n"/>
      <c r="I134" s="23" t="n"/>
      <c r="J134" s="23" t="n"/>
      <c r="K134" s="8" t="n"/>
      <c r="L134" s="8" t="n"/>
      <c r="M134" s="23" t="n"/>
      <c r="N134" s="23" t="n"/>
      <c r="O134" s="23" t="n"/>
      <c r="P134" s="23" t="n"/>
    </row>
    <row r="135">
      <c r="A135" s="23" t="n"/>
      <c r="B135" s="23" t="n"/>
      <c r="C135" s="6" t="n"/>
      <c r="D135" s="23" t="n"/>
      <c r="E135" s="23" t="n"/>
      <c r="F135" s="23" t="n"/>
      <c r="G135" s="23" t="n"/>
      <c r="H135" s="7" t="n"/>
      <c r="I135" s="23" t="n"/>
      <c r="J135" s="23" t="n"/>
      <c r="K135" s="8" t="n"/>
      <c r="L135" s="8" t="n"/>
      <c r="M135" s="23" t="n"/>
      <c r="N135" s="23" t="n"/>
      <c r="O135" s="23" t="n"/>
      <c r="P135" s="23" t="n"/>
    </row>
    <row r="136">
      <c r="A136" s="23" t="n"/>
      <c r="B136" s="23" t="n"/>
      <c r="C136" s="6" t="n"/>
      <c r="D136" s="23" t="n"/>
      <c r="E136" s="23" t="n"/>
      <c r="F136" s="23" t="n"/>
      <c r="G136" s="23" t="n"/>
      <c r="H136" s="7" t="n"/>
      <c r="I136" s="23" t="n"/>
      <c r="J136" s="23" t="n"/>
      <c r="K136" s="8" t="n"/>
      <c r="L136" s="8" t="n"/>
      <c r="M136" s="23" t="n"/>
      <c r="N136" s="23" t="n"/>
      <c r="O136" s="23" t="n"/>
      <c r="P136" s="23" t="n"/>
    </row>
    <row r="137">
      <c r="A137" s="23" t="n"/>
      <c r="B137" s="23" t="n"/>
      <c r="C137" s="6" t="n"/>
      <c r="D137" s="23" t="n"/>
      <c r="E137" s="23" t="n"/>
      <c r="F137" s="23" t="n"/>
      <c r="G137" s="23" t="n"/>
      <c r="H137" s="7" t="n"/>
      <c r="I137" s="23" t="n"/>
      <c r="J137" s="23" t="n"/>
      <c r="K137" s="8" t="n"/>
      <c r="L137" s="8" t="n"/>
      <c r="M137" s="23" t="n"/>
      <c r="N137" s="23" t="n"/>
      <c r="O137" s="23" t="n"/>
      <c r="P137" s="23" t="n"/>
    </row>
    <row r="138">
      <c r="A138" s="23" t="n"/>
      <c r="B138" s="23" t="n"/>
      <c r="C138" s="6" t="n"/>
      <c r="D138" s="23" t="n"/>
      <c r="E138" s="23" t="n"/>
      <c r="F138" s="23" t="n"/>
      <c r="G138" s="23" t="n"/>
      <c r="H138" s="7" t="n"/>
      <c r="I138" s="23" t="n"/>
      <c r="J138" s="23" t="n"/>
      <c r="K138" s="8" t="n"/>
      <c r="L138" s="8" t="n"/>
      <c r="M138" s="23" t="n"/>
      <c r="N138" s="23" t="n"/>
      <c r="O138" s="23" t="n"/>
      <c r="P138" s="23" t="n"/>
    </row>
    <row r="139">
      <c r="A139" s="23" t="n"/>
      <c r="B139" s="23" t="n"/>
      <c r="C139" s="6" t="n"/>
      <c r="D139" s="23" t="n"/>
      <c r="E139" s="23" t="n"/>
      <c r="F139" s="23" t="n"/>
      <c r="G139" s="23" t="n"/>
      <c r="H139" s="7" t="n"/>
      <c r="I139" s="23" t="n"/>
      <c r="J139" s="23" t="n"/>
      <c r="K139" s="8" t="n"/>
      <c r="L139" s="8" t="n"/>
      <c r="M139" s="23" t="n"/>
      <c r="N139" s="23" t="n"/>
      <c r="O139" s="23" t="n"/>
      <c r="P139" s="23" t="n"/>
    </row>
    <row r="140">
      <c r="A140" s="23" t="n"/>
      <c r="B140" s="23" t="n"/>
      <c r="C140" s="6" t="n"/>
      <c r="D140" s="23" t="n"/>
      <c r="E140" s="23" t="n"/>
      <c r="F140" s="23" t="n"/>
      <c r="G140" s="23" t="n"/>
      <c r="H140" s="7" t="n"/>
      <c r="I140" s="23" t="n"/>
      <c r="J140" s="23" t="n"/>
      <c r="K140" s="8" t="n"/>
      <c r="L140" s="8" t="n"/>
      <c r="M140" s="23" t="n"/>
      <c r="N140" s="23" t="n"/>
      <c r="O140" s="23" t="n"/>
      <c r="P140" s="23" t="n"/>
    </row>
    <row r="141">
      <c r="A141" s="23" t="n"/>
      <c r="B141" s="23" t="n"/>
      <c r="C141" s="6" t="n"/>
      <c r="D141" s="23" t="n"/>
      <c r="E141" s="23" t="n"/>
      <c r="F141" s="23" t="n"/>
      <c r="G141" s="23" t="n"/>
      <c r="H141" s="7" t="n"/>
      <c r="I141" s="23" t="n"/>
      <c r="J141" s="23" t="n"/>
      <c r="K141" s="8" t="n"/>
      <c r="L141" s="8" t="n"/>
      <c r="M141" s="23" t="n"/>
      <c r="N141" s="23" t="n"/>
      <c r="O141" s="23" t="n"/>
      <c r="P141" s="23" t="n"/>
    </row>
    <row r="142">
      <c r="A142" s="23" t="n"/>
      <c r="B142" s="23" t="n"/>
      <c r="C142" s="6" t="n"/>
      <c r="D142" s="23" t="n"/>
      <c r="E142" s="23" t="n"/>
      <c r="F142" s="23" t="n"/>
      <c r="G142" s="23" t="n"/>
      <c r="H142" s="7" t="n"/>
      <c r="I142" s="23" t="n"/>
      <c r="J142" s="23" t="n"/>
      <c r="K142" s="8" t="n"/>
      <c r="L142" s="8" t="n"/>
      <c r="M142" s="23" t="n"/>
      <c r="N142" s="23" t="n"/>
      <c r="O142" s="23" t="n"/>
      <c r="P142" s="23" t="n"/>
    </row>
    <row r="143">
      <c r="A143" s="23" t="n"/>
      <c r="B143" s="23" t="n"/>
      <c r="C143" s="6" t="n"/>
      <c r="D143" s="23" t="n"/>
      <c r="E143" s="23" t="n"/>
      <c r="F143" s="23" t="n"/>
      <c r="G143" s="23" t="n"/>
      <c r="H143" s="7" t="n"/>
      <c r="I143" s="23" t="n"/>
      <c r="J143" s="23" t="n"/>
      <c r="K143" s="8" t="n"/>
      <c r="L143" s="8" t="n"/>
      <c r="M143" s="23" t="n"/>
      <c r="N143" s="23" t="n"/>
      <c r="O143" s="23" t="n"/>
      <c r="P143" s="23" t="n"/>
    </row>
    <row r="144">
      <c r="A144" s="23" t="n"/>
      <c r="B144" s="23" t="n"/>
      <c r="C144" s="6" t="n"/>
      <c r="D144" s="23" t="n"/>
      <c r="E144" s="23" t="n"/>
      <c r="F144" s="23" t="n"/>
      <c r="G144" s="23" t="n"/>
      <c r="H144" s="7" t="n"/>
      <c r="I144" s="23" t="n"/>
      <c r="J144" s="23" t="n"/>
      <c r="K144" s="8" t="n"/>
      <c r="L144" s="8" t="n"/>
      <c r="M144" s="23" t="n"/>
      <c r="N144" s="23" t="n"/>
      <c r="O144" s="23" t="n"/>
      <c r="P144" s="23" t="n"/>
    </row>
    <row r="145">
      <c r="A145" s="23" t="n"/>
      <c r="B145" s="23" t="n"/>
      <c r="C145" s="6" t="n"/>
      <c r="D145" s="23" t="n"/>
      <c r="E145" s="23" t="n"/>
      <c r="F145" s="23" t="n"/>
      <c r="G145" s="23" t="n"/>
      <c r="H145" s="7" t="n"/>
      <c r="I145" s="23" t="n"/>
      <c r="J145" s="23" t="n"/>
      <c r="K145" s="8" t="n"/>
      <c r="L145" s="8" t="n"/>
      <c r="M145" s="23" t="n"/>
      <c r="N145" s="23" t="n"/>
      <c r="O145" s="23" t="n"/>
      <c r="P145" s="23" t="n"/>
    </row>
    <row r="146">
      <c r="A146" s="23" t="n"/>
      <c r="B146" s="23" t="n"/>
      <c r="C146" s="6" t="n"/>
      <c r="D146" s="23" t="n"/>
      <c r="E146" s="23" t="n"/>
      <c r="F146" s="23" t="n"/>
      <c r="G146" s="23" t="n"/>
      <c r="H146" s="7" t="n"/>
      <c r="I146" s="23" t="n"/>
      <c r="J146" s="23" t="n"/>
      <c r="K146" s="8" t="n"/>
      <c r="L146" s="8" t="n"/>
      <c r="M146" s="23" t="n"/>
      <c r="N146" s="23" t="n"/>
      <c r="O146" s="23" t="n"/>
      <c r="P146" s="23" t="n"/>
    </row>
    <row r="147">
      <c r="A147" s="23" t="n"/>
      <c r="B147" s="23" t="n"/>
      <c r="C147" s="6" t="n"/>
      <c r="D147" s="23" t="n"/>
      <c r="E147" s="23" t="n"/>
      <c r="F147" s="23" t="n"/>
      <c r="G147" s="23" t="n"/>
      <c r="H147" s="7" t="n"/>
      <c r="I147" s="23" t="n"/>
      <c r="J147" s="23" t="n"/>
      <c r="K147" s="8" t="n"/>
      <c r="L147" s="8" t="n"/>
      <c r="M147" s="23" t="n"/>
      <c r="N147" s="23" t="n"/>
      <c r="O147" s="23" t="n"/>
      <c r="P147" s="23" t="n"/>
    </row>
    <row r="148">
      <c r="A148" s="23" t="n"/>
      <c r="B148" s="23" t="n"/>
      <c r="C148" s="6" t="n"/>
      <c r="D148" s="23" t="n"/>
      <c r="E148" s="23" t="n"/>
      <c r="F148" s="23" t="n"/>
      <c r="G148" s="23" t="n"/>
      <c r="H148" s="7" t="n"/>
      <c r="I148" s="23" t="n"/>
      <c r="J148" s="23" t="n"/>
      <c r="K148" s="8" t="n"/>
      <c r="L148" s="8" t="n"/>
      <c r="M148" s="23" t="n"/>
      <c r="N148" s="23" t="n"/>
      <c r="O148" s="23" t="n"/>
      <c r="P148" s="23" t="n"/>
    </row>
    <row r="149">
      <c r="A149" s="23" t="n"/>
      <c r="B149" s="23" t="n"/>
      <c r="C149" s="6" t="n"/>
      <c r="D149" s="23" t="n"/>
      <c r="E149" s="23" t="n"/>
      <c r="F149" s="23" t="n"/>
      <c r="G149" s="23" t="n"/>
      <c r="H149" s="7" t="n"/>
      <c r="I149" s="23" t="n"/>
      <c r="J149" s="23" t="n"/>
      <c r="K149" s="8" t="n"/>
      <c r="L149" s="8" t="n"/>
      <c r="M149" s="23" t="n"/>
      <c r="N149" s="23" t="n"/>
      <c r="O149" s="23" t="n"/>
      <c r="P149" s="23" t="n"/>
    </row>
    <row r="150">
      <c r="A150" s="23" t="n"/>
      <c r="B150" s="23" t="n"/>
      <c r="C150" s="6" t="n"/>
      <c r="D150" s="23" t="n"/>
      <c r="E150" s="23" t="n"/>
      <c r="F150" s="23" t="n"/>
      <c r="G150" s="23" t="n"/>
      <c r="H150" s="7" t="n"/>
      <c r="I150" s="23" t="n"/>
      <c r="J150" s="23" t="n"/>
      <c r="K150" s="8" t="n"/>
      <c r="L150" s="8" t="n"/>
      <c r="M150" s="23" t="n"/>
      <c r="N150" s="23" t="n"/>
      <c r="O150" s="23" t="n"/>
      <c r="P150" s="23" t="n"/>
    </row>
    <row r="151">
      <c r="A151" s="23" t="n"/>
      <c r="B151" s="23" t="n"/>
      <c r="C151" s="6" t="n"/>
      <c r="D151" s="23" t="n"/>
      <c r="E151" s="23" t="n"/>
      <c r="F151" s="23" t="n"/>
      <c r="G151" s="23" t="n"/>
      <c r="H151" s="7" t="n"/>
      <c r="I151" s="23" t="n"/>
      <c r="J151" s="23" t="n"/>
      <c r="K151" s="8" t="n"/>
      <c r="L151" s="8" t="n"/>
      <c r="M151" s="23" t="n"/>
      <c r="N151" s="23" t="n"/>
      <c r="O151" s="23" t="n"/>
      <c r="P151" s="23" t="n"/>
    </row>
    <row r="152">
      <c r="A152" s="23" t="n"/>
      <c r="B152" s="23" t="n"/>
      <c r="C152" s="6" t="n"/>
      <c r="D152" s="23" t="n"/>
      <c r="E152" s="23" t="n"/>
      <c r="F152" s="23" t="n"/>
      <c r="G152" s="23" t="n"/>
      <c r="H152" s="7" t="n"/>
      <c r="I152" s="23" t="n"/>
      <c r="J152" s="23" t="n"/>
      <c r="K152" s="8" t="n"/>
      <c r="L152" s="8" t="n"/>
      <c r="M152" s="23" t="n"/>
      <c r="N152" s="23" t="n"/>
      <c r="O152" s="23" t="n"/>
      <c r="P152" s="23" t="n"/>
    </row>
    <row r="153">
      <c r="A153" s="23" t="n"/>
      <c r="B153" s="23" t="n"/>
      <c r="C153" s="6" t="n"/>
      <c r="D153" s="23" t="n"/>
      <c r="E153" s="23" t="n"/>
      <c r="F153" s="23" t="n"/>
      <c r="G153" s="23" t="n"/>
      <c r="H153" s="7" t="n"/>
      <c r="I153" s="23" t="n"/>
      <c r="J153" s="23" t="n"/>
      <c r="K153" s="8" t="n"/>
      <c r="L153" s="8" t="n"/>
      <c r="M153" s="23" t="n"/>
      <c r="N153" s="23" t="n"/>
      <c r="O153" s="23" t="n"/>
      <c r="P153" s="23" t="n"/>
    </row>
    <row r="154">
      <c r="A154" s="23" t="n"/>
      <c r="B154" s="23" t="n"/>
      <c r="C154" s="6" t="n"/>
      <c r="D154" s="23" t="n"/>
      <c r="E154" s="23" t="n"/>
      <c r="F154" s="23" t="n"/>
      <c r="G154" s="23" t="n"/>
      <c r="H154" s="7" t="n"/>
      <c r="I154" s="23" t="n"/>
      <c r="J154" s="23" t="n"/>
      <c r="K154" s="8" t="n"/>
      <c r="L154" s="8" t="n"/>
      <c r="M154" s="23" t="n"/>
      <c r="N154" s="23" t="n"/>
      <c r="O154" s="23" t="n"/>
      <c r="P154" s="23" t="n"/>
    </row>
    <row r="155">
      <c r="A155" s="23" t="n"/>
      <c r="B155" s="23" t="n"/>
      <c r="C155" s="6" t="n"/>
      <c r="D155" s="23" t="n"/>
      <c r="E155" s="23" t="n"/>
      <c r="F155" s="23" t="n"/>
      <c r="G155" s="23" t="n"/>
      <c r="H155" s="7" t="n"/>
      <c r="I155" s="23" t="n"/>
      <c r="J155" s="23" t="n"/>
      <c r="K155" s="8" t="n"/>
      <c r="L155" s="8" t="n"/>
      <c r="M155" s="23" t="n"/>
      <c r="N155" s="23" t="n"/>
      <c r="O155" s="23" t="n"/>
      <c r="P155" s="23" t="n"/>
    </row>
    <row r="156">
      <c r="A156" s="23" t="n"/>
      <c r="B156" s="23" t="n"/>
      <c r="C156" s="6" t="n"/>
      <c r="D156" s="23" t="n"/>
      <c r="E156" s="23" t="n"/>
      <c r="F156" s="23" t="n"/>
      <c r="G156" s="23" t="n"/>
      <c r="H156" s="7" t="n"/>
      <c r="I156" s="23" t="n"/>
      <c r="J156" s="23" t="n"/>
      <c r="K156" s="8" t="n"/>
      <c r="L156" s="8" t="n"/>
      <c r="M156" s="23" t="n"/>
      <c r="N156" s="23" t="n"/>
      <c r="O156" s="23" t="n"/>
      <c r="P156" s="23" t="n"/>
    </row>
    <row r="157">
      <c r="A157" s="23" t="n"/>
      <c r="B157" s="23" t="n"/>
      <c r="C157" s="6" t="n"/>
      <c r="D157" s="23" t="n"/>
      <c r="E157" s="23" t="n"/>
      <c r="F157" s="23" t="n"/>
      <c r="G157" s="23" t="n"/>
      <c r="H157" s="7" t="n"/>
      <c r="I157" s="23" t="n"/>
      <c r="J157" s="23" t="n"/>
      <c r="K157" s="8" t="n"/>
      <c r="L157" s="8" t="n"/>
      <c r="M157" s="23" t="n"/>
      <c r="N157" s="23" t="n"/>
      <c r="O157" s="23" t="n"/>
      <c r="P157" s="23" t="n"/>
    </row>
    <row r="158">
      <c r="A158" s="23" t="n"/>
      <c r="B158" s="23" t="n"/>
      <c r="C158" s="6" t="n"/>
      <c r="D158" s="23" t="n"/>
      <c r="E158" s="23" t="n"/>
      <c r="F158" s="23" t="n"/>
      <c r="G158" s="23" t="n"/>
      <c r="H158" s="7" t="n"/>
      <c r="I158" s="23" t="n"/>
      <c r="J158" s="23" t="n"/>
      <c r="K158" s="8" t="n"/>
      <c r="L158" s="8" t="n"/>
      <c r="M158" s="23" t="n"/>
      <c r="N158" s="23" t="n"/>
      <c r="O158" s="23" t="n"/>
      <c r="P158" s="23" t="n"/>
    </row>
    <row r="159">
      <c r="A159" s="23" t="n"/>
      <c r="B159" s="23" t="n"/>
      <c r="C159" s="6" t="n"/>
      <c r="D159" s="23" t="n"/>
      <c r="E159" s="23" t="n"/>
      <c r="F159" s="23" t="n"/>
      <c r="G159" s="23" t="n"/>
      <c r="H159" s="7" t="n"/>
      <c r="I159" s="23" t="n"/>
      <c r="J159" s="23" t="n"/>
      <c r="K159" s="8" t="n"/>
      <c r="L159" s="8" t="n"/>
      <c r="M159" s="23" t="n"/>
      <c r="N159" s="23" t="n"/>
      <c r="O159" s="23" t="n"/>
      <c r="P159" s="23" t="n"/>
    </row>
    <row r="160">
      <c r="A160" s="23" t="n"/>
      <c r="B160" s="23" t="n"/>
      <c r="C160" s="6" t="n"/>
      <c r="D160" s="23" t="n"/>
      <c r="E160" s="23" t="n"/>
      <c r="F160" s="23" t="n"/>
      <c r="G160" s="23" t="n"/>
      <c r="H160" s="7" t="n"/>
      <c r="I160" s="23" t="n"/>
      <c r="J160" s="23" t="n"/>
      <c r="K160" s="8" t="n"/>
      <c r="L160" s="8" t="n"/>
      <c r="M160" s="23" t="n"/>
      <c r="N160" s="23" t="n"/>
      <c r="O160" s="23" t="n"/>
      <c r="P160" s="23" t="n"/>
    </row>
    <row r="161">
      <c r="A161" s="23" t="n"/>
      <c r="B161" s="23" t="n"/>
      <c r="C161" s="6" t="n"/>
      <c r="D161" s="23" t="n"/>
      <c r="E161" s="23" t="n"/>
      <c r="F161" s="23" t="n"/>
      <c r="G161" s="23" t="n"/>
      <c r="H161" s="7" t="n"/>
      <c r="I161" s="23" t="n"/>
      <c r="J161" s="23" t="n"/>
      <c r="K161" s="8" t="n"/>
      <c r="L161" s="8" t="n"/>
      <c r="M161" s="23" t="n"/>
      <c r="N161" s="23" t="n"/>
      <c r="O161" s="23" t="n"/>
      <c r="P161" s="23" t="n"/>
    </row>
    <row r="162">
      <c r="A162" s="23" t="n"/>
      <c r="B162" s="23" t="n"/>
      <c r="C162" s="6" t="n"/>
      <c r="D162" s="23" t="n"/>
      <c r="E162" s="23" t="n"/>
      <c r="F162" s="23" t="n"/>
      <c r="G162" s="23" t="n"/>
      <c r="H162" s="7" t="n"/>
      <c r="I162" s="23" t="n"/>
      <c r="J162" s="23" t="n"/>
      <c r="K162" s="8" t="n"/>
      <c r="L162" s="8" t="n"/>
      <c r="M162" s="23" t="n"/>
      <c r="N162" s="23" t="n"/>
      <c r="O162" s="23" t="n"/>
      <c r="P162" s="23" t="n"/>
    </row>
    <row r="163">
      <c r="A163" s="23" t="n"/>
      <c r="B163" s="23" t="n"/>
      <c r="C163" s="6" t="n"/>
      <c r="D163" s="23" t="n"/>
      <c r="E163" s="23" t="n"/>
      <c r="F163" s="23" t="n"/>
      <c r="G163" s="23" t="n"/>
      <c r="H163" s="7" t="n"/>
      <c r="I163" s="23" t="n"/>
      <c r="J163" s="23" t="n"/>
      <c r="K163" s="8" t="n"/>
      <c r="L163" s="8" t="n"/>
      <c r="M163" s="23" t="n"/>
      <c r="N163" s="23" t="n"/>
      <c r="O163" s="23" t="n"/>
      <c r="P163" s="23" t="n"/>
    </row>
    <row r="164">
      <c r="A164" s="23" t="n"/>
      <c r="B164" s="23" t="n"/>
      <c r="C164" s="6" t="n"/>
      <c r="D164" s="23" t="n"/>
      <c r="E164" s="23" t="n"/>
      <c r="F164" s="23" t="n"/>
      <c r="G164" s="23" t="n"/>
      <c r="H164" s="7" t="n"/>
      <c r="I164" s="23" t="n"/>
      <c r="J164" s="23" t="n"/>
      <c r="K164" s="8" t="n"/>
      <c r="L164" s="8" t="n"/>
      <c r="M164" s="23" t="n"/>
      <c r="N164" s="23" t="n"/>
      <c r="O164" s="23" t="n"/>
      <c r="P164" s="23" t="n"/>
    </row>
    <row r="165">
      <c r="A165" s="23" t="n"/>
      <c r="B165" s="23" t="n"/>
      <c r="C165" s="6" t="n"/>
      <c r="D165" s="23" t="n"/>
      <c r="E165" s="23" t="n"/>
      <c r="F165" s="23" t="n"/>
      <c r="G165" s="23" t="n"/>
      <c r="H165" s="7" t="n"/>
      <c r="I165" s="23" t="n"/>
      <c r="J165" s="23" t="n"/>
      <c r="K165" s="8" t="n"/>
      <c r="L165" s="8" t="n"/>
      <c r="M165" s="23" t="n"/>
      <c r="N165" s="23" t="n"/>
      <c r="O165" s="23" t="n"/>
      <c r="P165" s="23" t="n"/>
    </row>
    <row r="166">
      <c r="A166" s="23" t="n"/>
      <c r="B166" s="23" t="n"/>
      <c r="C166" s="6" t="n"/>
      <c r="D166" s="23" t="n"/>
      <c r="E166" s="23" t="n"/>
      <c r="F166" s="23" t="n"/>
      <c r="G166" s="23" t="n"/>
      <c r="H166" s="7" t="n"/>
      <c r="I166" s="23" t="n"/>
      <c r="J166" s="23" t="n"/>
      <c r="K166" s="8" t="n"/>
      <c r="L166" s="8" t="n"/>
      <c r="M166" s="23" t="n"/>
      <c r="N166" s="23" t="n"/>
      <c r="O166" s="23" t="n"/>
      <c r="P166" s="23" t="n"/>
    </row>
    <row r="167">
      <c r="A167" s="23" t="n"/>
      <c r="B167" s="23" t="n"/>
      <c r="C167" s="6" t="n"/>
      <c r="D167" s="23" t="n"/>
      <c r="E167" s="23" t="n"/>
      <c r="F167" s="23" t="n"/>
      <c r="G167" s="23" t="n"/>
      <c r="H167" s="7" t="n"/>
      <c r="I167" s="23" t="n"/>
      <c r="J167" s="23" t="n"/>
      <c r="K167" s="8" t="n"/>
      <c r="L167" s="8" t="n"/>
      <c r="M167" s="23" t="n"/>
      <c r="N167" s="23" t="n"/>
      <c r="O167" s="23" t="n"/>
      <c r="P167" s="23" t="n"/>
    </row>
    <row r="168">
      <c r="A168" s="23" t="n"/>
      <c r="B168" s="23" t="n"/>
      <c r="C168" s="6" t="n"/>
      <c r="D168" s="23" t="n"/>
      <c r="E168" s="23" t="n"/>
      <c r="F168" s="23" t="n"/>
      <c r="G168" s="23" t="n"/>
      <c r="H168" s="7" t="n"/>
      <c r="I168" s="23" t="n"/>
      <c r="J168" s="23" t="n"/>
      <c r="K168" s="8" t="n"/>
      <c r="L168" s="8" t="n"/>
      <c r="M168" s="23" t="n"/>
      <c r="N168" s="23" t="n"/>
      <c r="O168" s="23" t="n"/>
      <c r="P168" s="23" t="n"/>
    </row>
    <row r="169">
      <c r="A169" s="23" t="n"/>
      <c r="B169" s="23" t="n"/>
      <c r="C169" s="6" t="n"/>
      <c r="D169" s="23" t="n"/>
      <c r="E169" s="23" t="n"/>
      <c r="F169" s="23" t="n"/>
      <c r="G169" s="23" t="n"/>
      <c r="H169" s="7" t="n"/>
      <c r="I169" s="23" t="n"/>
      <c r="J169" s="23" t="n"/>
      <c r="K169" s="8" t="n"/>
      <c r="L169" s="8" t="n"/>
      <c r="M169" s="23" t="n"/>
      <c r="N169" s="23" t="n"/>
      <c r="O169" s="23" t="n"/>
      <c r="P169" s="23" t="n"/>
    </row>
    <row r="170">
      <c r="A170" s="23" t="n"/>
      <c r="B170" s="23" t="n"/>
      <c r="C170" s="6" t="n"/>
      <c r="D170" s="23" t="n"/>
      <c r="E170" s="23" t="n"/>
      <c r="F170" s="23" t="n"/>
      <c r="G170" s="23" t="n"/>
      <c r="H170" s="7" t="n"/>
      <c r="I170" s="23" t="n"/>
      <c r="J170" s="23" t="n"/>
      <c r="K170" s="8" t="n"/>
      <c r="L170" s="8" t="n"/>
      <c r="M170" s="23" t="n"/>
      <c r="N170" s="23" t="n"/>
      <c r="O170" s="23" t="n"/>
      <c r="P170" s="23" t="n"/>
    </row>
    <row r="171">
      <c r="A171" s="23" t="n"/>
      <c r="B171" s="23" t="n"/>
      <c r="C171" s="6" t="n"/>
      <c r="D171" s="23" t="n"/>
      <c r="E171" s="23" t="n"/>
      <c r="F171" s="23" t="n"/>
      <c r="G171" s="23" t="n"/>
      <c r="H171" s="7" t="n"/>
      <c r="I171" s="23" t="n"/>
      <c r="J171" s="23" t="n"/>
      <c r="K171" s="8" t="n"/>
      <c r="L171" s="8" t="n"/>
      <c r="M171" s="23" t="n"/>
      <c r="N171" s="23" t="n"/>
      <c r="O171" s="23" t="n"/>
      <c r="P171" s="23" t="n"/>
    </row>
    <row r="172">
      <c r="A172" s="23" t="n"/>
      <c r="B172" s="23" t="n"/>
      <c r="C172" s="6" t="n"/>
      <c r="D172" s="23" t="n"/>
      <c r="E172" s="23" t="n"/>
      <c r="F172" s="23" t="n"/>
      <c r="G172" s="23" t="n"/>
      <c r="H172" s="7" t="n"/>
      <c r="I172" s="23" t="n"/>
      <c r="J172" s="23" t="n"/>
      <c r="K172" s="8" t="n"/>
      <c r="L172" s="8" t="n"/>
      <c r="M172" s="23" t="n"/>
      <c r="N172" s="23" t="n"/>
      <c r="O172" s="23" t="n"/>
      <c r="P172" s="23" t="n"/>
    </row>
    <row r="173">
      <c r="A173" s="23" t="n"/>
      <c r="B173" s="23" t="n"/>
      <c r="C173" s="6" t="n"/>
      <c r="D173" s="23" t="n"/>
      <c r="E173" s="23" t="n"/>
      <c r="F173" s="23" t="n"/>
      <c r="G173" s="23" t="n"/>
      <c r="H173" s="7" t="n"/>
      <c r="I173" s="23" t="n"/>
      <c r="J173" s="23" t="n"/>
      <c r="K173" s="8" t="n"/>
      <c r="L173" s="8" t="n"/>
      <c r="M173" s="23" t="n"/>
      <c r="N173" s="23" t="n"/>
      <c r="O173" s="23" t="n"/>
      <c r="P173" s="23" t="n"/>
    </row>
    <row r="174">
      <c r="A174" s="23" t="n"/>
      <c r="B174" s="23" t="n"/>
      <c r="C174" s="6" t="n"/>
      <c r="D174" s="23" t="n"/>
      <c r="E174" s="23" t="n"/>
      <c r="F174" s="23" t="n"/>
      <c r="G174" s="23" t="n"/>
      <c r="H174" s="7" t="n"/>
      <c r="I174" s="23" t="n"/>
      <c r="J174" s="23" t="n"/>
      <c r="K174" s="8" t="n"/>
      <c r="L174" s="8" t="n"/>
      <c r="M174" s="23" t="n"/>
      <c r="N174" s="23" t="n"/>
      <c r="O174" s="23" t="n"/>
      <c r="P174" s="23" t="n"/>
    </row>
    <row r="175">
      <c r="A175" s="23" t="n"/>
      <c r="B175" s="23" t="n"/>
      <c r="C175" s="6" t="n"/>
      <c r="D175" s="23" t="n"/>
      <c r="E175" s="23" t="n"/>
      <c r="F175" s="23" t="n"/>
      <c r="G175" s="23" t="n"/>
      <c r="H175" s="7" t="n"/>
      <c r="I175" s="23" t="n"/>
      <c r="J175" s="23" t="n"/>
      <c r="K175" s="8" t="n"/>
      <c r="L175" s="8" t="n"/>
      <c r="M175" s="23" t="n"/>
      <c r="N175" s="23" t="n"/>
      <c r="O175" s="23" t="n"/>
      <c r="P175" s="23" t="n"/>
    </row>
    <row r="176">
      <c r="A176" s="23" t="n"/>
      <c r="B176" s="23" t="n"/>
      <c r="C176" s="6" t="n"/>
      <c r="D176" s="23" t="n"/>
      <c r="E176" s="23" t="n"/>
      <c r="F176" s="23" t="n"/>
      <c r="G176" s="23" t="n"/>
      <c r="H176" s="7" t="n"/>
      <c r="I176" s="23" t="n"/>
      <c r="J176" s="23" t="n"/>
      <c r="K176" s="8" t="n"/>
      <c r="L176" s="8" t="n"/>
      <c r="M176" s="23" t="n"/>
      <c r="N176" s="23" t="n"/>
      <c r="O176" s="23" t="n"/>
      <c r="P176" s="23" t="n"/>
    </row>
    <row r="177">
      <c r="A177" s="23" t="n"/>
      <c r="B177" s="23" t="n"/>
      <c r="C177" s="6" t="n"/>
      <c r="D177" s="23" t="n"/>
      <c r="E177" s="23" t="n"/>
      <c r="F177" s="23" t="n"/>
      <c r="G177" s="23" t="n"/>
      <c r="H177" s="7" t="n"/>
      <c r="I177" s="23" t="n"/>
      <c r="J177" s="23" t="n"/>
      <c r="K177" s="8" t="n"/>
      <c r="L177" s="8" t="n"/>
      <c r="M177" s="23" t="n"/>
      <c r="N177" s="23" t="n"/>
      <c r="O177" s="23" t="n"/>
      <c r="P177" s="23" t="n"/>
    </row>
    <row r="178">
      <c r="A178" s="23" t="n"/>
      <c r="B178" s="23" t="n"/>
      <c r="C178" s="6" t="n"/>
      <c r="D178" s="23" t="n"/>
      <c r="E178" s="23" t="n"/>
      <c r="F178" s="23" t="n"/>
      <c r="G178" s="23" t="n"/>
      <c r="H178" s="7" t="n"/>
      <c r="I178" s="23" t="n"/>
      <c r="J178" s="23" t="n"/>
      <c r="K178" s="8" t="n"/>
      <c r="L178" s="8" t="n"/>
      <c r="M178" s="23" t="n"/>
      <c r="N178" s="23" t="n"/>
      <c r="O178" s="23" t="n"/>
      <c r="P178" s="23" t="n"/>
    </row>
    <row r="179">
      <c r="A179" s="23" t="n"/>
      <c r="B179" s="23" t="n"/>
      <c r="C179" s="6" t="n"/>
      <c r="D179" s="23" t="n"/>
      <c r="E179" s="23" t="n"/>
      <c r="F179" s="23" t="n"/>
      <c r="G179" s="23" t="n"/>
      <c r="H179" s="7" t="n"/>
      <c r="I179" s="23" t="n"/>
      <c r="J179" s="23" t="n"/>
      <c r="K179" s="8" t="n"/>
      <c r="L179" s="8" t="n"/>
      <c r="M179" s="23" t="n"/>
      <c r="N179" s="23" t="n"/>
      <c r="O179" s="23" t="n"/>
      <c r="P179" s="23" t="n"/>
    </row>
    <row r="180">
      <c r="A180" s="23" t="n"/>
      <c r="B180" s="23" t="n"/>
      <c r="C180" s="6" t="n"/>
      <c r="D180" s="23" t="n"/>
      <c r="E180" s="23" t="n"/>
      <c r="F180" s="23" t="n"/>
      <c r="G180" s="23" t="n"/>
      <c r="H180" s="7" t="n"/>
      <c r="I180" s="23" t="n"/>
      <c r="J180" s="23" t="n"/>
      <c r="K180" s="8" t="n"/>
      <c r="L180" s="8" t="n"/>
      <c r="M180" s="23" t="n"/>
      <c r="N180" s="23" t="n"/>
      <c r="O180" s="23" t="n"/>
      <c r="P180" s="23" t="n"/>
    </row>
    <row r="181">
      <c r="A181" s="23" t="n"/>
      <c r="B181" s="23" t="n"/>
      <c r="C181" s="6" t="n"/>
      <c r="D181" s="23" t="n"/>
      <c r="E181" s="23" t="n"/>
      <c r="F181" s="23" t="n"/>
      <c r="G181" s="23" t="n"/>
      <c r="H181" s="7" t="n"/>
      <c r="I181" s="23" t="n"/>
      <c r="J181" s="23" t="n"/>
      <c r="K181" s="8" t="n"/>
      <c r="L181" s="8" t="n"/>
      <c r="M181" s="23" t="n"/>
      <c r="N181" s="23" t="n"/>
      <c r="O181" s="23" t="n"/>
      <c r="P181" s="23" t="n"/>
    </row>
    <row r="182">
      <c r="A182" s="23" t="n"/>
      <c r="B182" s="23" t="n"/>
      <c r="C182" s="6" t="n"/>
      <c r="D182" s="23" t="n"/>
      <c r="E182" s="23" t="n"/>
      <c r="F182" s="23" t="n"/>
      <c r="G182" s="23" t="n"/>
      <c r="H182" s="7" t="n"/>
      <c r="I182" s="23" t="n"/>
      <c r="J182" s="23" t="n"/>
      <c r="K182" s="8" t="n"/>
      <c r="L182" s="8" t="n"/>
      <c r="M182" s="23" t="n"/>
      <c r="N182" s="23" t="n"/>
      <c r="O182" s="23" t="n"/>
      <c r="P182" s="23" t="n"/>
    </row>
    <row r="183">
      <c r="A183" s="23" t="n"/>
      <c r="B183" s="23" t="n"/>
      <c r="C183" s="6" t="n"/>
      <c r="D183" s="23" t="n"/>
      <c r="E183" s="23" t="n"/>
      <c r="F183" s="23" t="n"/>
      <c r="G183" s="23" t="n"/>
      <c r="H183" s="7" t="n"/>
      <c r="I183" s="23" t="n"/>
      <c r="J183" s="23" t="n"/>
      <c r="K183" s="8" t="n"/>
      <c r="L183" s="8" t="n"/>
      <c r="M183" s="23" t="n"/>
      <c r="N183" s="23" t="n"/>
      <c r="O183" s="23" t="n"/>
      <c r="P183" s="23" t="n"/>
    </row>
    <row r="184">
      <c r="A184" s="23" t="n"/>
      <c r="B184" s="23" t="n"/>
      <c r="C184" s="6" t="n"/>
      <c r="D184" s="23" t="n"/>
      <c r="E184" s="23" t="n"/>
      <c r="F184" s="23" t="n"/>
      <c r="G184" s="23" t="n"/>
      <c r="H184" s="7" t="n"/>
      <c r="I184" s="23" t="n"/>
      <c r="J184" s="23" t="n"/>
      <c r="K184" s="8" t="n"/>
      <c r="L184" s="8" t="n"/>
      <c r="M184" s="23" t="n"/>
      <c r="N184" s="23" t="n"/>
      <c r="O184" s="23" t="n"/>
      <c r="P184" s="23" t="n"/>
    </row>
    <row r="185">
      <c r="A185" s="23" t="n"/>
      <c r="B185" s="23" t="n"/>
      <c r="C185" s="6" t="n"/>
      <c r="D185" s="23" t="n"/>
      <c r="E185" s="23" t="n"/>
      <c r="F185" s="23" t="n"/>
      <c r="G185" s="23" t="n"/>
      <c r="H185" s="7" t="n"/>
      <c r="I185" s="23" t="n"/>
      <c r="J185" s="23" t="n"/>
      <c r="K185" s="8" t="n"/>
      <c r="L185" s="8" t="n"/>
      <c r="M185" s="23" t="n"/>
      <c r="N185" s="23" t="n"/>
      <c r="O185" s="23" t="n"/>
      <c r="P185" s="23" t="n"/>
    </row>
    <row r="186">
      <c r="A186" s="23" t="n"/>
      <c r="B186" s="23" t="n"/>
      <c r="C186" s="6" t="n"/>
      <c r="D186" s="23" t="n"/>
      <c r="E186" s="23" t="n"/>
      <c r="F186" s="23" t="n"/>
      <c r="G186" s="23" t="n"/>
      <c r="H186" s="7" t="n"/>
      <c r="I186" s="23" t="n"/>
      <c r="J186" s="23" t="n"/>
      <c r="K186" s="8" t="n"/>
      <c r="L186" s="8" t="n"/>
      <c r="M186" s="23" t="n"/>
      <c r="N186" s="23" t="n"/>
      <c r="O186" s="23" t="n"/>
      <c r="P186" s="23" t="n"/>
    </row>
    <row r="187">
      <c r="A187" s="23" t="n"/>
      <c r="B187" s="23" t="n"/>
      <c r="C187" s="6" t="n"/>
      <c r="D187" s="23" t="n"/>
      <c r="E187" s="23" t="n"/>
      <c r="F187" s="23" t="n"/>
      <c r="G187" s="23" t="n"/>
      <c r="H187" s="7" t="n"/>
      <c r="I187" s="23" t="n"/>
      <c r="J187" s="23" t="n"/>
      <c r="K187" s="8" t="n"/>
      <c r="L187" s="8" t="n"/>
      <c r="M187" s="23" t="n"/>
      <c r="N187" s="23" t="n"/>
      <c r="O187" s="23" t="n"/>
      <c r="P187" s="23" t="n"/>
    </row>
    <row r="188">
      <c r="A188" s="23" t="n"/>
      <c r="B188" s="23" t="n"/>
      <c r="C188" s="6" t="n"/>
      <c r="D188" s="23" t="n"/>
      <c r="E188" s="23" t="n"/>
      <c r="F188" s="23" t="n"/>
      <c r="G188" s="23" t="n"/>
      <c r="H188" s="7" t="n"/>
      <c r="I188" s="23" t="n"/>
      <c r="J188" s="23" t="n"/>
      <c r="K188" s="8" t="n"/>
      <c r="L188" s="8" t="n"/>
      <c r="M188" s="23" t="n"/>
      <c r="N188" s="23" t="n"/>
      <c r="O188" s="23" t="n"/>
      <c r="P188" s="23" t="n"/>
    </row>
    <row r="189">
      <c r="A189" s="23" t="n"/>
      <c r="B189" s="23" t="n"/>
      <c r="C189" s="6" t="n"/>
      <c r="D189" s="23" t="n"/>
      <c r="E189" s="23" t="n"/>
      <c r="F189" s="23" t="n"/>
      <c r="G189" s="23" t="n"/>
      <c r="H189" s="7" t="n"/>
      <c r="I189" s="23" t="n"/>
      <c r="J189" s="23" t="n"/>
      <c r="K189" s="8" t="n"/>
      <c r="L189" s="8" t="n"/>
      <c r="M189" s="23" t="n"/>
      <c r="N189" s="23" t="n"/>
      <c r="O189" s="23" t="n"/>
      <c r="P189" s="23" t="n"/>
    </row>
    <row r="190">
      <c r="A190" s="23" t="n"/>
      <c r="B190" s="23" t="n"/>
      <c r="C190" s="6" t="n"/>
      <c r="D190" s="23" t="n"/>
      <c r="E190" s="23" t="n"/>
      <c r="F190" s="23" t="n"/>
      <c r="G190" s="23" t="n"/>
      <c r="H190" s="7" t="n"/>
      <c r="I190" s="23" t="n"/>
      <c r="J190" s="23" t="n"/>
      <c r="K190" s="8" t="n"/>
      <c r="L190" s="8" t="n"/>
      <c r="M190" s="23" t="n"/>
      <c r="N190" s="23" t="n"/>
      <c r="O190" s="23" t="n"/>
      <c r="P190" s="23" t="n"/>
    </row>
    <row r="191">
      <c r="A191" s="23" t="n"/>
      <c r="B191" s="23" t="n"/>
      <c r="C191" s="6" t="n"/>
      <c r="D191" s="23" t="n"/>
      <c r="E191" s="23" t="n"/>
      <c r="F191" s="23" t="n"/>
      <c r="G191" s="23" t="n"/>
      <c r="H191" s="7" t="n"/>
      <c r="I191" s="23" t="n"/>
      <c r="J191" s="23" t="n"/>
      <c r="K191" s="8" t="n"/>
      <c r="L191" s="8" t="n"/>
      <c r="M191" s="23" t="n"/>
      <c r="N191" s="23" t="n"/>
      <c r="O191" s="23" t="n"/>
      <c r="P191" s="23" t="n"/>
    </row>
    <row r="192">
      <c r="A192" s="23" t="n"/>
      <c r="B192" s="23" t="n"/>
      <c r="C192" s="6" t="n"/>
      <c r="D192" s="23" t="n"/>
      <c r="E192" s="23" t="n"/>
      <c r="F192" s="23" t="n"/>
      <c r="G192" s="23" t="n"/>
      <c r="H192" s="7" t="n"/>
      <c r="I192" s="23" t="n"/>
      <c r="J192" s="23" t="n"/>
      <c r="K192" s="8" t="n"/>
      <c r="L192" s="8" t="n"/>
      <c r="M192" s="23" t="n"/>
      <c r="N192" s="23" t="n"/>
      <c r="O192" s="23" t="n"/>
      <c r="P192" s="23" t="n"/>
    </row>
    <row r="193">
      <c r="A193" s="23" t="n"/>
      <c r="B193" s="23" t="n"/>
      <c r="C193" s="6" t="n"/>
      <c r="D193" s="23" t="n"/>
      <c r="E193" s="23" t="n"/>
      <c r="F193" s="23" t="n"/>
      <c r="G193" s="23" t="n"/>
      <c r="H193" s="7" t="n"/>
      <c r="I193" s="23" t="n"/>
      <c r="J193" s="23" t="n"/>
      <c r="K193" s="8" t="n"/>
      <c r="L193" s="8" t="n"/>
      <c r="M193" s="23" t="n"/>
      <c r="N193" s="23" t="n"/>
      <c r="O193" s="23" t="n"/>
      <c r="P193" s="23" t="n"/>
    </row>
    <row r="194">
      <c r="A194" s="23" t="n"/>
      <c r="B194" s="23" t="n"/>
      <c r="C194" s="6" t="n"/>
      <c r="D194" s="23" t="n"/>
      <c r="E194" s="23" t="n"/>
      <c r="F194" s="23" t="n"/>
      <c r="G194" s="23" t="n"/>
      <c r="H194" s="7" t="n"/>
      <c r="I194" s="23" t="n"/>
      <c r="J194" s="23" t="n"/>
      <c r="K194" s="8" t="n"/>
      <c r="L194" s="8" t="n"/>
      <c r="M194" s="23" t="n"/>
      <c r="N194" s="23" t="n"/>
      <c r="O194" s="23" t="n"/>
      <c r="P194" s="23" t="n"/>
    </row>
    <row r="195">
      <c r="A195" s="23" t="n"/>
      <c r="B195" s="23" t="n"/>
      <c r="C195" s="6" t="n"/>
      <c r="D195" s="23" t="n"/>
      <c r="E195" s="23" t="n"/>
      <c r="F195" s="23" t="n"/>
      <c r="G195" s="23" t="n"/>
      <c r="H195" s="7" t="n"/>
      <c r="I195" s="23" t="n"/>
      <c r="J195" s="23" t="n"/>
      <c r="K195" s="8" t="n"/>
      <c r="L195" s="8" t="n"/>
      <c r="M195" s="23" t="n"/>
      <c r="N195" s="23" t="n"/>
      <c r="O195" s="23" t="n"/>
      <c r="P195" s="23" t="n"/>
    </row>
    <row r="196">
      <c r="A196" s="23" t="n"/>
      <c r="B196" s="23" t="n"/>
      <c r="C196" s="6" t="n"/>
      <c r="D196" s="23" t="n"/>
      <c r="E196" s="23" t="n"/>
      <c r="F196" s="23" t="n"/>
      <c r="G196" s="23" t="n"/>
      <c r="H196" s="7" t="n"/>
      <c r="I196" s="23" t="n"/>
      <c r="J196" s="23" t="n"/>
      <c r="K196" s="8" t="n"/>
      <c r="L196" s="8" t="n"/>
      <c r="M196" s="23" t="n"/>
      <c r="N196" s="23" t="n"/>
      <c r="O196" s="23" t="n"/>
      <c r="P196" s="23" t="n"/>
    </row>
    <row r="197">
      <c r="A197" s="23" t="n"/>
      <c r="B197" s="23" t="n"/>
      <c r="C197" s="6" t="n"/>
      <c r="D197" s="23" t="n"/>
      <c r="E197" s="23" t="n"/>
      <c r="F197" s="23" t="n"/>
      <c r="G197" s="23" t="n"/>
      <c r="H197" s="7" t="n"/>
      <c r="I197" s="23" t="n"/>
      <c r="J197" s="23" t="n"/>
      <c r="K197" s="8" t="n"/>
      <c r="L197" s="8" t="n"/>
      <c r="M197" s="23" t="n"/>
      <c r="N197" s="23" t="n"/>
      <c r="O197" s="23" t="n"/>
      <c r="P197" s="23" t="n"/>
    </row>
    <row r="198">
      <c r="A198" s="23" t="n"/>
      <c r="B198" s="23" t="n"/>
      <c r="C198" s="6" t="n"/>
      <c r="D198" s="23" t="n"/>
      <c r="E198" s="23" t="n"/>
      <c r="F198" s="23" t="n"/>
      <c r="G198" s="23" t="n"/>
      <c r="H198" s="7" t="n"/>
      <c r="I198" s="23" t="n"/>
      <c r="J198" s="23" t="n"/>
      <c r="K198" s="8" t="n"/>
      <c r="L198" s="8" t="n"/>
      <c r="M198" s="23" t="n"/>
      <c r="N198" s="23" t="n"/>
      <c r="O198" s="23" t="n"/>
      <c r="P198" s="23" t="n"/>
    </row>
    <row r="199">
      <c r="A199" s="23" t="n"/>
      <c r="B199" s="23" t="n"/>
      <c r="C199" s="6" t="n"/>
      <c r="D199" s="23" t="n"/>
      <c r="E199" s="23" t="n"/>
      <c r="F199" s="23" t="n"/>
      <c r="G199" s="23" t="n"/>
      <c r="H199" s="7" t="n"/>
      <c r="I199" s="23" t="n"/>
      <c r="J199" s="23" t="n"/>
      <c r="K199" s="8" t="n"/>
      <c r="L199" s="8" t="n"/>
      <c r="M199" s="23" t="n"/>
      <c r="N199" s="23" t="n"/>
      <c r="O199" s="23" t="n"/>
      <c r="P199" s="23" t="n"/>
    </row>
    <row r="200">
      <c r="A200" s="23" t="n"/>
      <c r="B200" s="23" t="n"/>
      <c r="C200" s="6" t="n"/>
      <c r="D200" s="23" t="n"/>
      <c r="E200" s="23" t="n"/>
      <c r="F200" s="23" t="n"/>
      <c r="G200" s="23" t="n"/>
      <c r="H200" s="7" t="n"/>
      <c r="I200" s="23" t="n"/>
      <c r="J200" s="23" t="n"/>
      <c r="K200" s="8" t="n"/>
      <c r="L200" s="8" t="n"/>
      <c r="M200" s="23" t="n"/>
      <c r="N200" s="23" t="n"/>
      <c r="O200" s="23" t="n"/>
      <c r="P200" s="23" t="n"/>
    </row>
    <row r="201">
      <c r="A201" s="23" t="n"/>
      <c r="B201" s="23" t="n"/>
      <c r="C201" s="6" t="n"/>
      <c r="D201" s="23" t="n"/>
      <c r="E201" s="23" t="n"/>
      <c r="F201" s="23" t="n"/>
      <c r="G201" s="23" t="n"/>
      <c r="H201" s="7" t="n"/>
      <c r="I201" s="23" t="n"/>
      <c r="J201" s="23" t="n"/>
      <c r="K201" s="8" t="n"/>
      <c r="L201" s="8" t="n"/>
      <c r="M201" s="23" t="n"/>
      <c r="N201" s="23" t="n"/>
      <c r="O201" s="23" t="n"/>
      <c r="P201" s="23" t="n"/>
    </row>
    <row r="202">
      <c r="A202" s="23" t="n"/>
      <c r="B202" s="23" t="n"/>
      <c r="C202" s="6" t="n"/>
      <c r="D202" s="23" t="n"/>
      <c r="E202" s="23" t="n"/>
      <c r="F202" s="23" t="n"/>
      <c r="G202" s="23" t="n"/>
      <c r="H202" s="7" t="n"/>
      <c r="I202" s="23" t="n"/>
      <c r="J202" s="23" t="n"/>
      <c r="K202" s="8" t="n"/>
      <c r="L202" s="8" t="n"/>
      <c r="M202" s="23" t="n"/>
      <c r="N202" s="23" t="n"/>
      <c r="O202" s="23" t="n"/>
      <c r="P202" s="23" t="n"/>
    </row>
    <row r="203">
      <c r="A203" s="23" t="n"/>
      <c r="B203" s="23" t="n"/>
      <c r="C203" s="6" t="n"/>
      <c r="D203" s="23" t="n"/>
      <c r="E203" s="23" t="n"/>
      <c r="F203" s="23" t="n"/>
      <c r="G203" s="23" t="n"/>
      <c r="H203" s="7" t="n"/>
      <c r="I203" s="23" t="n"/>
      <c r="J203" s="23" t="n"/>
      <c r="K203" s="8" t="n"/>
      <c r="L203" s="8" t="n"/>
      <c r="M203" s="23" t="n"/>
      <c r="N203" s="23" t="n"/>
      <c r="O203" s="23" t="n"/>
      <c r="P203" s="23" t="n"/>
    </row>
    <row r="204">
      <c r="A204" s="23" t="n"/>
      <c r="B204" s="23" t="n"/>
      <c r="C204" s="6" t="n"/>
      <c r="D204" s="23" t="n"/>
      <c r="E204" s="23" t="n"/>
      <c r="F204" s="23" t="n"/>
      <c r="G204" s="23" t="n"/>
      <c r="H204" s="7" t="n"/>
      <c r="I204" s="23" t="n"/>
      <c r="J204" s="23" t="n"/>
      <c r="K204" s="8" t="n"/>
      <c r="L204" s="8" t="n"/>
      <c r="M204" s="23" t="n"/>
      <c r="N204" s="23" t="n"/>
      <c r="O204" s="23" t="n"/>
      <c r="P204" s="23" t="n"/>
    </row>
    <row r="205">
      <c r="A205" s="23" t="n"/>
      <c r="B205" s="23" t="n"/>
      <c r="C205" s="6" t="n"/>
      <c r="D205" s="23" t="n"/>
      <c r="E205" s="23" t="n"/>
      <c r="F205" s="23" t="n"/>
      <c r="G205" s="23" t="n"/>
      <c r="H205" s="7" t="n"/>
      <c r="I205" s="23" t="n"/>
      <c r="J205" s="23" t="n"/>
      <c r="K205" s="8" t="n"/>
      <c r="L205" s="8" t="n"/>
      <c r="M205" s="23" t="n"/>
      <c r="N205" s="23" t="n"/>
      <c r="O205" s="23" t="n"/>
      <c r="P205" s="23" t="n"/>
    </row>
    <row r="206">
      <c r="A206" s="23" t="n"/>
      <c r="B206" s="23" t="n"/>
      <c r="C206" s="6" t="n"/>
      <c r="D206" s="23" t="n"/>
      <c r="E206" s="23" t="n"/>
      <c r="F206" s="23" t="n"/>
      <c r="G206" s="23" t="n"/>
      <c r="H206" s="7" t="n"/>
      <c r="I206" s="23" t="n"/>
      <c r="J206" s="23" t="n"/>
      <c r="K206" s="8" t="n"/>
      <c r="L206" s="8" t="n"/>
      <c r="M206" s="23" t="n"/>
      <c r="N206" s="23" t="n"/>
      <c r="O206" s="23" t="n"/>
      <c r="P206" s="23" t="n"/>
    </row>
    <row r="207">
      <c r="A207" s="23" t="n"/>
      <c r="B207" s="23" t="n"/>
      <c r="C207" s="6" t="n"/>
      <c r="D207" s="23" t="n"/>
      <c r="E207" s="23" t="n"/>
      <c r="F207" s="23" t="n"/>
      <c r="G207" s="23" t="n"/>
      <c r="H207" s="7" t="n"/>
      <c r="I207" s="23" t="n"/>
      <c r="J207" s="23" t="n"/>
      <c r="K207" s="8" t="n"/>
      <c r="L207" s="8" t="n"/>
      <c r="M207" s="23" t="n"/>
      <c r="N207" s="23" t="n"/>
      <c r="O207" s="23" t="n"/>
      <c r="P207" s="23" t="n"/>
    </row>
    <row r="208">
      <c r="A208" s="23" t="n"/>
      <c r="B208" s="23" t="n"/>
      <c r="C208" s="6" t="n"/>
      <c r="D208" s="23" t="n"/>
      <c r="E208" s="23" t="n"/>
      <c r="F208" s="23" t="n"/>
      <c r="G208" s="23" t="n"/>
      <c r="H208" s="7" t="n"/>
      <c r="I208" s="23" t="n"/>
      <c r="J208" s="23" t="n"/>
      <c r="K208" s="8" t="n"/>
      <c r="L208" s="8" t="n"/>
      <c r="M208" s="23" t="n"/>
      <c r="N208" s="23" t="n"/>
      <c r="O208" s="23" t="n"/>
      <c r="P208" s="23" t="n"/>
    </row>
    <row r="209">
      <c r="A209" s="23" t="n"/>
      <c r="B209" s="23" t="n"/>
      <c r="C209" s="6" t="n"/>
      <c r="D209" s="23" t="n"/>
      <c r="E209" s="23" t="n"/>
      <c r="F209" s="23" t="n"/>
      <c r="G209" s="23" t="n"/>
      <c r="H209" s="7" t="n"/>
      <c r="I209" s="23" t="n"/>
      <c r="J209" s="23" t="n"/>
      <c r="K209" s="8" t="n"/>
      <c r="L209" s="8" t="n"/>
      <c r="M209" s="23" t="n"/>
      <c r="N209" s="23" t="n"/>
      <c r="O209" s="23" t="n"/>
      <c r="P209" s="23" t="n"/>
    </row>
    <row r="210">
      <c r="A210" s="23" t="n"/>
      <c r="B210" s="23" t="n"/>
      <c r="C210" s="6" t="n"/>
      <c r="D210" s="23" t="n"/>
      <c r="E210" s="23" t="n"/>
      <c r="F210" s="23" t="n"/>
      <c r="G210" s="23" t="n"/>
      <c r="H210" s="7" t="n"/>
      <c r="I210" s="23" t="n"/>
      <c r="J210" s="23" t="n"/>
      <c r="K210" s="8" t="n"/>
      <c r="L210" s="8" t="n"/>
      <c r="M210" s="23" t="n"/>
      <c r="N210" s="23" t="n"/>
      <c r="O210" s="23" t="n"/>
      <c r="P210" s="23" t="n"/>
    </row>
    <row r="211">
      <c r="A211" s="23" t="n"/>
      <c r="B211" s="23" t="n"/>
      <c r="C211" s="6" t="n"/>
      <c r="D211" s="23" t="n"/>
      <c r="E211" s="23" t="n"/>
      <c r="F211" s="23" t="n"/>
      <c r="G211" s="23" t="n"/>
      <c r="H211" s="7" t="n"/>
      <c r="I211" s="23" t="n"/>
      <c r="J211" s="23" t="n"/>
      <c r="K211" s="8" t="n"/>
      <c r="L211" s="8" t="n"/>
      <c r="M211" s="23" t="n"/>
      <c r="N211" s="23" t="n"/>
      <c r="O211" s="23" t="n"/>
      <c r="P211" s="23" t="n"/>
    </row>
    <row r="212">
      <c r="A212" s="23" t="n"/>
      <c r="B212" s="23" t="n"/>
      <c r="C212" s="6" t="n"/>
      <c r="D212" s="23" t="n"/>
      <c r="E212" s="23" t="n"/>
      <c r="F212" s="23" t="n"/>
      <c r="G212" s="23" t="n"/>
      <c r="H212" s="7" t="n"/>
      <c r="I212" s="23" t="n"/>
      <c r="J212" s="23" t="n"/>
      <c r="K212" s="8" t="n"/>
      <c r="L212" s="8" t="n"/>
      <c r="M212" s="23" t="n"/>
      <c r="N212" s="23" t="n"/>
      <c r="O212" s="23" t="n"/>
      <c r="P212" s="23" t="n"/>
    </row>
    <row r="213">
      <c r="A213" s="23" t="n"/>
      <c r="B213" s="23" t="n"/>
      <c r="C213" s="6" t="n"/>
      <c r="D213" s="23" t="n"/>
      <c r="E213" s="23" t="n"/>
      <c r="F213" s="23" t="n"/>
      <c r="G213" s="23" t="n"/>
      <c r="H213" s="7" t="n"/>
      <c r="I213" s="23" t="n"/>
      <c r="J213" s="23" t="n"/>
      <c r="K213" s="8" t="n"/>
      <c r="L213" s="8" t="n"/>
      <c r="M213" s="23" t="n"/>
      <c r="N213" s="23" t="n"/>
      <c r="O213" s="23" t="n"/>
      <c r="P213" s="23" t="n"/>
    </row>
    <row r="214">
      <c r="A214" s="23" t="n"/>
      <c r="B214" s="23" t="n"/>
      <c r="C214" s="6" t="n"/>
      <c r="D214" s="23" t="n"/>
      <c r="E214" s="23" t="n"/>
      <c r="F214" s="23" t="n"/>
      <c r="G214" s="23" t="n"/>
      <c r="H214" s="7" t="n"/>
      <c r="I214" s="23" t="n"/>
      <c r="J214" s="23" t="n"/>
      <c r="K214" s="8" t="n"/>
      <c r="L214" s="8" t="n"/>
      <c r="M214" s="23" t="n"/>
      <c r="N214" s="23" t="n"/>
      <c r="O214" s="23" t="n"/>
      <c r="P214" s="23" t="n"/>
    </row>
    <row r="215">
      <c r="A215" s="23" t="n"/>
      <c r="B215" s="23" t="n"/>
      <c r="C215" s="6" t="n"/>
      <c r="D215" s="23" t="n"/>
      <c r="E215" s="23" t="n"/>
      <c r="F215" s="23" t="n"/>
      <c r="G215" s="23" t="n"/>
      <c r="H215" s="7" t="n"/>
      <c r="I215" s="23" t="n"/>
      <c r="J215" s="23" t="n"/>
      <c r="K215" s="8" t="n"/>
      <c r="L215" s="8" t="n"/>
      <c r="M215" s="23" t="n"/>
      <c r="N215" s="23" t="n"/>
      <c r="O215" s="23" t="n"/>
      <c r="P215" s="23" t="n"/>
    </row>
    <row r="216">
      <c r="A216" s="23" t="n"/>
      <c r="B216" s="23" t="n"/>
      <c r="C216" s="6" t="n"/>
      <c r="D216" s="23" t="n"/>
      <c r="E216" s="23" t="n"/>
      <c r="F216" s="23" t="n"/>
      <c r="G216" s="23" t="n"/>
      <c r="H216" s="7" t="n"/>
      <c r="I216" s="23" t="n"/>
      <c r="J216" s="23" t="n"/>
      <c r="K216" s="8" t="n"/>
      <c r="L216" s="8" t="n"/>
      <c r="M216" s="23" t="n"/>
      <c r="N216" s="23" t="n"/>
      <c r="O216" s="23" t="n"/>
      <c r="P216" s="23" t="n"/>
    </row>
    <row r="217">
      <c r="A217" s="23" t="n"/>
      <c r="B217" s="23" t="n"/>
      <c r="C217" s="6" t="n"/>
      <c r="D217" s="23" t="n"/>
      <c r="E217" s="23" t="n"/>
      <c r="F217" s="23" t="n"/>
      <c r="G217" s="23" t="n"/>
      <c r="H217" s="7" t="n"/>
      <c r="I217" s="23" t="n"/>
      <c r="J217" s="23" t="n"/>
      <c r="K217" s="8" t="n"/>
      <c r="L217" s="8" t="n"/>
      <c r="M217" s="23" t="n"/>
      <c r="N217" s="23" t="n"/>
      <c r="O217" s="23" t="n"/>
      <c r="P217" s="23" t="n"/>
    </row>
    <row r="218">
      <c r="A218" s="23" t="n"/>
      <c r="B218" s="23" t="n"/>
      <c r="C218" s="6" t="n"/>
      <c r="D218" s="23" t="n"/>
      <c r="E218" s="23" t="n"/>
      <c r="F218" s="23" t="n"/>
      <c r="G218" s="23" t="n"/>
      <c r="H218" s="7" t="n"/>
      <c r="I218" s="23" t="n"/>
      <c r="J218" s="23" t="n"/>
      <c r="K218" s="8" t="n"/>
      <c r="L218" s="8" t="n"/>
      <c r="M218" s="23" t="n"/>
      <c r="N218" s="23" t="n"/>
      <c r="O218" s="23" t="n"/>
      <c r="P218" s="23" t="n"/>
    </row>
    <row r="219">
      <c r="A219" s="23" t="n"/>
      <c r="B219" s="23" t="n"/>
      <c r="C219" s="6" t="n"/>
      <c r="D219" s="23" t="n"/>
      <c r="E219" s="23" t="n"/>
      <c r="F219" s="23" t="n"/>
      <c r="G219" s="23" t="n"/>
      <c r="H219" s="7" t="n"/>
      <c r="I219" s="23" t="n"/>
      <c r="J219" s="23" t="n"/>
      <c r="K219" s="8" t="n"/>
      <c r="L219" s="8" t="n"/>
      <c r="M219" s="23" t="n"/>
      <c r="N219" s="23" t="n"/>
      <c r="O219" s="23" t="n"/>
      <c r="P219" s="23" t="n"/>
    </row>
    <row r="220">
      <c r="A220" s="23" t="n"/>
      <c r="B220" s="23" t="n"/>
      <c r="C220" s="6" t="n"/>
      <c r="D220" s="23" t="n"/>
      <c r="E220" s="23" t="n"/>
      <c r="F220" s="23" t="n"/>
      <c r="G220" s="23" t="n"/>
      <c r="H220" s="7" t="n"/>
      <c r="I220" s="23" t="n"/>
      <c r="J220" s="23" t="n"/>
      <c r="K220" s="8" t="n"/>
      <c r="L220" s="8" t="n"/>
      <c r="M220" s="23" t="n"/>
      <c r="N220" s="23" t="n"/>
      <c r="O220" s="23" t="n"/>
      <c r="P220" s="23" t="n"/>
    </row>
    <row r="221">
      <c r="A221" s="23" t="n"/>
      <c r="B221" s="23" t="n"/>
      <c r="C221" s="6" t="n"/>
      <c r="D221" s="23" t="n"/>
      <c r="E221" s="23" t="n"/>
      <c r="F221" s="23" t="n"/>
      <c r="G221" s="23" t="n"/>
      <c r="H221" s="7" t="n"/>
      <c r="I221" s="23" t="n"/>
      <c r="J221" s="23" t="n"/>
      <c r="K221" s="8" t="n"/>
      <c r="L221" s="8" t="n"/>
      <c r="M221" s="23" t="n"/>
      <c r="N221" s="23" t="n"/>
      <c r="O221" s="23" t="n"/>
      <c r="P221" s="23" t="n"/>
    </row>
    <row r="222">
      <c r="A222" s="23" t="n"/>
      <c r="B222" s="23" t="n"/>
      <c r="C222" s="6" t="n"/>
      <c r="D222" s="23" t="n"/>
      <c r="E222" s="23" t="n"/>
      <c r="F222" s="23" t="n"/>
      <c r="G222" s="23" t="n"/>
      <c r="H222" s="7" t="n"/>
      <c r="I222" s="23" t="n"/>
      <c r="J222" s="23" t="n"/>
      <c r="K222" s="8" t="n"/>
      <c r="L222" s="8" t="n"/>
      <c r="M222" s="23" t="n"/>
      <c r="N222" s="23" t="n"/>
      <c r="O222" s="23" t="n"/>
      <c r="P222" s="23" t="n"/>
    </row>
    <row r="223">
      <c r="A223" s="23" t="n"/>
      <c r="B223" s="23" t="n"/>
      <c r="C223" s="6" t="n"/>
      <c r="D223" s="23" t="n"/>
      <c r="E223" s="23" t="n"/>
      <c r="F223" s="23" t="n"/>
      <c r="G223" s="23" t="n"/>
      <c r="H223" s="7" t="n"/>
      <c r="I223" s="23" t="n"/>
      <c r="J223" s="23" t="n"/>
      <c r="K223" s="8" t="n"/>
      <c r="L223" s="8" t="n"/>
      <c r="M223" s="23" t="n"/>
      <c r="N223" s="23" t="n"/>
      <c r="O223" s="23" t="n"/>
      <c r="P223" s="23" t="n"/>
    </row>
    <row r="224">
      <c r="A224" s="23" t="n"/>
      <c r="B224" s="23" t="n"/>
      <c r="C224" s="6" t="n"/>
      <c r="D224" s="23" t="n"/>
      <c r="E224" s="23" t="n"/>
      <c r="F224" s="23" t="n"/>
      <c r="G224" s="23" t="n"/>
      <c r="H224" s="7" t="n"/>
      <c r="I224" s="23" t="n"/>
      <c r="J224" s="23" t="n"/>
      <c r="K224" s="8" t="n"/>
      <c r="L224" s="8" t="n"/>
      <c r="M224" s="23" t="n"/>
      <c r="N224" s="23" t="n"/>
      <c r="O224" s="23" t="n"/>
      <c r="P224" s="23" t="n"/>
    </row>
    <row r="225">
      <c r="A225" s="23" t="n"/>
      <c r="B225" s="23" t="n"/>
      <c r="C225" s="6" t="n"/>
      <c r="D225" s="23" t="n"/>
      <c r="E225" s="23" t="n"/>
      <c r="F225" s="23" t="n"/>
      <c r="G225" s="23" t="n"/>
      <c r="H225" s="7" t="n"/>
      <c r="I225" s="23" t="n"/>
      <c r="J225" s="23" t="n"/>
      <c r="K225" s="8" t="n"/>
      <c r="L225" s="8" t="n"/>
      <c r="M225" s="23" t="n"/>
      <c r="N225" s="23" t="n"/>
      <c r="O225" s="23" t="n"/>
      <c r="P225" s="23" t="n"/>
    </row>
    <row r="226">
      <c r="A226" s="23" t="n"/>
      <c r="B226" s="23" t="n"/>
      <c r="C226" s="6" t="n"/>
      <c r="D226" s="23" t="n"/>
      <c r="E226" s="23" t="n"/>
      <c r="F226" s="23" t="n"/>
      <c r="G226" s="23" t="n"/>
      <c r="H226" s="7" t="n"/>
      <c r="I226" s="23" t="n"/>
      <c r="J226" s="23" t="n"/>
      <c r="K226" s="8" t="n"/>
      <c r="L226" s="8" t="n"/>
      <c r="M226" s="23" t="n"/>
      <c r="N226" s="23" t="n"/>
      <c r="O226" s="23" t="n"/>
      <c r="P226" s="23" t="n"/>
    </row>
    <row r="227">
      <c r="A227" s="23" t="n"/>
      <c r="B227" s="23" t="n"/>
      <c r="C227" s="6" t="n"/>
      <c r="D227" s="23" t="n"/>
      <c r="E227" s="23" t="n"/>
      <c r="F227" s="23" t="n"/>
      <c r="G227" s="23" t="n"/>
      <c r="H227" s="7" t="n"/>
      <c r="I227" s="23" t="n"/>
      <c r="J227" s="23" t="n"/>
      <c r="K227" s="8" t="n"/>
      <c r="L227" s="8" t="n"/>
      <c r="M227" s="23" t="n"/>
      <c r="N227" s="23" t="n"/>
      <c r="O227" s="23" t="n"/>
      <c r="P227" s="23" t="n"/>
    </row>
    <row r="228">
      <c r="A228" s="23" t="n"/>
      <c r="B228" s="23" t="n"/>
      <c r="C228" s="6" t="n"/>
      <c r="D228" s="23" t="n"/>
      <c r="E228" s="23" t="n"/>
      <c r="F228" s="23" t="n"/>
      <c r="G228" s="23" t="n"/>
      <c r="H228" s="7" t="n"/>
      <c r="I228" s="23" t="n"/>
      <c r="J228" s="23" t="n"/>
      <c r="K228" s="8" t="n"/>
      <c r="L228" s="8" t="n"/>
      <c r="M228" s="23" t="n"/>
      <c r="N228" s="23" t="n"/>
      <c r="O228" s="23" t="n"/>
      <c r="P228" s="23" t="n"/>
    </row>
    <row r="229">
      <c r="A229" s="23" t="n"/>
      <c r="B229" s="23" t="n"/>
      <c r="C229" s="6" t="n"/>
      <c r="D229" s="23" t="n"/>
      <c r="E229" s="23" t="n"/>
      <c r="F229" s="23" t="n"/>
      <c r="G229" s="23" t="n"/>
      <c r="H229" s="7" t="n"/>
      <c r="I229" s="23" t="n"/>
      <c r="J229" s="23" t="n"/>
      <c r="K229" s="8" t="n"/>
      <c r="L229" s="8" t="n"/>
      <c r="M229" s="23" t="n"/>
      <c r="N229" s="23" t="n"/>
      <c r="O229" s="23" t="n"/>
      <c r="P229" s="23" t="n"/>
    </row>
    <row r="230">
      <c r="A230" s="23" t="n"/>
      <c r="B230" s="23" t="n"/>
      <c r="C230" s="6" t="n"/>
      <c r="D230" s="23" t="n"/>
      <c r="E230" s="23" t="n"/>
      <c r="F230" s="23" t="n"/>
      <c r="G230" s="23" t="n"/>
      <c r="H230" s="7" t="n"/>
      <c r="I230" s="23" t="n"/>
      <c r="J230" s="23" t="n"/>
      <c r="K230" s="8" t="n"/>
      <c r="L230" s="8" t="n"/>
      <c r="M230" s="23" t="n"/>
      <c r="N230" s="23" t="n"/>
      <c r="O230" s="23" t="n"/>
      <c r="P230" s="23" t="n"/>
    </row>
    <row r="231">
      <c r="A231" s="23" t="n"/>
      <c r="B231" s="23" t="n"/>
      <c r="C231" s="6" t="n"/>
      <c r="D231" s="23" t="n"/>
      <c r="E231" s="23" t="n"/>
      <c r="F231" s="23" t="n"/>
      <c r="G231" s="23" t="n"/>
      <c r="H231" s="7" t="n"/>
      <c r="I231" s="23" t="n"/>
      <c r="J231" s="23" t="n"/>
      <c r="K231" s="8" t="n"/>
      <c r="L231" s="8" t="n"/>
      <c r="M231" s="23" t="n"/>
      <c r="N231" s="23" t="n"/>
      <c r="O231" s="23" t="n"/>
      <c r="P231" s="23" t="n"/>
    </row>
    <row r="232">
      <c r="A232" s="23" t="n"/>
      <c r="B232" s="23" t="n"/>
      <c r="C232" s="6" t="n"/>
      <c r="D232" s="23" t="n"/>
      <c r="E232" s="23" t="n"/>
      <c r="F232" s="23" t="n"/>
      <c r="G232" s="23" t="n"/>
      <c r="H232" s="7" t="n"/>
      <c r="I232" s="23" t="n"/>
      <c r="J232" s="23" t="n"/>
      <c r="K232" s="8" t="n"/>
      <c r="L232" s="8" t="n"/>
      <c r="M232" s="23" t="n"/>
      <c r="N232" s="23" t="n"/>
      <c r="O232" s="23" t="n"/>
      <c r="P232" s="23" t="n"/>
    </row>
    <row r="233">
      <c r="A233" s="23" t="n"/>
      <c r="B233" s="23" t="n"/>
      <c r="C233" s="6" t="n"/>
      <c r="D233" s="23" t="n"/>
      <c r="E233" s="23" t="n"/>
      <c r="F233" s="23" t="n"/>
      <c r="G233" s="23" t="n"/>
      <c r="H233" s="7" t="n"/>
      <c r="I233" s="23" t="n"/>
      <c r="J233" s="23" t="n"/>
      <c r="K233" s="8" t="n"/>
      <c r="L233" s="8" t="n"/>
      <c r="M233" s="23" t="n"/>
      <c r="N233" s="23" t="n"/>
      <c r="O233" s="23" t="n"/>
      <c r="P233" s="23" t="n"/>
    </row>
    <row r="234">
      <c r="A234" s="23" t="n"/>
      <c r="B234" s="23" t="n"/>
      <c r="C234" s="6" t="n"/>
      <c r="D234" s="23" t="n"/>
      <c r="E234" s="23" t="n"/>
      <c r="F234" s="23" t="n"/>
      <c r="G234" s="23" t="n"/>
      <c r="H234" s="7" t="n"/>
      <c r="I234" s="23" t="n"/>
      <c r="J234" s="23" t="n"/>
      <c r="K234" s="8" t="n"/>
      <c r="L234" s="8" t="n"/>
      <c r="M234" s="23" t="n"/>
      <c r="N234" s="23" t="n"/>
      <c r="O234" s="23" t="n"/>
      <c r="P234" s="23" t="n"/>
    </row>
    <row r="235">
      <c r="A235" s="23" t="n"/>
      <c r="B235" s="23" t="n"/>
      <c r="C235" s="6" t="n"/>
      <c r="D235" s="23" t="n"/>
      <c r="E235" s="23" t="n"/>
      <c r="F235" s="23" t="n"/>
      <c r="G235" s="23" t="n"/>
      <c r="H235" s="7" t="n"/>
      <c r="I235" s="23" t="n"/>
      <c r="J235" s="23" t="n"/>
      <c r="K235" s="8" t="n"/>
      <c r="L235" s="8" t="n"/>
      <c r="M235" s="23" t="n"/>
      <c r="N235" s="23" t="n"/>
      <c r="O235" s="23" t="n"/>
      <c r="P235" s="23" t="n"/>
    </row>
    <row r="236">
      <c r="A236" s="23" t="n"/>
      <c r="B236" s="23" t="n"/>
      <c r="C236" s="6" t="n"/>
      <c r="D236" s="23" t="n"/>
      <c r="E236" s="23" t="n"/>
      <c r="F236" s="23" t="n"/>
      <c r="G236" s="23" t="n"/>
      <c r="H236" s="7" t="n"/>
      <c r="I236" s="23" t="n"/>
      <c r="J236" s="23" t="n"/>
      <c r="K236" s="8" t="n"/>
      <c r="L236" s="8" t="n"/>
      <c r="M236" s="23" t="n"/>
      <c r="N236" s="23" t="n"/>
      <c r="O236" s="23" t="n"/>
      <c r="P236" s="23" t="n"/>
    </row>
    <row r="237">
      <c r="A237" s="23" t="n"/>
      <c r="B237" s="23" t="n"/>
      <c r="C237" s="6" t="n"/>
      <c r="D237" s="23" t="n"/>
      <c r="E237" s="23" t="n"/>
      <c r="F237" s="23" t="n"/>
      <c r="G237" s="23" t="n"/>
      <c r="H237" s="7" t="n"/>
      <c r="I237" s="23" t="n"/>
      <c r="J237" s="23" t="n"/>
      <c r="K237" s="8" t="n"/>
      <c r="L237" s="8" t="n"/>
      <c r="M237" s="23" t="n"/>
      <c r="N237" s="23" t="n"/>
      <c r="O237" s="23" t="n"/>
      <c r="P237" s="23" t="n"/>
    </row>
    <row r="238">
      <c r="A238" s="23" t="n"/>
      <c r="B238" s="23" t="n"/>
      <c r="C238" s="6" t="n"/>
      <c r="D238" s="23" t="n"/>
      <c r="E238" s="23" t="n"/>
      <c r="F238" s="23" t="n"/>
      <c r="G238" s="23" t="n"/>
      <c r="H238" s="7" t="n"/>
      <c r="I238" s="23" t="n"/>
      <c r="J238" s="23" t="n"/>
      <c r="K238" s="8" t="n"/>
      <c r="L238" s="8" t="n"/>
      <c r="M238" s="23" t="n"/>
      <c r="N238" s="23" t="n"/>
      <c r="O238" s="23" t="n"/>
      <c r="P238" s="23" t="n"/>
    </row>
    <row r="239">
      <c r="A239" s="23" t="n"/>
      <c r="B239" s="23" t="n"/>
      <c r="C239" s="6" t="n"/>
      <c r="D239" s="23" t="n"/>
      <c r="E239" s="23" t="n"/>
      <c r="F239" s="23" t="n"/>
      <c r="G239" s="23" t="n"/>
      <c r="H239" s="7" t="n"/>
      <c r="I239" s="23" t="n"/>
      <c r="J239" s="23" t="n"/>
      <c r="K239" s="8" t="n"/>
      <c r="L239" s="8" t="n"/>
      <c r="M239" s="23" t="n"/>
      <c r="N239" s="23" t="n"/>
      <c r="O239" s="23" t="n"/>
      <c r="P239" s="23" t="n"/>
    </row>
    <row r="240">
      <c r="A240" s="23" t="n"/>
      <c r="B240" s="23" t="n"/>
      <c r="C240" s="6" t="n"/>
      <c r="D240" s="23" t="n"/>
      <c r="E240" s="23" t="n"/>
      <c r="F240" s="23" t="n"/>
      <c r="G240" s="23" t="n"/>
      <c r="H240" s="7" t="n"/>
      <c r="I240" s="23" t="n"/>
      <c r="J240" s="23" t="n"/>
      <c r="K240" s="8" t="n"/>
      <c r="L240" s="8" t="n"/>
      <c r="M240" s="23" t="n"/>
      <c r="N240" s="23" t="n"/>
      <c r="O240" s="23" t="n"/>
      <c r="P240" s="23" t="n"/>
    </row>
    <row r="241">
      <c r="A241" s="23" t="n"/>
      <c r="B241" s="23" t="n"/>
      <c r="C241" s="6" t="n"/>
      <c r="D241" s="23" t="n"/>
      <c r="E241" s="23" t="n"/>
      <c r="F241" s="23" t="n"/>
      <c r="G241" s="23" t="n"/>
      <c r="H241" s="7" t="n"/>
      <c r="I241" s="23" t="n"/>
      <c r="J241" s="23" t="n"/>
      <c r="K241" s="8" t="n"/>
      <c r="L241" s="8" t="n"/>
      <c r="M241" s="23" t="n"/>
      <c r="N241" s="23" t="n"/>
      <c r="O241" s="23" t="n"/>
      <c r="P241" s="23" t="n"/>
    </row>
    <row r="242">
      <c r="A242" s="23" t="n"/>
      <c r="B242" s="23" t="n"/>
      <c r="C242" s="6" t="n"/>
      <c r="D242" s="23" t="n"/>
      <c r="E242" s="23" t="n"/>
      <c r="F242" s="23" t="n"/>
      <c r="G242" s="23" t="n"/>
      <c r="H242" s="7" t="n"/>
      <c r="I242" s="23" t="n"/>
      <c r="J242" s="23" t="n"/>
      <c r="K242" s="8" t="n"/>
      <c r="L242" s="8" t="n"/>
      <c r="M242" s="23" t="n"/>
      <c r="N242" s="23" t="n"/>
      <c r="O242" s="23" t="n"/>
      <c r="P242" s="23" t="n"/>
    </row>
    <row r="243">
      <c r="A243" s="23" t="n"/>
      <c r="B243" s="23" t="n"/>
      <c r="C243" s="6" t="n"/>
      <c r="D243" s="23" t="n"/>
      <c r="E243" s="23" t="n"/>
      <c r="F243" s="23" t="n"/>
      <c r="G243" s="23" t="n"/>
      <c r="H243" s="7" t="n"/>
      <c r="I243" s="23" t="n"/>
      <c r="J243" s="23" t="n"/>
      <c r="K243" s="8" t="n"/>
      <c r="L243" s="8" t="n"/>
      <c r="M243" s="23" t="n"/>
      <c r="N243" s="23" t="n"/>
      <c r="O243" s="23" t="n"/>
      <c r="P243" s="23" t="n"/>
    </row>
    <row r="244">
      <c r="A244" s="23" t="n"/>
      <c r="B244" s="23" t="n"/>
      <c r="C244" s="6" t="n"/>
      <c r="D244" s="23" t="n"/>
      <c r="E244" s="23" t="n"/>
      <c r="F244" s="23" t="n"/>
      <c r="G244" s="23" t="n"/>
      <c r="H244" s="7" t="n"/>
      <c r="I244" s="23" t="n"/>
      <c r="J244" s="23" t="n"/>
      <c r="K244" s="8" t="n"/>
      <c r="L244" s="8" t="n"/>
      <c r="M244" s="23" t="n"/>
      <c r="N244" s="23" t="n"/>
      <c r="O244" s="23" t="n"/>
      <c r="P244" s="23" t="n"/>
    </row>
    <row r="245">
      <c r="A245" s="23" t="n"/>
      <c r="B245" s="23" t="n"/>
      <c r="C245" s="6" t="n"/>
      <c r="D245" s="23" t="n"/>
      <c r="E245" s="23" t="n"/>
      <c r="F245" s="23" t="n"/>
      <c r="G245" s="23" t="n"/>
      <c r="H245" s="7" t="n"/>
      <c r="I245" s="23" t="n"/>
      <c r="J245" s="23" t="n"/>
      <c r="K245" s="8" t="n"/>
      <c r="L245" s="8" t="n"/>
      <c r="M245" s="23" t="n"/>
      <c r="N245" s="23" t="n"/>
      <c r="O245" s="23" t="n"/>
      <c r="P245" s="23" t="n"/>
    </row>
    <row r="246">
      <c r="A246" s="23" t="n"/>
      <c r="B246" s="23" t="n"/>
      <c r="C246" s="6" t="n"/>
      <c r="D246" s="23" t="n"/>
      <c r="E246" s="23" t="n"/>
      <c r="F246" s="23" t="n"/>
      <c r="G246" s="23" t="n"/>
      <c r="H246" s="7" t="n"/>
      <c r="I246" s="23" t="n"/>
      <c r="J246" s="23" t="n"/>
      <c r="K246" s="8" t="n"/>
      <c r="L246" s="8" t="n"/>
      <c r="M246" s="23" t="n"/>
      <c r="N246" s="23" t="n"/>
      <c r="O246" s="23" t="n"/>
      <c r="P246" s="23" t="n"/>
    </row>
    <row r="247">
      <c r="A247" s="23" t="n"/>
      <c r="B247" s="23" t="n"/>
      <c r="C247" s="6" t="n"/>
      <c r="D247" s="23" t="n"/>
      <c r="E247" s="23" t="n"/>
      <c r="F247" s="23" t="n"/>
      <c r="G247" s="23" t="n"/>
      <c r="H247" s="7" t="n"/>
      <c r="I247" s="23" t="n"/>
      <c r="J247" s="23" t="n"/>
      <c r="K247" s="8" t="n"/>
      <c r="L247" s="8" t="n"/>
      <c r="M247" s="23" t="n"/>
      <c r="N247" s="23" t="n"/>
      <c r="O247" s="23" t="n"/>
      <c r="P247" s="23" t="n"/>
    </row>
    <row r="248">
      <c r="A248" s="23" t="n"/>
      <c r="B248" s="23" t="n"/>
      <c r="C248" s="6" t="n"/>
      <c r="D248" s="23" t="n"/>
      <c r="E248" s="23" t="n"/>
      <c r="F248" s="23" t="n"/>
      <c r="G248" s="23" t="n"/>
      <c r="H248" s="7" t="n"/>
      <c r="I248" s="23" t="n"/>
      <c r="J248" s="23" t="n"/>
      <c r="K248" s="8" t="n"/>
      <c r="L248" s="8" t="n"/>
      <c r="M248" s="23" t="n"/>
      <c r="N248" s="23" t="n"/>
      <c r="O248" s="23" t="n"/>
      <c r="P248" s="23" t="n"/>
    </row>
    <row r="249">
      <c r="A249" s="23" t="n"/>
      <c r="B249" s="23" t="n"/>
      <c r="C249" s="6" t="n"/>
      <c r="D249" s="23" t="n"/>
      <c r="E249" s="23" t="n"/>
      <c r="F249" s="23" t="n"/>
      <c r="G249" s="23" t="n"/>
      <c r="H249" s="7" t="n"/>
      <c r="I249" s="23" t="n"/>
      <c r="J249" s="23" t="n"/>
      <c r="K249" s="8" t="n"/>
      <c r="L249" s="8" t="n"/>
      <c r="M249" s="23" t="n"/>
      <c r="N249" s="23" t="n"/>
      <c r="O249" s="23" t="n"/>
      <c r="P249" s="23" t="n"/>
    </row>
    <row r="250">
      <c r="A250" s="23" t="n"/>
      <c r="B250" s="23" t="n"/>
      <c r="C250" s="6" t="n"/>
      <c r="D250" s="23" t="n"/>
      <c r="E250" s="23" t="n"/>
      <c r="F250" s="23" t="n"/>
      <c r="G250" s="23" t="n"/>
      <c r="H250" s="7" t="n"/>
      <c r="I250" s="23" t="n"/>
      <c r="J250" s="23" t="n"/>
      <c r="K250" s="8" t="n"/>
      <c r="L250" s="8" t="n"/>
      <c r="M250" s="23" t="n"/>
      <c r="N250" s="23" t="n"/>
      <c r="O250" s="23" t="n"/>
      <c r="P250" s="23" t="n"/>
    </row>
    <row r="251">
      <c r="A251" s="23" t="n"/>
      <c r="B251" s="23" t="n"/>
      <c r="C251" s="6" t="n"/>
      <c r="D251" s="23" t="n"/>
      <c r="E251" s="23" t="n"/>
      <c r="F251" s="23" t="n"/>
      <c r="G251" s="23" t="n"/>
      <c r="H251" s="7" t="n"/>
      <c r="I251" s="23" t="n"/>
      <c r="J251" s="23" t="n"/>
      <c r="K251" s="8" t="n"/>
      <c r="L251" s="8" t="n"/>
      <c r="M251" s="23" t="n"/>
      <c r="N251" s="23" t="n"/>
      <c r="O251" s="23" t="n"/>
      <c r="P251" s="23" t="n"/>
    </row>
    <row r="252">
      <c r="A252" s="23" t="n"/>
      <c r="B252" s="23" t="n"/>
      <c r="C252" s="6" t="n"/>
      <c r="D252" s="23" t="n"/>
      <c r="E252" s="23" t="n"/>
      <c r="F252" s="23" t="n"/>
      <c r="G252" s="23" t="n"/>
      <c r="H252" s="7" t="n"/>
      <c r="I252" s="23" t="n"/>
      <c r="J252" s="23" t="n"/>
      <c r="K252" s="8" t="n"/>
      <c r="L252" s="8" t="n"/>
      <c r="M252" s="23" t="n"/>
      <c r="N252" s="23" t="n"/>
      <c r="O252" s="23" t="n"/>
      <c r="P252" s="23" t="n"/>
    </row>
    <row r="253">
      <c r="A253" s="23" t="n"/>
      <c r="B253" s="23" t="n"/>
      <c r="C253" s="6" t="n"/>
      <c r="D253" s="23" t="n"/>
      <c r="E253" s="23" t="n"/>
      <c r="F253" s="23" t="n"/>
      <c r="G253" s="23" t="n"/>
      <c r="H253" s="7" t="n"/>
      <c r="I253" s="23" t="n"/>
      <c r="J253" s="23" t="n"/>
      <c r="K253" s="8" t="n"/>
      <c r="L253" s="8" t="n"/>
      <c r="M253" s="23" t="n"/>
      <c r="N253" s="23" t="n"/>
      <c r="O253" s="23" t="n"/>
      <c r="P253" s="23" t="n"/>
    </row>
    <row r="254">
      <c r="A254" s="23" t="n"/>
      <c r="B254" s="23" t="n"/>
      <c r="C254" s="6" t="n"/>
      <c r="D254" s="23" t="n"/>
      <c r="E254" s="23" t="n"/>
      <c r="F254" s="23" t="n"/>
      <c r="G254" s="23" t="n"/>
      <c r="H254" s="7" t="n"/>
      <c r="I254" s="23" t="n"/>
      <c r="J254" s="23" t="n"/>
      <c r="K254" s="8" t="n"/>
      <c r="L254" s="8" t="n"/>
      <c r="M254" s="23" t="n"/>
      <c r="N254" s="23" t="n"/>
      <c r="O254" s="23" t="n"/>
      <c r="P254" s="23" t="n"/>
    </row>
    <row r="255">
      <c r="A255" s="23" t="n"/>
      <c r="B255" s="23" t="n"/>
      <c r="C255" s="6" t="n"/>
      <c r="D255" s="23" t="n"/>
      <c r="E255" s="23" t="n"/>
      <c r="F255" s="23" t="n"/>
      <c r="G255" s="23" t="n"/>
      <c r="H255" s="7" t="n"/>
      <c r="I255" s="23" t="n"/>
      <c r="J255" s="23" t="n"/>
      <c r="K255" s="8" t="n"/>
      <c r="L255" s="8" t="n"/>
      <c r="M255" s="23" t="n"/>
      <c r="N255" s="23" t="n"/>
      <c r="O255" s="23" t="n"/>
      <c r="P255" s="23" t="n"/>
    </row>
    <row r="256">
      <c r="A256" s="23" t="n"/>
      <c r="B256" s="23" t="n"/>
      <c r="C256" s="6" t="n"/>
      <c r="D256" s="23" t="n"/>
      <c r="E256" s="23" t="n"/>
      <c r="F256" s="23" t="n"/>
      <c r="G256" s="23" t="n"/>
      <c r="H256" s="7" t="n"/>
      <c r="I256" s="23" t="n"/>
      <c r="J256" s="23" t="n"/>
      <c r="K256" s="8" t="n"/>
      <c r="L256" s="8" t="n"/>
      <c r="M256" s="23" t="n"/>
      <c r="N256" s="23" t="n"/>
      <c r="O256" s="23" t="n"/>
      <c r="P256" s="23" t="n"/>
    </row>
    <row r="257">
      <c r="A257" s="23" t="n"/>
      <c r="B257" s="23" t="n"/>
      <c r="C257" s="6" t="n"/>
      <c r="D257" s="23" t="n"/>
      <c r="E257" s="23" t="n"/>
      <c r="F257" s="23" t="n"/>
      <c r="G257" s="23" t="n"/>
      <c r="H257" s="7" t="n"/>
      <c r="I257" s="23" t="n"/>
      <c r="J257" s="23" t="n"/>
      <c r="K257" s="8" t="n"/>
      <c r="L257" s="8" t="n"/>
      <c r="M257" s="23" t="n"/>
      <c r="N257" s="23" t="n"/>
      <c r="O257" s="23" t="n"/>
      <c r="P257" s="23" t="n"/>
    </row>
    <row r="258">
      <c r="A258" s="23" t="n"/>
      <c r="B258" s="23" t="n"/>
      <c r="C258" s="6" t="n"/>
      <c r="D258" s="23" t="n"/>
      <c r="E258" s="23" t="n"/>
      <c r="F258" s="23" t="n"/>
      <c r="G258" s="23" t="n"/>
      <c r="H258" s="7" t="n"/>
      <c r="I258" s="23" t="n"/>
      <c r="J258" s="23" t="n"/>
      <c r="K258" s="8" t="n"/>
      <c r="L258" s="8" t="n"/>
      <c r="M258" s="23" t="n"/>
      <c r="N258" s="23" t="n"/>
      <c r="O258" s="23" t="n"/>
      <c r="P258" s="23" t="n"/>
    </row>
    <row r="259">
      <c r="A259" s="23" t="n"/>
      <c r="B259" s="23" t="n"/>
      <c r="C259" s="6" t="n"/>
      <c r="D259" s="23" t="n"/>
      <c r="E259" s="23" t="n"/>
      <c r="F259" s="23" t="n"/>
      <c r="G259" s="23" t="n"/>
      <c r="H259" s="7" t="n"/>
      <c r="I259" s="23" t="n"/>
      <c r="J259" s="23" t="n"/>
      <c r="K259" s="8" t="n"/>
      <c r="L259" s="8" t="n"/>
      <c r="M259" s="23" t="n"/>
      <c r="N259" s="23" t="n"/>
      <c r="O259" s="23" t="n"/>
      <c r="P259" s="23" t="n"/>
    </row>
    <row r="260">
      <c r="A260" s="23" t="n"/>
      <c r="B260" s="23" t="n"/>
      <c r="C260" s="6" t="n"/>
      <c r="D260" s="23" t="n"/>
      <c r="E260" s="23" t="n"/>
      <c r="F260" s="23" t="n"/>
      <c r="G260" s="23" t="n"/>
      <c r="H260" s="7" t="n"/>
      <c r="I260" s="23" t="n"/>
      <c r="J260" s="23" t="n"/>
      <c r="K260" s="8" t="n"/>
      <c r="L260" s="8" t="n"/>
      <c r="M260" s="23" t="n"/>
      <c r="N260" s="23" t="n"/>
      <c r="O260" s="23" t="n"/>
      <c r="P260" s="23" t="n"/>
    </row>
    <row r="261">
      <c r="A261" s="23" t="n"/>
      <c r="B261" s="23" t="n"/>
      <c r="C261" s="6" t="n"/>
      <c r="D261" s="23" t="n"/>
      <c r="E261" s="23" t="n"/>
      <c r="F261" s="23" t="n"/>
      <c r="G261" s="23" t="n"/>
      <c r="H261" s="7" t="n"/>
      <c r="I261" s="23" t="n"/>
      <c r="J261" s="23" t="n"/>
      <c r="K261" s="8" t="n"/>
      <c r="L261" s="8" t="n"/>
      <c r="M261" s="23" t="n"/>
      <c r="N261" s="23" t="n"/>
      <c r="O261" s="23" t="n"/>
      <c r="P261" s="23" t="n"/>
    </row>
    <row r="262">
      <c r="A262" s="23" t="n"/>
      <c r="B262" s="23" t="n"/>
      <c r="C262" s="6" t="n"/>
      <c r="D262" s="23" t="n"/>
      <c r="E262" s="23" t="n"/>
      <c r="F262" s="23" t="n"/>
      <c r="G262" s="23" t="n"/>
      <c r="H262" s="7" t="n"/>
      <c r="I262" s="23" t="n"/>
      <c r="J262" s="23" t="n"/>
      <c r="K262" s="8" t="n"/>
      <c r="L262" s="8" t="n"/>
      <c r="M262" s="23" t="n"/>
      <c r="N262" s="23" t="n"/>
      <c r="O262" s="23" t="n"/>
      <c r="P262" s="23" t="n"/>
    </row>
    <row r="263">
      <c r="A263" s="23" t="n"/>
      <c r="B263" s="23" t="n"/>
      <c r="C263" s="6" t="n"/>
      <c r="D263" s="23" t="n"/>
      <c r="E263" s="23" t="n"/>
      <c r="F263" s="23" t="n"/>
      <c r="G263" s="23" t="n"/>
      <c r="H263" s="7" t="n"/>
      <c r="I263" s="23" t="n"/>
      <c r="J263" s="23" t="n"/>
      <c r="K263" s="8" t="n"/>
      <c r="L263" s="8" t="n"/>
      <c r="M263" s="23" t="n"/>
      <c r="N263" s="23" t="n"/>
      <c r="O263" s="23" t="n"/>
      <c r="P263" s="23" t="n"/>
    </row>
    <row r="264">
      <c r="A264" s="23" t="n"/>
      <c r="B264" s="23" t="n"/>
      <c r="C264" s="6" t="n"/>
      <c r="D264" s="23" t="n"/>
      <c r="E264" s="23" t="n"/>
      <c r="F264" s="23" t="n"/>
      <c r="G264" s="23" t="n"/>
      <c r="H264" s="7" t="n"/>
      <c r="I264" s="23" t="n"/>
      <c r="J264" s="23" t="n"/>
      <c r="K264" s="8" t="n"/>
      <c r="L264" s="8" t="n"/>
      <c r="M264" s="23" t="n"/>
      <c r="N264" s="23" t="n"/>
      <c r="O264" s="23" t="n"/>
      <c r="P264" s="23" t="n"/>
    </row>
    <row r="265">
      <c r="A265" s="23" t="n"/>
      <c r="B265" s="23" t="n"/>
      <c r="C265" s="6" t="n"/>
      <c r="D265" s="23" t="n"/>
      <c r="E265" s="23" t="n"/>
      <c r="F265" s="23" t="n"/>
      <c r="G265" s="23" t="n"/>
      <c r="H265" s="7" t="n"/>
      <c r="I265" s="23" t="n"/>
      <c r="J265" s="23" t="n"/>
      <c r="K265" s="8" t="n"/>
      <c r="L265" s="8" t="n"/>
      <c r="M265" s="23" t="n"/>
      <c r="N265" s="23" t="n"/>
      <c r="O265" s="23" t="n"/>
      <c r="P265" s="23" t="n"/>
    </row>
    <row r="266">
      <c r="A266" s="23" t="n"/>
      <c r="B266" s="23" t="n"/>
      <c r="C266" s="6" t="n"/>
      <c r="D266" s="23" t="n"/>
      <c r="E266" s="23" t="n"/>
      <c r="F266" s="23" t="n"/>
      <c r="G266" s="23" t="n"/>
      <c r="H266" s="7" t="n"/>
      <c r="I266" s="23" t="n"/>
      <c r="J266" s="23" t="n"/>
      <c r="K266" s="8" t="n"/>
      <c r="L266" s="8" t="n"/>
      <c r="M266" s="23" t="n"/>
      <c r="N266" s="23" t="n"/>
      <c r="O266" s="23" t="n"/>
      <c r="P266" s="23" t="n"/>
    </row>
    <row r="267">
      <c r="A267" s="23" t="n"/>
      <c r="B267" s="23" t="n"/>
      <c r="C267" s="6" t="n"/>
      <c r="D267" s="23" t="n"/>
      <c r="E267" s="23" t="n"/>
      <c r="F267" s="23" t="n"/>
      <c r="G267" s="23" t="n"/>
      <c r="H267" s="7" t="n"/>
      <c r="I267" s="23" t="n"/>
      <c r="J267" s="23" t="n"/>
      <c r="K267" s="8" t="n"/>
      <c r="L267" s="8" t="n"/>
      <c r="M267" s="23" t="n"/>
      <c r="N267" s="23" t="n"/>
      <c r="O267" s="23" t="n"/>
      <c r="P267" s="23" t="n"/>
    </row>
    <row r="268">
      <c r="A268" s="23" t="n"/>
      <c r="B268" s="23" t="n"/>
      <c r="C268" s="6" t="n"/>
      <c r="D268" s="23" t="n"/>
      <c r="E268" s="23" t="n"/>
      <c r="F268" s="23" t="n"/>
      <c r="G268" s="23" t="n"/>
      <c r="H268" s="7" t="n"/>
      <c r="I268" s="23" t="n"/>
      <c r="J268" s="23" t="n"/>
      <c r="K268" s="8" t="n"/>
      <c r="L268" s="8" t="n"/>
      <c r="M268" s="23" t="n"/>
      <c r="N268" s="23" t="n"/>
      <c r="O268" s="23" t="n"/>
      <c r="P268" s="23" t="n"/>
    </row>
    <row r="269">
      <c r="A269" s="23" t="n"/>
      <c r="B269" s="23" t="n"/>
      <c r="C269" s="6" t="n"/>
      <c r="D269" s="23" t="n"/>
      <c r="E269" s="23" t="n"/>
      <c r="F269" s="23" t="n"/>
      <c r="G269" s="23" t="n"/>
      <c r="H269" s="7" t="n"/>
      <c r="I269" s="23" t="n"/>
      <c r="J269" s="23" t="n"/>
      <c r="K269" s="8" t="n"/>
      <c r="L269" s="8" t="n"/>
      <c r="M269" s="23" t="n"/>
      <c r="N269" s="23" t="n"/>
      <c r="O269" s="23" t="n"/>
      <c r="P269" s="23" t="n"/>
    </row>
    <row r="270">
      <c r="A270" s="23" t="n"/>
      <c r="B270" s="23" t="n"/>
      <c r="C270" s="6" t="n"/>
      <c r="D270" s="23" t="n"/>
      <c r="E270" s="23" t="n"/>
      <c r="F270" s="23" t="n"/>
      <c r="G270" s="23" t="n"/>
      <c r="H270" s="7" t="n"/>
      <c r="I270" s="23" t="n"/>
      <c r="J270" s="23" t="n"/>
      <c r="K270" s="8" t="n"/>
      <c r="L270" s="8" t="n"/>
      <c r="M270" s="23" t="n"/>
      <c r="N270" s="23" t="n"/>
      <c r="O270" s="23" t="n"/>
      <c r="P270" s="23" t="n"/>
    </row>
    <row r="271">
      <c r="A271" s="23" t="n"/>
      <c r="B271" s="23" t="n"/>
      <c r="C271" s="6" t="n"/>
      <c r="D271" s="23" t="n"/>
      <c r="E271" s="23" t="n"/>
      <c r="F271" s="23" t="n"/>
      <c r="G271" s="23" t="n"/>
      <c r="H271" s="7" t="n"/>
      <c r="I271" s="23" t="n"/>
      <c r="J271" s="23" t="n"/>
      <c r="K271" s="8" t="n"/>
      <c r="L271" s="8" t="n"/>
      <c r="M271" s="23" t="n"/>
      <c r="N271" s="23" t="n"/>
      <c r="O271" s="23" t="n"/>
      <c r="P271" s="23" t="n"/>
    </row>
    <row r="272">
      <c r="A272" s="23" t="n"/>
      <c r="B272" s="23" t="n"/>
      <c r="C272" s="6" t="n"/>
      <c r="D272" s="23" t="n"/>
      <c r="E272" s="23" t="n"/>
      <c r="F272" s="23" t="n"/>
      <c r="G272" s="23" t="n"/>
      <c r="H272" s="7" t="n"/>
      <c r="I272" s="23" t="n"/>
      <c r="J272" s="23" t="n"/>
      <c r="K272" s="8" t="n"/>
      <c r="L272" s="8" t="n"/>
      <c r="M272" s="23" t="n"/>
      <c r="N272" s="23" t="n"/>
      <c r="O272" s="23" t="n"/>
      <c r="P272" s="23" t="n"/>
    </row>
    <row r="273">
      <c r="A273" s="23" t="n"/>
      <c r="B273" s="23" t="n"/>
      <c r="C273" s="6" t="n"/>
      <c r="D273" s="23" t="n"/>
      <c r="E273" s="23" t="n"/>
      <c r="F273" s="23" t="n"/>
      <c r="G273" s="23" t="n"/>
      <c r="H273" s="7" t="n"/>
      <c r="I273" s="23" t="n"/>
      <c r="J273" s="23" t="n"/>
      <c r="K273" s="8" t="n"/>
      <c r="L273" s="8" t="n"/>
      <c r="M273" s="23" t="n"/>
      <c r="N273" s="23" t="n"/>
      <c r="O273" s="23" t="n"/>
      <c r="P273" s="23" t="n"/>
    </row>
    <row r="274">
      <c r="A274" s="23" t="n"/>
      <c r="B274" s="23" t="n"/>
      <c r="C274" s="6" t="n"/>
      <c r="D274" s="23" t="n"/>
      <c r="E274" s="23" t="n"/>
      <c r="F274" s="23" t="n"/>
      <c r="G274" s="23" t="n"/>
      <c r="H274" s="7" t="n"/>
      <c r="I274" s="23" t="n"/>
      <c r="J274" s="23" t="n"/>
      <c r="K274" s="8" t="n"/>
      <c r="L274" s="8" t="n"/>
      <c r="M274" s="23" t="n"/>
      <c r="N274" s="23" t="n"/>
      <c r="O274" s="23" t="n"/>
      <c r="P274" s="23" t="n"/>
    </row>
    <row r="275">
      <c r="A275" s="23" t="n"/>
      <c r="B275" s="23" t="n"/>
      <c r="C275" s="6" t="n"/>
      <c r="D275" s="23" t="n"/>
      <c r="E275" s="23" t="n"/>
      <c r="F275" s="23" t="n"/>
      <c r="G275" s="23" t="n"/>
      <c r="H275" s="7" t="n"/>
      <c r="I275" s="23" t="n"/>
      <c r="J275" s="23" t="n"/>
      <c r="K275" s="8" t="n"/>
      <c r="L275" s="8" t="n"/>
      <c r="M275" s="23" t="n"/>
      <c r="N275" s="23" t="n"/>
      <c r="O275" s="23" t="n"/>
      <c r="P275" s="23" t="n"/>
    </row>
    <row r="276">
      <c r="A276" s="23" t="n"/>
      <c r="B276" s="23" t="n"/>
      <c r="C276" s="6" t="n"/>
      <c r="D276" s="23" t="n"/>
      <c r="E276" s="23" t="n"/>
      <c r="F276" s="23" t="n"/>
      <c r="G276" s="23" t="n"/>
      <c r="H276" s="7" t="n"/>
      <c r="I276" s="23" t="n"/>
      <c r="J276" s="23" t="n"/>
      <c r="K276" s="8" t="n"/>
      <c r="L276" s="8" t="n"/>
      <c r="M276" s="23" t="n"/>
      <c r="N276" s="23" t="n"/>
      <c r="O276" s="23" t="n"/>
      <c r="P276" s="23" t="n"/>
    </row>
    <row r="277">
      <c r="A277" s="23" t="n"/>
      <c r="B277" s="23" t="n"/>
      <c r="C277" s="6" t="n"/>
      <c r="D277" s="23" t="n"/>
      <c r="E277" s="23" t="n"/>
      <c r="F277" s="23" t="n"/>
      <c r="G277" s="23" t="n"/>
      <c r="H277" s="7" t="n"/>
      <c r="I277" s="23" t="n"/>
      <c r="J277" s="23" t="n"/>
      <c r="K277" s="8" t="n"/>
      <c r="L277" s="8" t="n"/>
      <c r="M277" s="23" t="n"/>
      <c r="N277" s="23" t="n"/>
      <c r="O277" s="23" t="n"/>
      <c r="P277" s="23" t="n"/>
    </row>
    <row r="278">
      <c r="A278" s="23" t="n"/>
      <c r="B278" s="23" t="n"/>
      <c r="C278" s="6" t="n"/>
      <c r="D278" s="23" t="n"/>
      <c r="E278" s="23" t="n"/>
      <c r="F278" s="23" t="n"/>
      <c r="G278" s="23" t="n"/>
      <c r="H278" s="7" t="n"/>
      <c r="I278" s="23" t="n"/>
      <c r="J278" s="23" t="n"/>
      <c r="K278" s="8" t="n"/>
      <c r="L278" s="8" t="n"/>
      <c r="M278" s="23" t="n"/>
      <c r="N278" s="23" t="n"/>
      <c r="O278" s="23" t="n"/>
      <c r="P278" s="23" t="n"/>
    </row>
    <row r="279">
      <c r="A279" s="23" t="n"/>
      <c r="B279" s="23" t="n"/>
      <c r="C279" s="6" t="n"/>
      <c r="D279" s="23" t="n"/>
      <c r="E279" s="23" t="n"/>
      <c r="F279" s="23" t="n"/>
      <c r="G279" s="23" t="n"/>
      <c r="H279" s="7" t="n"/>
      <c r="I279" s="23" t="n"/>
      <c r="J279" s="23" t="n"/>
      <c r="K279" s="8" t="n"/>
      <c r="L279" s="8" t="n"/>
      <c r="M279" s="23" t="n"/>
      <c r="N279" s="23" t="n"/>
      <c r="O279" s="23" t="n"/>
      <c r="P279" s="23" t="n"/>
    </row>
    <row r="280">
      <c r="A280" s="23" t="n"/>
      <c r="B280" s="23" t="n"/>
      <c r="C280" s="6" t="n"/>
      <c r="D280" s="23" t="n"/>
      <c r="E280" s="23" t="n"/>
      <c r="F280" s="23" t="n"/>
      <c r="G280" s="23" t="n"/>
      <c r="H280" s="7" t="n"/>
      <c r="I280" s="23" t="n"/>
      <c r="J280" s="23" t="n"/>
      <c r="K280" s="8" t="n"/>
      <c r="L280" s="8" t="n"/>
      <c r="M280" s="23" t="n"/>
      <c r="N280" s="23" t="n"/>
      <c r="O280" s="23" t="n"/>
      <c r="P280" s="23" t="n"/>
    </row>
    <row r="281">
      <c r="A281" s="23" t="n"/>
      <c r="B281" s="23" t="n"/>
      <c r="C281" s="6" t="n"/>
      <c r="D281" s="23" t="n"/>
      <c r="E281" s="23" t="n"/>
      <c r="F281" s="23" t="n"/>
      <c r="G281" s="23" t="n"/>
      <c r="H281" s="7" t="n"/>
      <c r="I281" s="23" t="n"/>
      <c r="J281" s="23" t="n"/>
      <c r="K281" s="8" t="n"/>
      <c r="L281" s="8" t="n"/>
      <c r="M281" s="23" t="n"/>
      <c r="N281" s="23" t="n"/>
      <c r="O281" s="23" t="n"/>
      <c r="P281" s="23" t="n"/>
    </row>
    <row r="282">
      <c r="A282" s="23" t="n"/>
      <c r="B282" s="23" t="n"/>
      <c r="C282" s="6" t="n"/>
      <c r="D282" s="23" t="n"/>
      <c r="E282" s="23" t="n"/>
      <c r="F282" s="23" t="n"/>
      <c r="G282" s="23" t="n"/>
      <c r="H282" s="7" t="n"/>
      <c r="I282" s="23" t="n"/>
      <c r="J282" s="23" t="n"/>
      <c r="K282" s="8" t="n"/>
      <c r="L282" s="8" t="n"/>
      <c r="M282" s="23" t="n"/>
      <c r="N282" s="23" t="n"/>
      <c r="O282" s="23" t="n"/>
      <c r="P282" s="23" t="n"/>
    </row>
    <row r="283">
      <c r="A283" s="23" t="n"/>
      <c r="B283" s="23" t="n"/>
      <c r="C283" s="6" t="n"/>
      <c r="D283" s="23" t="n"/>
      <c r="E283" s="23" t="n"/>
      <c r="F283" s="23" t="n"/>
      <c r="G283" s="23" t="n"/>
      <c r="H283" s="7" t="n"/>
      <c r="I283" s="23" t="n"/>
      <c r="J283" s="23" t="n"/>
      <c r="K283" s="8" t="n"/>
      <c r="L283" s="8" t="n"/>
      <c r="M283" s="23" t="n"/>
      <c r="N283" s="23" t="n"/>
      <c r="O283" s="23" t="n"/>
      <c r="P283" s="23" t="n"/>
    </row>
    <row r="284">
      <c r="A284" s="23" t="n"/>
      <c r="B284" s="23" t="n"/>
      <c r="C284" s="6" t="n"/>
      <c r="D284" s="23" t="n"/>
      <c r="E284" s="23" t="n"/>
      <c r="F284" s="23" t="n"/>
      <c r="G284" s="23" t="n"/>
      <c r="H284" s="7" t="n"/>
      <c r="I284" s="23" t="n"/>
      <c r="J284" s="23" t="n"/>
      <c r="K284" s="8" t="n"/>
      <c r="L284" s="8" t="n"/>
      <c r="M284" s="23" t="n"/>
      <c r="N284" s="23" t="n"/>
      <c r="O284" s="23" t="n"/>
      <c r="P284" s="23" t="n"/>
    </row>
    <row r="285">
      <c r="A285" s="23" t="n"/>
      <c r="B285" s="23" t="n"/>
      <c r="C285" s="6" t="n"/>
      <c r="D285" s="23" t="n"/>
      <c r="E285" s="23" t="n"/>
      <c r="F285" s="23" t="n"/>
      <c r="G285" s="23" t="n"/>
      <c r="H285" s="7" t="n"/>
      <c r="I285" s="23" t="n"/>
      <c r="J285" s="23" t="n"/>
      <c r="K285" s="8" t="n"/>
      <c r="L285" s="8" t="n"/>
      <c r="M285" s="23" t="n"/>
      <c r="N285" s="23" t="n"/>
      <c r="O285" s="23" t="n"/>
      <c r="P285" s="23" t="n"/>
    </row>
    <row r="286">
      <c r="A286" s="23" t="n"/>
      <c r="B286" s="23" t="n"/>
      <c r="C286" s="6" t="n"/>
      <c r="D286" s="23" t="n"/>
      <c r="E286" s="23" t="n"/>
      <c r="F286" s="23" t="n"/>
      <c r="G286" s="23" t="n"/>
      <c r="H286" s="7" t="n"/>
      <c r="I286" s="23" t="n"/>
      <c r="J286" s="23" t="n"/>
      <c r="K286" s="8" t="n"/>
      <c r="L286" s="8" t="n"/>
      <c r="M286" s="23" t="n"/>
      <c r="N286" s="23" t="n"/>
      <c r="O286" s="23" t="n"/>
      <c r="P286" s="23" t="n"/>
    </row>
    <row r="287">
      <c r="A287" s="23" t="n"/>
      <c r="B287" s="23" t="n"/>
      <c r="C287" s="6" t="n"/>
      <c r="D287" s="23" t="n"/>
      <c r="E287" s="23" t="n"/>
      <c r="F287" s="23" t="n"/>
      <c r="G287" s="23" t="n"/>
      <c r="H287" s="7" t="n"/>
      <c r="I287" s="23" t="n"/>
      <c r="J287" s="23" t="n"/>
      <c r="K287" s="8" t="n"/>
      <c r="L287" s="8" t="n"/>
      <c r="M287" s="23" t="n"/>
      <c r="N287" s="23" t="n"/>
      <c r="O287" s="23" t="n"/>
      <c r="P287" s="23" t="n"/>
    </row>
    <row r="288">
      <c r="A288" s="23" t="n"/>
      <c r="B288" s="23" t="n"/>
      <c r="C288" s="6" t="n"/>
      <c r="D288" s="23" t="n"/>
      <c r="E288" s="23" t="n"/>
      <c r="F288" s="23" t="n"/>
      <c r="G288" s="23" t="n"/>
      <c r="H288" s="7" t="n"/>
      <c r="I288" s="23" t="n"/>
      <c r="J288" s="23" t="n"/>
      <c r="K288" s="8" t="n"/>
      <c r="L288" s="8" t="n"/>
      <c r="M288" s="23" t="n"/>
      <c r="N288" s="23" t="n"/>
      <c r="O288" s="23" t="n"/>
      <c r="P288" s="23" t="n"/>
    </row>
    <row r="289">
      <c r="A289" s="23" t="n"/>
      <c r="B289" s="23" t="n"/>
      <c r="C289" s="6" t="n"/>
      <c r="D289" s="23" t="n"/>
      <c r="E289" s="23" t="n"/>
      <c r="F289" s="23" t="n"/>
      <c r="G289" s="23" t="n"/>
      <c r="H289" s="7" t="n"/>
      <c r="I289" s="23" t="n"/>
      <c r="J289" s="23" t="n"/>
      <c r="K289" s="8" t="n"/>
      <c r="L289" s="8" t="n"/>
      <c r="M289" s="23" t="n"/>
      <c r="N289" s="23" t="n"/>
      <c r="O289" s="23" t="n"/>
      <c r="P289" s="23" t="n"/>
    </row>
    <row r="290">
      <c r="A290" s="23" t="n"/>
      <c r="B290" s="23" t="n"/>
      <c r="C290" s="6" t="n"/>
      <c r="D290" s="23" t="n"/>
      <c r="E290" s="23" t="n"/>
      <c r="F290" s="23" t="n"/>
      <c r="G290" s="23" t="n"/>
      <c r="H290" s="7" t="n"/>
      <c r="I290" s="23" t="n"/>
      <c r="J290" s="23" t="n"/>
      <c r="K290" s="8" t="n"/>
      <c r="L290" s="8" t="n"/>
      <c r="M290" s="23" t="n"/>
      <c r="N290" s="23" t="n"/>
      <c r="O290" s="23" t="n"/>
      <c r="P290" s="23" t="n"/>
    </row>
    <row r="291">
      <c r="A291" s="23" t="n"/>
      <c r="B291" s="23" t="n"/>
      <c r="C291" s="6" t="n"/>
      <c r="D291" s="23" t="n"/>
      <c r="E291" s="23" t="n"/>
      <c r="F291" s="23" t="n"/>
      <c r="G291" s="23" t="n"/>
      <c r="H291" s="7" t="n"/>
      <c r="I291" s="23" t="n"/>
      <c r="J291" s="23" t="n"/>
      <c r="K291" s="8" t="n"/>
      <c r="L291" s="8" t="n"/>
      <c r="M291" s="23" t="n"/>
      <c r="N291" s="23" t="n"/>
      <c r="O291" s="23" t="n"/>
      <c r="P291" s="23" t="n"/>
    </row>
    <row r="292">
      <c r="A292" s="23" t="n"/>
      <c r="B292" s="23" t="n"/>
      <c r="C292" s="6" t="n"/>
      <c r="D292" s="23" t="n"/>
      <c r="E292" s="23" t="n"/>
      <c r="F292" s="23" t="n"/>
      <c r="G292" s="23" t="n"/>
      <c r="H292" s="7" t="n"/>
      <c r="I292" s="23" t="n"/>
      <c r="J292" s="23" t="n"/>
      <c r="K292" s="8" t="n"/>
      <c r="L292" s="8" t="n"/>
      <c r="M292" s="23" t="n"/>
      <c r="N292" s="23" t="n"/>
      <c r="O292" s="23" t="n"/>
      <c r="P292" s="23" t="n"/>
    </row>
    <row r="293">
      <c r="A293" s="23" t="n"/>
      <c r="B293" s="23" t="n"/>
      <c r="C293" s="6" t="n"/>
      <c r="D293" s="23" t="n"/>
      <c r="E293" s="23" t="n"/>
      <c r="F293" s="23" t="n"/>
      <c r="G293" s="23" t="n"/>
      <c r="H293" s="7" t="n"/>
      <c r="I293" s="23" t="n"/>
      <c r="J293" s="23" t="n"/>
      <c r="K293" s="8" t="n"/>
      <c r="L293" s="8" t="n"/>
      <c r="M293" s="23" t="n"/>
      <c r="N293" s="23" t="n"/>
      <c r="O293" s="23" t="n"/>
      <c r="P293" s="23" t="n"/>
    </row>
    <row r="294">
      <c r="A294" s="23" t="n"/>
      <c r="B294" s="23" t="n"/>
      <c r="C294" s="6" t="n"/>
      <c r="D294" s="23" t="n"/>
      <c r="E294" s="23" t="n"/>
      <c r="F294" s="23" t="n"/>
      <c r="G294" s="23" t="n"/>
      <c r="H294" s="7" t="n"/>
      <c r="I294" s="23" t="n"/>
      <c r="J294" s="23" t="n"/>
      <c r="K294" s="8" t="n"/>
      <c r="L294" s="8" t="n"/>
      <c r="M294" s="23" t="n"/>
      <c r="N294" s="23" t="n"/>
      <c r="O294" s="23" t="n"/>
      <c r="P294" s="23" t="n"/>
    </row>
    <row r="295">
      <c r="A295" s="23" t="n"/>
      <c r="B295" s="23" t="n"/>
      <c r="C295" s="6" t="n"/>
      <c r="D295" s="23" t="n"/>
      <c r="E295" s="23" t="n"/>
      <c r="F295" s="23" t="n"/>
      <c r="G295" s="23" t="n"/>
      <c r="H295" s="7" t="n"/>
      <c r="I295" s="23" t="n"/>
      <c r="J295" s="23" t="n"/>
      <c r="K295" s="8" t="n"/>
      <c r="L295" s="8" t="n"/>
      <c r="M295" s="23" t="n"/>
      <c r="N295" s="23" t="n"/>
      <c r="O295" s="23" t="n"/>
      <c r="P295" s="23" t="n"/>
    </row>
    <row r="296">
      <c r="A296" s="23" t="n"/>
      <c r="B296" s="23" t="n"/>
      <c r="C296" s="6" t="n"/>
      <c r="D296" s="23" t="n"/>
      <c r="E296" s="23" t="n"/>
      <c r="F296" s="23" t="n"/>
      <c r="G296" s="23" t="n"/>
      <c r="H296" s="7" t="n"/>
      <c r="I296" s="23" t="n"/>
      <c r="J296" s="23" t="n"/>
      <c r="K296" s="8" t="n"/>
      <c r="L296" s="8" t="n"/>
      <c r="M296" s="23" t="n"/>
      <c r="N296" s="23" t="n"/>
      <c r="O296" s="23" t="n"/>
      <c r="P296" s="23" t="n"/>
    </row>
    <row r="297">
      <c r="A297" s="23" t="n"/>
      <c r="B297" s="23" t="n"/>
      <c r="C297" s="6" t="n"/>
      <c r="D297" s="23" t="n"/>
      <c r="E297" s="23" t="n"/>
      <c r="F297" s="23" t="n"/>
      <c r="G297" s="23" t="n"/>
      <c r="H297" s="7" t="n"/>
      <c r="I297" s="23" t="n"/>
      <c r="J297" s="23" t="n"/>
      <c r="K297" s="8" t="n"/>
      <c r="L297" s="8" t="n"/>
      <c r="M297" s="23" t="n"/>
      <c r="N297" s="23" t="n"/>
      <c r="O297" s="23" t="n"/>
      <c r="P297" s="23" t="n"/>
    </row>
    <row r="298">
      <c r="A298" s="23" t="n"/>
      <c r="B298" s="23" t="n"/>
      <c r="C298" s="6" t="n"/>
      <c r="D298" s="23" t="n"/>
      <c r="E298" s="23" t="n"/>
      <c r="F298" s="23" t="n"/>
      <c r="G298" s="23" t="n"/>
      <c r="H298" s="7" t="n"/>
      <c r="I298" s="23" t="n"/>
      <c r="J298" s="23" t="n"/>
      <c r="K298" s="8" t="n"/>
      <c r="L298" s="8" t="n"/>
      <c r="M298" s="23" t="n"/>
      <c r="N298" s="23" t="n"/>
      <c r="O298" s="23" t="n"/>
      <c r="P298" s="23" t="n"/>
    </row>
    <row r="299">
      <c r="A299" s="23" t="n"/>
      <c r="B299" s="23" t="n"/>
      <c r="C299" s="6" t="n"/>
      <c r="D299" s="23" t="n"/>
      <c r="E299" s="23" t="n"/>
      <c r="F299" s="23" t="n"/>
      <c r="G299" s="23" t="n"/>
      <c r="H299" s="7" t="n"/>
      <c r="I299" s="23" t="n"/>
      <c r="J299" s="23" t="n"/>
      <c r="K299" s="8" t="n"/>
      <c r="L299" s="8" t="n"/>
      <c r="M299" s="23" t="n"/>
      <c r="N299" s="23" t="n"/>
      <c r="O299" s="23" t="n"/>
      <c r="P299" s="23" t="n"/>
    </row>
    <row r="300">
      <c r="A300" s="23" t="n"/>
      <c r="B300" s="23" t="n"/>
      <c r="C300" s="6" t="n"/>
      <c r="D300" s="23" t="n"/>
      <c r="E300" s="23" t="n"/>
      <c r="F300" s="23" t="n"/>
      <c r="G300" s="23" t="n"/>
      <c r="H300" s="7" t="n"/>
      <c r="I300" s="23" t="n"/>
      <c r="J300" s="23" t="n"/>
      <c r="K300" s="8" t="n"/>
      <c r="L300" s="8" t="n"/>
      <c r="M300" s="23" t="n"/>
      <c r="N300" s="23" t="n"/>
      <c r="O300" s="23" t="n"/>
      <c r="P300" s="23" t="n"/>
    </row>
    <row r="301">
      <c r="A301" s="23" t="n"/>
      <c r="B301" s="23" t="n"/>
      <c r="C301" s="6" t="n"/>
      <c r="D301" s="23" t="n"/>
      <c r="E301" s="23" t="n"/>
      <c r="F301" s="23" t="n"/>
      <c r="G301" s="23" t="n"/>
      <c r="H301" s="7" t="n"/>
      <c r="I301" s="23" t="n"/>
      <c r="J301" s="23" t="n"/>
      <c r="K301" s="8" t="n"/>
      <c r="L301" s="8" t="n"/>
      <c r="M301" s="23" t="n"/>
      <c r="N301" s="23" t="n"/>
      <c r="O301" s="23" t="n"/>
      <c r="P301" s="23" t="n"/>
    </row>
    <row r="302">
      <c r="A302" s="23" t="n"/>
      <c r="B302" s="23" t="n"/>
      <c r="C302" s="6" t="n"/>
      <c r="D302" s="23" t="n"/>
      <c r="E302" s="23" t="n"/>
      <c r="F302" s="23" t="n"/>
      <c r="G302" s="23" t="n"/>
      <c r="H302" s="7" t="n"/>
      <c r="I302" s="23" t="n"/>
      <c r="J302" s="23" t="n"/>
      <c r="K302" s="8" t="n"/>
      <c r="L302" s="8" t="n"/>
      <c r="M302" s="23" t="n"/>
      <c r="N302" s="23" t="n"/>
      <c r="O302" s="23" t="n"/>
      <c r="P302" s="23" t="n"/>
    </row>
    <row r="303">
      <c r="A303" s="23" t="n"/>
      <c r="B303" s="23" t="n"/>
      <c r="C303" s="6" t="n"/>
      <c r="D303" s="23" t="n"/>
      <c r="E303" s="23" t="n"/>
      <c r="F303" s="23" t="n"/>
      <c r="G303" s="23" t="n"/>
      <c r="H303" s="7" t="n"/>
      <c r="I303" s="23" t="n"/>
      <c r="J303" s="23" t="n"/>
      <c r="K303" s="8" t="n"/>
      <c r="L303" s="8" t="n"/>
      <c r="M303" s="23" t="n"/>
      <c r="N303" s="23" t="n"/>
      <c r="O303" s="23" t="n"/>
      <c r="P303" s="23" t="n"/>
    </row>
    <row r="304">
      <c r="A304" s="23" t="n"/>
      <c r="B304" s="23" t="n"/>
      <c r="C304" s="6" t="n"/>
      <c r="D304" s="23" t="n"/>
      <c r="E304" s="23" t="n"/>
      <c r="F304" s="23" t="n"/>
      <c r="G304" s="23" t="n"/>
      <c r="H304" s="7" t="n"/>
      <c r="I304" s="23" t="n"/>
      <c r="J304" s="23" t="n"/>
      <c r="K304" s="8" t="n"/>
      <c r="L304" s="8" t="n"/>
      <c r="M304" s="23" t="n"/>
      <c r="N304" s="23" t="n"/>
      <c r="O304" s="23" t="n"/>
      <c r="P304" s="23" t="n"/>
    </row>
    <row r="305">
      <c r="A305" s="23" t="n"/>
      <c r="B305" s="23" t="n"/>
      <c r="C305" s="6" t="n"/>
      <c r="D305" s="23" t="n"/>
      <c r="E305" s="23" t="n"/>
      <c r="F305" s="23" t="n"/>
      <c r="G305" s="23" t="n"/>
      <c r="H305" s="7" t="n"/>
      <c r="I305" s="23" t="n"/>
      <c r="J305" s="23" t="n"/>
      <c r="K305" s="8" t="n"/>
      <c r="L305" s="8" t="n"/>
      <c r="M305" s="23" t="n"/>
      <c r="N305" s="23" t="n"/>
      <c r="O305" s="23" t="n"/>
      <c r="P305" s="23" t="n"/>
    </row>
    <row r="306">
      <c r="A306" s="23" t="n"/>
      <c r="B306" s="23" t="n"/>
      <c r="C306" s="6" t="n"/>
      <c r="D306" s="23" t="n"/>
      <c r="E306" s="23" t="n"/>
      <c r="F306" s="23" t="n"/>
      <c r="G306" s="23" t="n"/>
      <c r="H306" s="7" t="n"/>
      <c r="I306" s="23" t="n"/>
      <c r="J306" s="23" t="n"/>
      <c r="K306" s="8" t="n"/>
      <c r="L306" s="8" t="n"/>
      <c r="M306" s="23" t="n"/>
      <c r="N306" s="23" t="n"/>
      <c r="O306" s="23" t="n"/>
      <c r="P306" s="23" t="n"/>
    </row>
    <row r="307">
      <c r="A307" s="23" t="n"/>
      <c r="B307" s="23" t="n"/>
      <c r="C307" s="6" t="n"/>
      <c r="D307" s="23" t="n"/>
      <c r="E307" s="23" t="n"/>
      <c r="F307" s="23" t="n"/>
      <c r="G307" s="23" t="n"/>
      <c r="H307" s="7" t="n"/>
      <c r="I307" s="23" t="n"/>
      <c r="J307" s="23" t="n"/>
      <c r="K307" s="8" t="n"/>
      <c r="L307" s="8" t="n"/>
      <c r="M307" s="23" t="n"/>
      <c r="N307" s="23" t="n"/>
      <c r="O307" s="23" t="n"/>
      <c r="P307" s="23" t="n"/>
    </row>
    <row r="308">
      <c r="A308" s="23" t="n"/>
      <c r="B308" s="23" t="n"/>
      <c r="C308" s="6" t="n"/>
      <c r="D308" s="23" t="n"/>
      <c r="E308" s="23" t="n"/>
      <c r="F308" s="23" t="n"/>
      <c r="G308" s="23" t="n"/>
      <c r="H308" s="7" t="n"/>
      <c r="I308" s="23" t="n"/>
      <c r="J308" s="23" t="n"/>
      <c r="K308" s="8" t="n"/>
      <c r="L308" s="8" t="n"/>
      <c r="M308" s="23" t="n"/>
      <c r="N308" s="23" t="n"/>
      <c r="O308" s="23" t="n"/>
      <c r="P308" s="23" t="n"/>
    </row>
    <row r="309">
      <c r="A309" s="23" t="n"/>
      <c r="B309" s="23" t="n"/>
      <c r="C309" s="6" t="n"/>
      <c r="D309" s="23" t="n"/>
      <c r="E309" s="23" t="n"/>
      <c r="F309" s="23" t="n"/>
      <c r="G309" s="23" t="n"/>
      <c r="H309" s="7" t="n"/>
      <c r="I309" s="23" t="n"/>
      <c r="J309" s="23" t="n"/>
      <c r="K309" s="8" t="n"/>
      <c r="L309" s="8" t="n"/>
      <c r="M309" s="23" t="n"/>
      <c r="N309" s="23" t="n"/>
      <c r="O309" s="23" t="n"/>
      <c r="P309" s="23" t="n"/>
    </row>
    <row r="310">
      <c r="A310" s="23" t="n"/>
      <c r="B310" s="23" t="n"/>
      <c r="C310" s="6" t="n"/>
      <c r="D310" s="23" t="n"/>
      <c r="E310" s="23" t="n"/>
      <c r="F310" s="23" t="n"/>
      <c r="G310" s="23" t="n"/>
      <c r="H310" s="7" t="n"/>
      <c r="I310" s="23" t="n"/>
      <c r="J310" s="23" t="n"/>
      <c r="K310" s="8" t="n"/>
      <c r="L310" s="8" t="n"/>
      <c r="M310" s="23" t="n"/>
      <c r="N310" s="23" t="n"/>
      <c r="O310" s="23" t="n"/>
      <c r="P310" s="23" t="n"/>
    </row>
    <row r="311">
      <c r="A311" s="23" t="n"/>
      <c r="B311" s="23" t="n"/>
      <c r="C311" s="6" t="n"/>
      <c r="D311" s="23" t="n"/>
      <c r="E311" s="23" t="n"/>
      <c r="F311" s="23" t="n"/>
      <c r="G311" s="23" t="n"/>
      <c r="H311" s="7" t="n"/>
      <c r="I311" s="23" t="n"/>
      <c r="J311" s="23" t="n"/>
      <c r="K311" s="8" t="n"/>
      <c r="L311" s="8" t="n"/>
      <c r="M311" s="23" t="n"/>
      <c r="N311" s="23" t="n"/>
      <c r="O311" s="23" t="n"/>
      <c r="P311" s="23" t="n"/>
    </row>
    <row r="312">
      <c r="A312" s="23" t="n"/>
      <c r="B312" s="23" t="n"/>
      <c r="C312" s="6" t="n"/>
      <c r="D312" s="23" t="n"/>
      <c r="E312" s="23" t="n"/>
      <c r="F312" s="23" t="n"/>
      <c r="G312" s="23" t="n"/>
      <c r="H312" s="7" t="n"/>
      <c r="I312" s="23" t="n"/>
      <c r="J312" s="23" t="n"/>
      <c r="K312" s="8" t="n"/>
      <c r="L312" s="8" t="n"/>
      <c r="M312" s="23" t="n"/>
      <c r="N312" s="23" t="n"/>
      <c r="O312" s="23" t="n"/>
      <c r="P312" s="23" t="n"/>
    </row>
    <row r="313">
      <c r="A313" s="23" t="n"/>
      <c r="B313" s="23" t="n"/>
      <c r="C313" s="6" t="n"/>
      <c r="D313" s="23" t="n"/>
      <c r="E313" s="23" t="n"/>
      <c r="F313" s="23" t="n"/>
      <c r="G313" s="23" t="n"/>
      <c r="H313" s="7" t="n"/>
      <c r="I313" s="23" t="n"/>
      <c r="J313" s="23" t="n"/>
      <c r="K313" s="8" t="n"/>
      <c r="L313" s="8" t="n"/>
      <c r="M313" s="23" t="n"/>
      <c r="N313" s="23" t="n"/>
      <c r="O313" s="23" t="n"/>
      <c r="P313" s="23" t="n"/>
    </row>
    <row r="314">
      <c r="A314" s="23" t="n"/>
      <c r="B314" s="23" t="n"/>
      <c r="C314" s="6" t="n"/>
      <c r="D314" s="23" t="n"/>
      <c r="E314" s="23" t="n"/>
      <c r="F314" s="23" t="n"/>
      <c r="G314" s="23" t="n"/>
      <c r="H314" s="7" t="n"/>
      <c r="I314" s="23" t="n"/>
      <c r="J314" s="23" t="n"/>
      <c r="K314" s="8" t="n"/>
      <c r="L314" s="8" t="n"/>
      <c r="M314" s="23" t="n"/>
      <c r="N314" s="23" t="n"/>
      <c r="O314" s="23" t="n"/>
      <c r="P314" s="23" t="n"/>
    </row>
    <row r="315">
      <c r="A315" s="23" t="n"/>
      <c r="B315" s="23" t="n"/>
      <c r="C315" s="6" t="n"/>
      <c r="D315" s="23" t="n"/>
      <c r="E315" s="23" t="n"/>
      <c r="F315" s="23" t="n"/>
      <c r="G315" s="23" t="n"/>
      <c r="H315" s="7" t="n"/>
      <c r="I315" s="23" t="n"/>
      <c r="J315" s="23" t="n"/>
      <c r="K315" s="8" t="n"/>
      <c r="L315" s="8" t="n"/>
      <c r="M315" s="23" t="n"/>
      <c r="N315" s="23" t="n"/>
      <c r="O315" s="23" t="n"/>
      <c r="P315" s="23" t="n"/>
    </row>
    <row r="316">
      <c r="A316" s="23" t="n"/>
      <c r="B316" s="23" t="n"/>
      <c r="C316" s="6" t="n"/>
      <c r="D316" s="23" t="n"/>
      <c r="E316" s="23" t="n"/>
      <c r="F316" s="23" t="n"/>
      <c r="G316" s="23" t="n"/>
      <c r="H316" s="7" t="n"/>
      <c r="I316" s="23" t="n"/>
      <c r="J316" s="23" t="n"/>
      <c r="K316" s="8" t="n"/>
      <c r="L316" s="8" t="n"/>
      <c r="M316" s="23" t="n"/>
      <c r="N316" s="23" t="n"/>
      <c r="O316" s="23" t="n"/>
      <c r="P316" s="23" t="n"/>
    </row>
    <row r="317">
      <c r="A317" s="23" t="n"/>
      <c r="B317" s="23" t="n"/>
      <c r="C317" s="6" t="n"/>
      <c r="D317" s="23" t="n"/>
      <c r="E317" s="23" t="n"/>
      <c r="F317" s="23" t="n"/>
      <c r="G317" s="23" t="n"/>
      <c r="H317" s="7" t="n"/>
      <c r="I317" s="23" t="n"/>
      <c r="J317" s="23" t="n"/>
      <c r="K317" s="8" t="n"/>
      <c r="L317" s="8" t="n"/>
      <c r="M317" s="23" t="n"/>
      <c r="N317" s="23" t="n"/>
      <c r="O317" s="23" t="n"/>
      <c r="P317" s="23" t="n"/>
    </row>
    <row r="318">
      <c r="A318" s="23" t="n"/>
      <c r="B318" s="23" t="n"/>
      <c r="C318" s="6" t="n"/>
      <c r="D318" s="23" t="n"/>
      <c r="E318" s="23" t="n"/>
      <c r="F318" s="23" t="n"/>
      <c r="G318" s="23" t="n"/>
      <c r="H318" s="7" t="n"/>
      <c r="I318" s="23" t="n"/>
      <c r="J318" s="23" t="n"/>
      <c r="K318" s="8" t="n"/>
      <c r="L318" s="8" t="n"/>
      <c r="M318" s="23" t="n"/>
      <c r="N318" s="23" t="n"/>
      <c r="O318" s="23" t="n"/>
      <c r="P318" s="23" t="n"/>
    </row>
    <row r="319">
      <c r="A319" s="23" t="n"/>
      <c r="B319" s="23" t="n"/>
      <c r="C319" s="6" t="n"/>
      <c r="D319" s="23" t="n"/>
      <c r="E319" s="23" t="n"/>
      <c r="F319" s="23" t="n"/>
      <c r="G319" s="23" t="n"/>
      <c r="H319" s="7" t="n"/>
      <c r="I319" s="23" t="n"/>
      <c r="J319" s="23" t="n"/>
      <c r="K319" s="8" t="n"/>
      <c r="L319" s="8" t="n"/>
      <c r="M319" s="23" t="n"/>
      <c r="N319" s="23" t="n"/>
      <c r="O319" s="23" t="n"/>
      <c r="P319" s="23" t="n"/>
    </row>
    <row r="320">
      <c r="A320" s="23" t="n"/>
      <c r="B320" s="23" t="n"/>
      <c r="C320" s="6" t="n"/>
      <c r="D320" s="23" t="n"/>
      <c r="E320" s="23" t="n"/>
      <c r="F320" s="23" t="n"/>
      <c r="G320" s="23" t="n"/>
      <c r="H320" s="7" t="n"/>
      <c r="I320" s="23" t="n"/>
      <c r="J320" s="23" t="n"/>
      <c r="K320" s="8" t="n"/>
      <c r="L320" s="8" t="n"/>
      <c r="M320" s="23" t="n"/>
      <c r="N320" s="23" t="n"/>
      <c r="O320" s="23" t="n"/>
      <c r="P320" s="23" t="n"/>
    </row>
    <row r="321">
      <c r="A321" s="23" t="n"/>
      <c r="B321" s="23" t="n"/>
      <c r="C321" s="6" t="n"/>
      <c r="D321" s="23" t="n"/>
      <c r="E321" s="23" t="n"/>
      <c r="F321" s="23" t="n"/>
      <c r="G321" s="23" t="n"/>
      <c r="H321" s="7" t="n"/>
      <c r="I321" s="23" t="n"/>
      <c r="J321" s="23" t="n"/>
      <c r="K321" s="8" t="n"/>
      <c r="L321" s="8" t="n"/>
      <c r="M321" s="23" t="n"/>
      <c r="N321" s="23" t="n"/>
      <c r="O321" s="23" t="n"/>
      <c r="P321" s="23" t="n"/>
    </row>
    <row r="322">
      <c r="A322" s="23" t="n"/>
      <c r="B322" s="23" t="n"/>
      <c r="C322" s="6" t="n"/>
      <c r="D322" s="23" t="n"/>
      <c r="E322" s="23" t="n"/>
      <c r="F322" s="23" t="n"/>
      <c r="G322" s="23" t="n"/>
      <c r="H322" s="7" t="n"/>
      <c r="I322" s="23" t="n"/>
      <c r="J322" s="23" t="n"/>
      <c r="K322" s="8" t="n"/>
      <c r="L322" s="8" t="n"/>
      <c r="M322" s="23" t="n"/>
      <c r="N322" s="23" t="n"/>
      <c r="O322" s="23" t="n"/>
      <c r="P322" s="23" t="n"/>
    </row>
    <row r="323">
      <c r="A323" s="23" t="n"/>
      <c r="B323" s="23" t="n"/>
      <c r="C323" s="6" t="n"/>
      <c r="D323" s="23" t="n"/>
      <c r="E323" s="23" t="n"/>
      <c r="F323" s="23" t="n"/>
      <c r="G323" s="23" t="n"/>
      <c r="H323" s="7" t="n"/>
      <c r="I323" s="23" t="n"/>
      <c r="J323" s="23" t="n"/>
      <c r="K323" s="8" t="n"/>
      <c r="L323" s="8" t="n"/>
      <c r="M323" s="23" t="n"/>
      <c r="N323" s="23" t="n"/>
      <c r="O323" s="23" t="n"/>
      <c r="P323" s="23" t="n"/>
    </row>
    <row r="324">
      <c r="A324" s="23" t="n"/>
      <c r="B324" s="23" t="n"/>
      <c r="C324" s="6" t="n"/>
      <c r="D324" s="23" t="n"/>
      <c r="E324" s="23" t="n"/>
      <c r="F324" s="23" t="n"/>
      <c r="G324" s="23" t="n"/>
      <c r="H324" s="7" t="n"/>
      <c r="I324" s="23" t="n"/>
      <c r="J324" s="23" t="n"/>
      <c r="K324" s="8" t="n"/>
      <c r="L324" s="8" t="n"/>
      <c r="M324" s="23" t="n"/>
      <c r="N324" s="23" t="n"/>
      <c r="O324" s="23" t="n"/>
      <c r="P324" s="23" t="n"/>
    </row>
    <row r="325">
      <c r="A325" s="23" t="n"/>
      <c r="B325" s="23" t="n"/>
      <c r="C325" s="6" t="n"/>
      <c r="D325" s="23" t="n"/>
      <c r="E325" s="23" t="n"/>
      <c r="F325" s="23" t="n"/>
      <c r="G325" s="23" t="n"/>
      <c r="H325" s="7" t="n"/>
      <c r="I325" s="23" t="n"/>
      <c r="J325" s="23" t="n"/>
      <c r="K325" s="8" t="n"/>
      <c r="L325" s="8" t="n"/>
      <c r="M325" s="23" t="n"/>
      <c r="N325" s="23" t="n"/>
      <c r="O325" s="23" t="n"/>
      <c r="P325" s="23" t="n"/>
    </row>
    <row r="326">
      <c r="A326" s="23" t="n"/>
      <c r="B326" s="23" t="n"/>
      <c r="C326" s="6" t="n"/>
      <c r="D326" s="23" t="n"/>
      <c r="E326" s="23" t="n"/>
      <c r="F326" s="23" t="n"/>
      <c r="G326" s="23" t="n"/>
      <c r="H326" s="7" t="n"/>
      <c r="I326" s="23" t="n"/>
      <c r="J326" s="23" t="n"/>
      <c r="K326" s="8" t="n"/>
      <c r="L326" s="8" t="n"/>
      <c r="M326" s="23" t="n"/>
      <c r="N326" s="23" t="n"/>
      <c r="O326" s="23" t="n"/>
      <c r="P326" s="23" t="n"/>
    </row>
    <row r="327">
      <c r="A327" s="23" t="n"/>
      <c r="B327" s="23" t="n"/>
      <c r="C327" s="6" t="n"/>
      <c r="D327" s="23" t="n"/>
      <c r="E327" s="23" t="n"/>
      <c r="F327" s="23" t="n"/>
      <c r="G327" s="23" t="n"/>
      <c r="H327" s="7" t="n"/>
      <c r="I327" s="23" t="n"/>
      <c r="J327" s="23" t="n"/>
      <c r="K327" s="8" t="n"/>
      <c r="L327" s="8" t="n"/>
      <c r="M327" s="23" t="n"/>
      <c r="N327" s="23" t="n"/>
      <c r="O327" s="23" t="n"/>
      <c r="P327" s="23" t="n"/>
    </row>
    <row r="328">
      <c r="A328" s="23" t="n"/>
      <c r="B328" s="23" t="n"/>
      <c r="C328" s="6" t="n"/>
      <c r="D328" s="23" t="n"/>
      <c r="E328" s="23" t="n"/>
      <c r="F328" s="23" t="n"/>
      <c r="G328" s="23" t="n"/>
      <c r="H328" s="7" t="n"/>
      <c r="I328" s="23" t="n"/>
      <c r="J328" s="23" t="n"/>
      <c r="K328" s="8" t="n"/>
      <c r="L328" s="8" t="n"/>
      <c r="M328" s="23" t="n"/>
      <c r="N328" s="23" t="n"/>
      <c r="O328" s="23" t="n"/>
      <c r="P328" s="23" t="n"/>
    </row>
    <row r="329">
      <c r="A329" s="23" t="n"/>
      <c r="B329" s="23" t="n"/>
      <c r="C329" s="6" t="n"/>
      <c r="D329" s="23" t="n"/>
      <c r="E329" s="23" t="n"/>
      <c r="F329" s="23" t="n"/>
      <c r="G329" s="23" t="n"/>
      <c r="H329" s="7" t="n"/>
      <c r="I329" s="23" t="n"/>
      <c r="J329" s="23" t="n"/>
      <c r="K329" s="8" t="n"/>
      <c r="L329" s="8" t="n"/>
      <c r="M329" s="23" t="n"/>
      <c r="N329" s="23" t="n"/>
      <c r="O329" s="23" t="n"/>
      <c r="P329" s="23" t="n"/>
    </row>
    <row r="330">
      <c r="A330" s="23" t="n"/>
      <c r="B330" s="23" t="n"/>
      <c r="C330" s="6" t="n"/>
      <c r="D330" s="23" t="n"/>
      <c r="E330" s="23" t="n"/>
      <c r="F330" s="23" t="n"/>
      <c r="G330" s="23" t="n"/>
      <c r="H330" s="7" t="n"/>
      <c r="I330" s="23" t="n"/>
      <c r="J330" s="23" t="n"/>
      <c r="K330" s="8" t="n"/>
      <c r="L330" s="8" t="n"/>
      <c r="M330" s="23" t="n"/>
      <c r="N330" s="23" t="n"/>
      <c r="O330" s="23" t="n"/>
      <c r="P330" s="23" t="n"/>
    </row>
    <row r="331">
      <c r="A331" s="23" t="n"/>
      <c r="B331" s="23" t="n"/>
      <c r="C331" s="6" t="n"/>
      <c r="D331" s="23" t="n"/>
      <c r="E331" s="23" t="n"/>
      <c r="F331" s="23" t="n"/>
      <c r="G331" s="23" t="n"/>
      <c r="H331" s="7" t="n"/>
      <c r="I331" s="23" t="n"/>
      <c r="J331" s="23" t="n"/>
      <c r="K331" s="8" t="n"/>
      <c r="L331" s="8" t="n"/>
      <c r="M331" s="23" t="n"/>
      <c r="N331" s="23" t="n"/>
      <c r="O331" s="23" t="n"/>
      <c r="P331" s="23" t="n"/>
    </row>
    <row r="332">
      <c r="A332" s="23" t="n"/>
      <c r="B332" s="23" t="n"/>
      <c r="C332" s="6" t="n"/>
      <c r="D332" s="23" t="n"/>
      <c r="E332" s="23" t="n"/>
      <c r="F332" s="23" t="n"/>
      <c r="G332" s="23" t="n"/>
      <c r="H332" s="7" t="n"/>
      <c r="I332" s="23" t="n"/>
      <c r="J332" s="23" t="n"/>
      <c r="K332" s="8" t="n"/>
      <c r="L332" s="8" t="n"/>
      <c r="M332" s="23" t="n"/>
      <c r="N332" s="23" t="n"/>
      <c r="O332" s="23" t="n"/>
      <c r="P332" s="23" t="n"/>
    </row>
    <row r="333">
      <c r="A333" s="23" t="n"/>
      <c r="B333" s="23" t="n"/>
      <c r="C333" s="6" t="n"/>
      <c r="D333" s="23" t="n"/>
      <c r="E333" s="23" t="n"/>
      <c r="F333" s="23" t="n"/>
      <c r="G333" s="23" t="n"/>
      <c r="H333" s="7" t="n"/>
      <c r="I333" s="23" t="n"/>
      <c r="J333" s="23" t="n"/>
      <c r="K333" s="8" t="n"/>
      <c r="L333" s="8" t="n"/>
      <c r="M333" s="23" t="n"/>
      <c r="N333" s="23" t="n"/>
      <c r="O333" s="23" t="n"/>
      <c r="P333" s="23" t="n"/>
    </row>
    <row r="334">
      <c r="A334" s="23" t="n"/>
      <c r="B334" s="23" t="n"/>
      <c r="C334" s="6" t="n"/>
      <c r="D334" s="23" t="n"/>
      <c r="E334" s="23" t="n"/>
      <c r="F334" s="23" t="n"/>
      <c r="G334" s="23" t="n"/>
      <c r="H334" s="7" t="n"/>
      <c r="I334" s="23" t="n"/>
      <c r="J334" s="23" t="n"/>
      <c r="K334" s="8" t="n"/>
      <c r="L334" s="8" t="n"/>
      <c r="M334" s="23" t="n"/>
      <c r="N334" s="23" t="n"/>
      <c r="O334" s="23" t="n"/>
      <c r="P334" s="23" t="n"/>
    </row>
    <row r="335">
      <c r="A335" s="23" t="n"/>
      <c r="B335" s="23" t="n"/>
      <c r="C335" s="6" t="n"/>
      <c r="D335" s="23" t="n"/>
      <c r="E335" s="23" t="n"/>
      <c r="F335" s="23" t="n"/>
      <c r="G335" s="23" t="n"/>
      <c r="H335" s="7" t="n"/>
      <c r="I335" s="23" t="n"/>
      <c r="J335" s="23" t="n"/>
      <c r="K335" s="8" t="n"/>
      <c r="L335" s="8" t="n"/>
      <c r="M335" s="23" t="n"/>
      <c r="N335" s="23" t="n"/>
      <c r="O335" s="23" t="n"/>
      <c r="P335" s="23" t="n"/>
    </row>
    <row r="336">
      <c r="A336" s="23" t="n"/>
      <c r="B336" s="23" t="n"/>
      <c r="C336" s="6" t="n"/>
      <c r="D336" s="23" t="n"/>
      <c r="E336" s="23" t="n"/>
      <c r="F336" s="23" t="n"/>
      <c r="G336" s="23" t="n"/>
      <c r="H336" s="7" t="n"/>
      <c r="I336" s="23" t="n"/>
      <c r="J336" s="23" t="n"/>
      <c r="K336" s="8" t="n"/>
      <c r="L336" s="8" t="n"/>
      <c r="M336" s="23" t="n"/>
      <c r="N336" s="23" t="n"/>
      <c r="O336" s="23" t="n"/>
      <c r="P336" s="23" t="n"/>
    </row>
    <row r="337">
      <c r="A337" s="23" t="n"/>
      <c r="B337" s="23" t="n"/>
      <c r="C337" s="6" t="n"/>
      <c r="D337" s="23" t="n"/>
      <c r="E337" s="23" t="n"/>
      <c r="F337" s="23" t="n"/>
      <c r="G337" s="23" t="n"/>
      <c r="H337" s="7" t="n"/>
      <c r="I337" s="23" t="n"/>
      <c r="J337" s="23" t="n"/>
      <c r="K337" s="8" t="n"/>
      <c r="L337" s="8" t="n"/>
      <c r="M337" s="23" t="n"/>
      <c r="N337" s="23" t="n"/>
      <c r="O337" s="23" t="n"/>
      <c r="P337" s="23" t="n"/>
    </row>
    <row r="338">
      <c r="A338" s="23" t="n"/>
      <c r="B338" s="23" t="n"/>
      <c r="C338" s="6" t="n"/>
      <c r="D338" s="23" t="n"/>
      <c r="E338" s="23" t="n"/>
      <c r="F338" s="23" t="n"/>
      <c r="G338" s="23" t="n"/>
      <c r="H338" s="7" t="n"/>
      <c r="I338" s="23" t="n"/>
      <c r="J338" s="23" t="n"/>
      <c r="K338" s="8" t="n"/>
      <c r="L338" s="8" t="n"/>
      <c r="M338" s="23" t="n"/>
      <c r="N338" s="23" t="n"/>
      <c r="O338" s="23" t="n"/>
      <c r="P338" s="23" t="n"/>
    </row>
    <row r="339">
      <c r="A339" s="23" t="n"/>
      <c r="B339" s="23" t="n"/>
      <c r="C339" s="6" t="n"/>
      <c r="D339" s="23" t="n"/>
      <c r="E339" s="23" t="n"/>
      <c r="F339" s="23" t="n"/>
      <c r="G339" s="23" t="n"/>
      <c r="H339" s="7" t="n"/>
      <c r="I339" s="23" t="n"/>
      <c r="J339" s="23" t="n"/>
      <c r="K339" s="8" t="n"/>
      <c r="L339" s="8" t="n"/>
      <c r="M339" s="23" t="n"/>
      <c r="N339" s="23" t="n"/>
      <c r="O339" s="23" t="n"/>
      <c r="P339" s="23" t="n"/>
    </row>
    <row r="340">
      <c r="A340" s="23" t="n"/>
      <c r="B340" s="23" t="n"/>
      <c r="C340" s="6" t="n"/>
      <c r="D340" s="23" t="n"/>
      <c r="E340" s="23" t="n"/>
      <c r="F340" s="23" t="n"/>
      <c r="G340" s="23" t="n"/>
      <c r="H340" s="7" t="n"/>
      <c r="I340" s="23" t="n"/>
      <c r="J340" s="23" t="n"/>
      <c r="K340" s="8" t="n"/>
      <c r="L340" s="8" t="n"/>
      <c r="M340" s="23" t="n"/>
      <c r="N340" s="23" t="n"/>
      <c r="O340" s="23" t="n"/>
      <c r="P340" s="23" t="n"/>
    </row>
    <row r="341">
      <c r="A341" s="23" t="n"/>
      <c r="B341" s="23" t="n"/>
      <c r="C341" s="6" t="n"/>
      <c r="D341" s="23" t="n"/>
      <c r="E341" s="23" t="n"/>
      <c r="F341" s="23" t="n"/>
      <c r="G341" s="23" t="n"/>
      <c r="H341" s="7" t="n"/>
      <c r="I341" s="23" t="n"/>
      <c r="J341" s="23" t="n"/>
      <c r="K341" s="8" t="n"/>
      <c r="L341" s="8" t="n"/>
      <c r="M341" s="23" t="n"/>
      <c r="N341" s="23" t="n"/>
      <c r="O341" s="23" t="n"/>
      <c r="P341" s="23" t="n"/>
    </row>
    <row r="342">
      <c r="A342" s="23" t="n"/>
      <c r="B342" s="23" t="n"/>
      <c r="C342" s="6" t="n"/>
      <c r="D342" s="23" t="n"/>
      <c r="E342" s="23" t="n"/>
      <c r="F342" s="23" t="n"/>
      <c r="G342" s="23" t="n"/>
      <c r="H342" s="7" t="n"/>
      <c r="I342" s="23" t="n"/>
      <c r="J342" s="23" t="n"/>
      <c r="K342" s="8" t="n"/>
      <c r="L342" s="8" t="n"/>
      <c r="M342" s="23" t="n"/>
      <c r="N342" s="23" t="n"/>
      <c r="O342" s="23" t="n"/>
      <c r="P342" s="23" t="n"/>
    </row>
    <row r="343">
      <c r="A343" s="23" t="n"/>
      <c r="B343" s="23" t="n"/>
      <c r="C343" s="6" t="n"/>
      <c r="D343" s="23" t="n"/>
      <c r="E343" s="23" t="n"/>
      <c r="F343" s="23" t="n"/>
      <c r="G343" s="23" t="n"/>
      <c r="H343" s="7" t="n"/>
      <c r="I343" s="23" t="n"/>
      <c r="J343" s="23" t="n"/>
      <c r="K343" s="8" t="n"/>
      <c r="L343" s="8" t="n"/>
      <c r="M343" s="23" t="n"/>
      <c r="N343" s="23" t="n"/>
      <c r="O343" s="23" t="n"/>
      <c r="P343" s="23" t="n"/>
    </row>
    <row r="344">
      <c r="A344" s="23" t="n"/>
      <c r="B344" s="23" t="n"/>
      <c r="C344" s="6" t="n"/>
      <c r="D344" s="23" t="n"/>
      <c r="E344" s="23" t="n"/>
      <c r="F344" s="23" t="n"/>
      <c r="G344" s="23" t="n"/>
      <c r="H344" s="7" t="n"/>
      <c r="I344" s="23" t="n"/>
      <c r="J344" s="23" t="n"/>
      <c r="K344" s="8" t="n"/>
      <c r="L344" s="8" t="n"/>
      <c r="M344" s="23" t="n"/>
      <c r="N344" s="23" t="n"/>
      <c r="O344" s="23" t="n"/>
      <c r="P344" s="23" t="n"/>
    </row>
    <row r="345">
      <c r="A345" s="23" t="n"/>
      <c r="B345" s="23" t="n"/>
      <c r="C345" s="6" t="n"/>
      <c r="D345" s="23" t="n"/>
      <c r="E345" s="23" t="n"/>
      <c r="F345" s="23" t="n"/>
      <c r="G345" s="23" t="n"/>
      <c r="H345" s="7" t="n"/>
      <c r="I345" s="23" t="n"/>
      <c r="J345" s="23" t="n"/>
      <c r="K345" s="8" t="n"/>
      <c r="L345" s="8" t="n"/>
      <c r="M345" s="23" t="n"/>
      <c r="N345" s="23" t="n"/>
      <c r="O345" s="23" t="n"/>
      <c r="P345" s="23" t="n"/>
    </row>
    <row r="346">
      <c r="A346" s="23" t="n"/>
      <c r="B346" s="23" t="n"/>
      <c r="C346" s="6" t="n"/>
      <c r="D346" s="23" t="n"/>
      <c r="E346" s="23" t="n"/>
      <c r="F346" s="23" t="n"/>
      <c r="G346" s="23" t="n"/>
      <c r="H346" s="7" t="n"/>
      <c r="I346" s="23" t="n"/>
      <c r="J346" s="23" t="n"/>
      <c r="K346" s="8" t="n"/>
      <c r="L346" s="8" t="n"/>
      <c r="M346" s="23" t="n"/>
      <c r="N346" s="23" t="n"/>
      <c r="O346" s="23" t="n"/>
      <c r="P346" s="23" t="n"/>
    </row>
    <row r="347">
      <c r="A347" s="23" t="n"/>
      <c r="B347" s="23" t="n"/>
      <c r="C347" s="6" t="n"/>
      <c r="D347" s="23" t="n"/>
      <c r="E347" s="23" t="n"/>
      <c r="F347" s="23" t="n"/>
      <c r="G347" s="23" t="n"/>
      <c r="H347" s="7" t="n"/>
      <c r="I347" s="23" t="n"/>
      <c r="J347" s="23" t="n"/>
      <c r="K347" s="8" t="n"/>
      <c r="L347" s="8" t="n"/>
      <c r="M347" s="23" t="n"/>
      <c r="N347" s="23" t="n"/>
      <c r="O347" s="23" t="n"/>
      <c r="P347" s="23" t="n"/>
    </row>
    <row r="348">
      <c r="A348" s="23" t="n"/>
      <c r="B348" s="23" t="n"/>
      <c r="C348" s="6" t="n"/>
      <c r="D348" s="23" t="n"/>
      <c r="E348" s="23" t="n"/>
      <c r="F348" s="23" t="n"/>
      <c r="G348" s="23" t="n"/>
      <c r="H348" s="7" t="n"/>
      <c r="I348" s="23" t="n"/>
      <c r="J348" s="23" t="n"/>
      <c r="K348" s="8" t="n"/>
      <c r="L348" s="8" t="n"/>
      <c r="M348" s="23" t="n"/>
      <c r="N348" s="23" t="n"/>
      <c r="O348" s="23" t="n"/>
      <c r="P348" s="23" t="n"/>
    </row>
    <row r="349">
      <c r="A349" s="23" t="n"/>
      <c r="B349" s="23" t="n"/>
      <c r="C349" s="6" t="n"/>
      <c r="D349" s="23" t="n"/>
      <c r="E349" s="23" t="n"/>
      <c r="F349" s="23" t="n"/>
      <c r="G349" s="23" t="n"/>
      <c r="H349" s="7" t="n"/>
      <c r="I349" s="23" t="n"/>
      <c r="J349" s="23" t="n"/>
      <c r="K349" s="8" t="n"/>
      <c r="L349" s="8" t="n"/>
      <c r="M349" s="23" t="n"/>
      <c r="N349" s="23" t="n"/>
      <c r="O349" s="23" t="n"/>
      <c r="P349" s="23" t="n"/>
    </row>
    <row r="350">
      <c r="A350" s="23" t="n"/>
      <c r="B350" s="23" t="n"/>
      <c r="C350" s="6" t="n"/>
      <c r="D350" s="23" t="n"/>
      <c r="E350" s="23" t="n"/>
      <c r="F350" s="23" t="n"/>
      <c r="G350" s="23" t="n"/>
      <c r="H350" s="7" t="n"/>
      <c r="I350" s="23" t="n"/>
      <c r="J350" s="23" t="n"/>
      <c r="K350" s="8" t="n"/>
      <c r="L350" s="8" t="n"/>
      <c r="M350" s="23" t="n"/>
      <c r="N350" s="23" t="n"/>
      <c r="O350" s="23" t="n"/>
      <c r="P350" s="23" t="n"/>
    </row>
    <row r="351">
      <c r="A351" s="23" t="n"/>
      <c r="B351" s="23" t="n"/>
      <c r="C351" s="6" t="n"/>
      <c r="D351" s="23" t="n"/>
      <c r="E351" s="23" t="n"/>
      <c r="F351" s="23" t="n"/>
      <c r="G351" s="23" t="n"/>
      <c r="H351" s="7" t="n"/>
      <c r="I351" s="23" t="n"/>
      <c r="J351" s="23" t="n"/>
      <c r="K351" s="8" t="n"/>
      <c r="L351" s="8" t="n"/>
      <c r="M351" s="23" t="n"/>
      <c r="N351" s="23" t="n"/>
      <c r="O351" s="23" t="n"/>
      <c r="P351" s="23" t="n"/>
    </row>
    <row r="352">
      <c r="A352" s="23" t="n"/>
      <c r="B352" s="23" t="n"/>
      <c r="C352" s="6" t="n"/>
      <c r="D352" s="23" t="n"/>
      <c r="E352" s="23" t="n"/>
      <c r="F352" s="23" t="n"/>
      <c r="G352" s="23" t="n"/>
      <c r="H352" s="7" t="n"/>
      <c r="I352" s="23" t="n"/>
      <c r="J352" s="23" t="n"/>
      <c r="K352" s="8" t="n"/>
      <c r="L352" s="8" t="n"/>
      <c r="M352" s="23" t="n"/>
      <c r="N352" s="23" t="n"/>
      <c r="O352" s="23" t="n"/>
      <c r="P352" s="23" t="n"/>
    </row>
    <row r="353">
      <c r="A353" s="23" t="n"/>
      <c r="B353" s="23" t="n"/>
      <c r="C353" s="6" t="n"/>
      <c r="D353" s="23" t="n"/>
      <c r="E353" s="23" t="n"/>
      <c r="F353" s="23" t="n"/>
      <c r="G353" s="23" t="n"/>
      <c r="H353" s="7" t="n"/>
      <c r="I353" s="23" t="n"/>
      <c r="J353" s="23" t="n"/>
      <c r="K353" s="8" t="n"/>
      <c r="L353" s="8" t="n"/>
      <c r="M353" s="23" t="n"/>
      <c r="N353" s="23" t="n"/>
      <c r="O353" s="23" t="n"/>
      <c r="P353" s="23" t="n"/>
    </row>
    <row r="354">
      <c r="A354" s="23" t="n"/>
      <c r="B354" s="23" t="n"/>
      <c r="C354" s="6" t="n"/>
      <c r="D354" s="23" t="n"/>
      <c r="E354" s="23" t="n"/>
      <c r="F354" s="23" t="n"/>
      <c r="G354" s="23" t="n"/>
      <c r="H354" s="7" t="n"/>
      <c r="I354" s="23" t="n"/>
      <c r="J354" s="23" t="n"/>
      <c r="K354" s="8" t="n"/>
      <c r="L354" s="8" t="n"/>
      <c r="M354" s="23" t="n"/>
      <c r="N354" s="23" t="n"/>
      <c r="O354" s="23" t="n"/>
      <c r="P354" s="23" t="n"/>
    </row>
    <row r="355">
      <c r="A355" s="23" t="n"/>
      <c r="B355" s="23" t="n"/>
      <c r="C355" s="6" t="n"/>
      <c r="D355" s="23" t="n"/>
      <c r="E355" s="23" t="n"/>
      <c r="F355" s="23" t="n"/>
      <c r="G355" s="23" t="n"/>
      <c r="H355" s="7" t="n"/>
      <c r="I355" s="23" t="n"/>
      <c r="J355" s="23" t="n"/>
      <c r="K355" s="8" t="n"/>
      <c r="L355" s="8" t="n"/>
      <c r="M355" s="23" t="n"/>
      <c r="N355" s="23" t="n"/>
      <c r="O355" s="23" t="n"/>
      <c r="P355" s="23" t="n"/>
    </row>
    <row r="356">
      <c r="A356" s="23" t="n"/>
      <c r="B356" s="23" t="n"/>
      <c r="C356" s="6" t="n"/>
      <c r="D356" s="23" t="n"/>
      <c r="E356" s="23" t="n"/>
      <c r="F356" s="23" t="n"/>
      <c r="G356" s="23" t="n"/>
      <c r="H356" s="7" t="n"/>
      <c r="I356" s="23" t="n"/>
      <c r="J356" s="23" t="n"/>
      <c r="K356" s="8" t="n"/>
      <c r="L356" s="8" t="n"/>
      <c r="M356" s="23" t="n"/>
      <c r="N356" s="23" t="n"/>
      <c r="O356" s="23" t="n"/>
      <c r="P356" s="23" t="n"/>
    </row>
    <row r="357">
      <c r="A357" s="23" t="n"/>
      <c r="B357" s="23" t="n"/>
      <c r="C357" s="6" t="n"/>
      <c r="D357" s="23" t="n"/>
      <c r="E357" s="23" t="n"/>
      <c r="F357" s="23" t="n"/>
      <c r="G357" s="23" t="n"/>
      <c r="H357" s="7" t="n"/>
      <c r="I357" s="23" t="n"/>
      <c r="J357" s="23" t="n"/>
      <c r="K357" s="8" t="n"/>
      <c r="L357" s="8" t="n"/>
      <c r="M357" s="23" t="n"/>
      <c r="N357" s="23" t="n"/>
      <c r="O357" s="23" t="n"/>
      <c r="P357" s="23" t="n"/>
    </row>
    <row r="358">
      <c r="A358" s="23" t="n"/>
      <c r="B358" s="23" t="n"/>
      <c r="C358" s="6" t="n"/>
      <c r="D358" s="23" t="n"/>
      <c r="E358" s="23" t="n"/>
      <c r="F358" s="23" t="n"/>
      <c r="G358" s="23" t="n"/>
      <c r="H358" s="7" t="n"/>
      <c r="I358" s="23" t="n"/>
      <c r="J358" s="23" t="n"/>
      <c r="K358" s="8" t="n"/>
      <c r="L358" s="8" t="n"/>
      <c r="M358" s="23" t="n"/>
      <c r="N358" s="23" t="n"/>
      <c r="O358" s="23" t="n"/>
      <c r="P358" s="23" t="n"/>
    </row>
    <row r="359">
      <c r="A359" s="23" t="n"/>
      <c r="B359" s="23" t="n"/>
      <c r="C359" s="6" t="n"/>
      <c r="D359" s="23" t="n"/>
      <c r="E359" s="23" t="n"/>
      <c r="F359" s="23" t="n"/>
      <c r="G359" s="23" t="n"/>
      <c r="H359" s="7" t="n"/>
      <c r="I359" s="23" t="n"/>
      <c r="J359" s="23" t="n"/>
      <c r="K359" s="8" t="n"/>
      <c r="L359" s="8" t="n"/>
      <c r="M359" s="23" t="n"/>
      <c r="N359" s="23" t="n"/>
      <c r="O359" s="23" t="n"/>
      <c r="P359" s="23" t="n"/>
    </row>
    <row r="360">
      <c r="A360" s="23" t="n"/>
      <c r="B360" s="23" t="n"/>
      <c r="C360" s="6" t="n"/>
      <c r="D360" s="23" t="n"/>
      <c r="E360" s="23" t="n"/>
      <c r="F360" s="23" t="n"/>
      <c r="G360" s="23" t="n"/>
      <c r="H360" s="7" t="n"/>
      <c r="I360" s="23" t="n"/>
      <c r="J360" s="23" t="n"/>
      <c r="K360" s="8" t="n"/>
      <c r="L360" s="8" t="n"/>
      <c r="M360" s="23" t="n"/>
      <c r="N360" s="23" t="n"/>
      <c r="O360" s="23" t="n"/>
      <c r="P360" s="23" t="n"/>
    </row>
    <row r="361">
      <c r="A361" s="23" t="n"/>
      <c r="B361" s="23" t="n"/>
      <c r="C361" s="6" t="n"/>
      <c r="D361" s="23" t="n"/>
      <c r="E361" s="23" t="n"/>
      <c r="F361" s="23" t="n"/>
      <c r="G361" s="23" t="n"/>
      <c r="H361" s="7" t="n"/>
      <c r="I361" s="23" t="n"/>
      <c r="J361" s="23" t="n"/>
      <c r="K361" s="8" t="n"/>
      <c r="L361" s="8" t="n"/>
      <c r="M361" s="23" t="n"/>
      <c r="N361" s="23" t="n"/>
      <c r="O361" s="23" t="n"/>
      <c r="P361" s="23" t="n"/>
    </row>
    <row r="362">
      <c r="A362" s="23" t="n"/>
      <c r="B362" s="23" t="n"/>
      <c r="C362" s="6" t="n"/>
      <c r="D362" s="23" t="n"/>
      <c r="E362" s="23" t="n"/>
      <c r="F362" s="23" t="n"/>
      <c r="G362" s="23" t="n"/>
      <c r="H362" s="7" t="n"/>
      <c r="I362" s="23" t="n"/>
      <c r="J362" s="23" t="n"/>
      <c r="K362" s="8" t="n"/>
      <c r="L362" s="8" t="n"/>
      <c r="M362" s="23" t="n"/>
      <c r="N362" s="23" t="n"/>
      <c r="O362" s="23" t="n"/>
      <c r="P362" s="23" t="n"/>
    </row>
    <row r="363">
      <c r="A363" s="23" t="n"/>
      <c r="B363" s="23" t="n"/>
      <c r="C363" s="6" t="n"/>
      <c r="D363" s="23" t="n"/>
      <c r="E363" s="23" t="n"/>
      <c r="F363" s="23" t="n"/>
      <c r="G363" s="23" t="n"/>
      <c r="H363" s="7" t="n"/>
      <c r="I363" s="23" t="n"/>
      <c r="J363" s="23" t="n"/>
      <c r="K363" s="8" t="n"/>
      <c r="L363" s="8" t="n"/>
      <c r="M363" s="23" t="n"/>
      <c r="N363" s="23" t="n"/>
      <c r="O363" s="23" t="n"/>
      <c r="P363" s="23" t="n"/>
    </row>
    <row r="364">
      <c r="A364" s="23" t="n"/>
      <c r="B364" s="23" t="n"/>
      <c r="C364" s="6" t="n"/>
      <c r="D364" s="23" t="n"/>
      <c r="E364" s="23" t="n"/>
      <c r="F364" s="23" t="n"/>
      <c r="G364" s="23" t="n"/>
      <c r="H364" s="7" t="n"/>
      <c r="I364" s="23" t="n"/>
      <c r="J364" s="23" t="n"/>
      <c r="K364" s="8" t="n"/>
      <c r="L364" s="8" t="n"/>
      <c r="M364" s="23" t="n"/>
      <c r="N364" s="23" t="n"/>
      <c r="O364" s="23" t="n"/>
      <c r="P364" s="23" t="n"/>
    </row>
    <row r="365">
      <c r="A365" s="23" t="n"/>
      <c r="B365" s="23" t="n"/>
      <c r="C365" s="6" t="n"/>
      <c r="D365" s="23" t="n"/>
      <c r="E365" s="23" t="n"/>
      <c r="F365" s="23" t="n"/>
      <c r="G365" s="23" t="n"/>
      <c r="H365" s="7" t="n"/>
      <c r="I365" s="23" t="n"/>
      <c r="J365" s="23" t="n"/>
      <c r="K365" s="8" t="n"/>
      <c r="L365" s="8" t="n"/>
      <c r="M365" s="23" t="n"/>
      <c r="N365" s="23" t="n"/>
      <c r="O365" s="23" t="n"/>
      <c r="P365" s="23" t="n"/>
    </row>
    <row r="366">
      <c r="A366" s="23" t="n"/>
      <c r="B366" s="23" t="n"/>
      <c r="C366" s="6" t="n"/>
      <c r="D366" s="23" t="n"/>
      <c r="E366" s="23" t="n"/>
      <c r="F366" s="23" t="n"/>
      <c r="G366" s="23" t="n"/>
      <c r="H366" s="7" t="n"/>
      <c r="I366" s="23" t="n"/>
      <c r="J366" s="23" t="n"/>
      <c r="K366" s="8" t="n"/>
      <c r="L366" s="8" t="n"/>
      <c r="M366" s="23" t="n"/>
      <c r="N366" s="23" t="n"/>
      <c r="O366" s="23" t="n"/>
      <c r="P366" s="23" t="n"/>
    </row>
    <row r="367">
      <c r="A367" s="23" t="n"/>
      <c r="B367" s="23" t="n"/>
      <c r="C367" s="6" t="n"/>
      <c r="D367" s="23" t="n"/>
      <c r="E367" s="23" t="n"/>
      <c r="F367" s="23" t="n"/>
      <c r="G367" s="23" t="n"/>
      <c r="H367" s="7" t="n"/>
      <c r="I367" s="23" t="n"/>
      <c r="J367" s="23" t="n"/>
      <c r="K367" s="8" t="n"/>
      <c r="L367" s="8" t="n"/>
      <c r="M367" s="23" t="n"/>
      <c r="N367" s="23" t="n"/>
      <c r="O367" s="23" t="n"/>
      <c r="P367" s="23" t="n"/>
    </row>
    <row r="368">
      <c r="A368" s="23" t="n"/>
      <c r="B368" s="23" t="n"/>
      <c r="C368" s="6" t="n"/>
      <c r="D368" s="23" t="n"/>
      <c r="E368" s="23" t="n"/>
      <c r="F368" s="23" t="n"/>
      <c r="G368" s="23" t="n"/>
      <c r="H368" s="7" t="n"/>
      <c r="I368" s="23" t="n"/>
      <c r="J368" s="23" t="n"/>
      <c r="K368" s="8" t="n"/>
      <c r="L368" s="8" t="n"/>
      <c r="M368" s="23" t="n"/>
      <c r="N368" s="23" t="n"/>
      <c r="O368" s="23" t="n"/>
      <c r="P368" s="23" t="n"/>
    </row>
    <row r="369">
      <c r="A369" s="23" t="n"/>
      <c r="B369" s="23" t="n"/>
      <c r="C369" s="6" t="n"/>
      <c r="D369" s="23" t="n"/>
      <c r="E369" s="23" t="n"/>
      <c r="F369" s="23" t="n"/>
      <c r="G369" s="23" t="n"/>
      <c r="H369" s="7" t="n"/>
      <c r="I369" s="23" t="n"/>
      <c r="J369" s="23" t="n"/>
      <c r="K369" s="8" t="n"/>
      <c r="L369" s="8" t="n"/>
      <c r="M369" s="23" t="n"/>
      <c r="N369" s="23" t="n"/>
      <c r="O369" s="23" t="n"/>
      <c r="P369" s="23" t="n"/>
    </row>
    <row r="370">
      <c r="A370" s="23" t="n"/>
      <c r="B370" s="23" t="n"/>
      <c r="C370" s="6" t="n"/>
      <c r="D370" s="23" t="n"/>
      <c r="E370" s="23" t="n"/>
      <c r="F370" s="23" t="n"/>
      <c r="G370" s="23" t="n"/>
      <c r="H370" s="7" t="n"/>
      <c r="I370" s="23" t="n"/>
      <c r="J370" s="23" t="n"/>
      <c r="K370" s="8" t="n"/>
      <c r="L370" s="8" t="n"/>
      <c r="M370" s="23" t="n"/>
      <c r="N370" s="23" t="n"/>
      <c r="O370" s="23" t="n"/>
      <c r="P370" s="23" t="n"/>
    </row>
    <row r="371">
      <c r="A371" s="23" t="n"/>
      <c r="B371" s="23" t="n"/>
      <c r="C371" s="6" t="n"/>
      <c r="D371" s="23" t="n"/>
      <c r="E371" s="23" t="n"/>
      <c r="F371" s="23" t="n"/>
      <c r="G371" s="23" t="n"/>
      <c r="H371" s="7" t="n"/>
      <c r="I371" s="23" t="n"/>
      <c r="J371" s="23" t="n"/>
      <c r="K371" s="8" t="n"/>
      <c r="L371" s="8" t="n"/>
      <c r="M371" s="23" t="n"/>
      <c r="N371" s="23" t="n"/>
      <c r="O371" s="23" t="n"/>
      <c r="P371" s="23" t="n"/>
    </row>
    <row r="372">
      <c r="A372" s="23" t="n"/>
      <c r="B372" s="23" t="n"/>
      <c r="C372" s="6" t="n"/>
      <c r="D372" s="23" t="n"/>
      <c r="E372" s="23" t="n"/>
      <c r="F372" s="23" t="n"/>
      <c r="G372" s="23" t="n"/>
      <c r="H372" s="7" t="n"/>
      <c r="I372" s="23" t="n"/>
      <c r="J372" s="23" t="n"/>
      <c r="K372" s="8" t="n"/>
      <c r="L372" s="8" t="n"/>
      <c r="M372" s="23" t="n"/>
      <c r="N372" s="23" t="n"/>
      <c r="O372" s="23" t="n"/>
      <c r="P372" s="23" t="n"/>
    </row>
    <row r="373">
      <c r="A373" s="23" t="n"/>
      <c r="B373" s="23" t="n"/>
      <c r="C373" s="6" t="n"/>
      <c r="D373" s="23" t="n"/>
      <c r="E373" s="23" t="n"/>
      <c r="F373" s="23" t="n"/>
      <c r="G373" s="23" t="n"/>
      <c r="H373" s="7" t="n"/>
      <c r="I373" s="23" t="n"/>
      <c r="J373" s="23" t="n"/>
      <c r="K373" s="8" t="n"/>
      <c r="L373" s="8" t="n"/>
      <c r="M373" s="23" t="n"/>
      <c r="N373" s="23" t="n"/>
      <c r="O373" s="23" t="n"/>
      <c r="P373" s="23" t="n"/>
    </row>
    <row r="374">
      <c r="A374" s="23" t="n"/>
      <c r="B374" s="23" t="n"/>
      <c r="C374" s="6" t="n"/>
      <c r="D374" s="23" t="n"/>
      <c r="E374" s="23" t="n"/>
      <c r="F374" s="23" t="n"/>
      <c r="G374" s="23" t="n"/>
      <c r="H374" s="7" t="n"/>
      <c r="I374" s="23" t="n"/>
      <c r="J374" s="23" t="n"/>
      <c r="K374" s="8" t="n"/>
      <c r="L374" s="8" t="n"/>
      <c r="M374" s="23" t="n"/>
      <c r="N374" s="23" t="n"/>
      <c r="O374" s="23" t="n"/>
      <c r="P374" s="23" t="n"/>
    </row>
    <row r="375">
      <c r="A375" s="23" t="n"/>
      <c r="B375" s="23" t="n"/>
      <c r="C375" s="6" t="n"/>
      <c r="D375" s="23" t="n"/>
      <c r="E375" s="23" t="n"/>
      <c r="F375" s="23" t="n"/>
      <c r="G375" s="23" t="n"/>
      <c r="H375" s="7" t="n"/>
      <c r="I375" s="23" t="n"/>
      <c r="J375" s="23" t="n"/>
      <c r="K375" s="8" t="n"/>
      <c r="L375" s="8" t="n"/>
      <c r="M375" s="23" t="n"/>
      <c r="N375" s="23" t="n"/>
      <c r="O375" s="23" t="n"/>
      <c r="P375" s="23" t="n"/>
    </row>
    <row r="376">
      <c r="A376" s="23" t="n"/>
      <c r="B376" s="23" t="n"/>
      <c r="C376" s="6" t="n"/>
      <c r="D376" s="23" t="n"/>
      <c r="E376" s="23" t="n"/>
      <c r="F376" s="23" t="n"/>
      <c r="G376" s="23" t="n"/>
      <c r="H376" s="7" t="n"/>
      <c r="I376" s="23" t="n"/>
      <c r="J376" s="23" t="n"/>
      <c r="K376" s="8" t="n"/>
      <c r="L376" s="8" t="n"/>
      <c r="M376" s="23" t="n"/>
      <c r="N376" s="23" t="n"/>
      <c r="O376" s="23" t="n"/>
      <c r="P376" s="23" t="n"/>
    </row>
    <row r="377">
      <c r="A377" s="23" t="n"/>
      <c r="B377" s="23" t="n"/>
      <c r="C377" s="6" t="n"/>
      <c r="D377" s="23" t="n"/>
      <c r="E377" s="23" t="n"/>
      <c r="F377" s="23" t="n"/>
      <c r="G377" s="23" t="n"/>
      <c r="H377" s="7" t="n"/>
      <c r="I377" s="23" t="n"/>
      <c r="J377" s="23" t="n"/>
      <c r="K377" s="8" t="n"/>
      <c r="L377" s="8" t="n"/>
      <c r="M377" s="23" t="n"/>
      <c r="N377" s="23" t="n"/>
      <c r="O377" s="23" t="n"/>
      <c r="P377" s="23" t="n"/>
    </row>
    <row r="378">
      <c r="A378" s="23" t="n"/>
      <c r="B378" s="23" t="n"/>
      <c r="C378" s="6" t="n"/>
      <c r="D378" s="23" t="n"/>
      <c r="E378" s="23" t="n"/>
      <c r="F378" s="23" t="n"/>
      <c r="G378" s="23" t="n"/>
      <c r="H378" s="7" t="n"/>
      <c r="I378" s="23" t="n"/>
      <c r="J378" s="23" t="n"/>
      <c r="K378" s="8" t="n"/>
      <c r="L378" s="8" t="n"/>
      <c r="M378" s="23" t="n"/>
      <c r="N378" s="23" t="n"/>
      <c r="O378" s="23" t="n"/>
      <c r="P378" s="23" t="n"/>
    </row>
    <row r="379">
      <c r="A379" s="23" t="n"/>
      <c r="B379" s="23" t="n"/>
      <c r="C379" s="6" t="n"/>
      <c r="D379" s="23" t="n"/>
      <c r="E379" s="23" t="n"/>
      <c r="F379" s="23" t="n"/>
      <c r="G379" s="23" t="n"/>
      <c r="H379" s="7" t="n"/>
      <c r="I379" s="23" t="n"/>
      <c r="J379" s="23" t="n"/>
      <c r="K379" s="8" t="n"/>
      <c r="L379" s="8" t="n"/>
      <c r="M379" s="23" t="n"/>
      <c r="N379" s="23" t="n"/>
      <c r="O379" s="23" t="n"/>
      <c r="P379" s="23" t="n"/>
    </row>
    <row r="380">
      <c r="A380" s="23" t="n"/>
      <c r="B380" s="23" t="n"/>
      <c r="C380" s="6" t="n"/>
      <c r="D380" s="23" t="n"/>
      <c r="E380" s="23" t="n"/>
      <c r="F380" s="23" t="n"/>
      <c r="G380" s="23" t="n"/>
      <c r="H380" s="7" t="n"/>
      <c r="I380" s="23" t="n"/>
      <c r="J380" s="23" t="n"/>
      <c r="K380" s="8" t="n"/>
      <c r="L380" s="8" t="n"/>
      <c r="M380" s="23" t="n"/>
      <c r="N380" s="23" t="n"/>
      <c r="O380" s="23" t="n"/>
      <c r="P380" s="23" t="n"/>
    </row>
    <row r="381">
      <c r="A381" s="23" t="n"/>
      <c r="B381" s="23" t="n"/>
      <c r="C381" s="6" t="n"/>
      <c r="D381" s="23" t="n"/>
      <c r="E381" s="23" t="n"/>
      <c r="F381" s="23" t="n"/>
      <c r="G381" s="23" t="n"/>
      <c r="H381" s="7" t="n"/>
      <c r="I381" s="23" t="n"/>
      <c r="J381" s="23" t="n"/>
      <c r="K381" s="8" t="n"/>
      <c r="L381" s="8" t="n"/>
      <c r="M381" s="23" t="n"/>
      <c r="N381" s="23" t="n"/>
      <c r="O381" s="23" t="n"/>
      <c r="P381" s="23" t="n"/>
    </row>
    <row r="382">
      <c r="A382" s="23" t="n"/>
      <c r="B382" s="23" t="n"/>
      <c r="C382" s="6" t="n"/>
      <c r="D382" s="23" t="n"/>
      <c r="E382" s="23" t="n"/>
      <c r="F382" s="23" t="n"/>
      <c r="G382" s="23" t="n"/>
      <c r="H382" s="7" t="n"/>
      <c r="I382" s="23" t="n"/>
      <c r="J382" s="23" t="n"/>
      <c r="K382" s="8" t="n"/>
      <c r="L382" s="8" t="n"/>
      <c r="M382" s="23" t="n"/>
      <c r="N382" s="23" t="n"/>
      <c r="O382" s="23" t="n"/>
      <c r="P382" s="23" t="n"/>
    </row>
    <row r="383">
      <c r="A383" s="23" t="n"/>
      <c r="B383" s="23" t="n"/>
      <c r="C383" s="6" t="n"/>
      <c r="D383" s="23" t="n"/>
      <c r="E383" s="23" t="n"/>
      <c r="F383" s="23" t="n"/>
      <c r="G383" s="23" t="n"/>
      <c r="H383" s="7" t="n"/>
      <c r="I383" s="23" t="n"/>
      <c r="J383" s="23" t="n"/>
      <c r="K383" s="8" t="n"/>
      <c r="L383" s="8" t="n"/>
      <c r="M383" s="23" t="n"/>
      <c r="N383" s="23" t="n"/>
      <c r="O383" s="23" t="n"/>
      <c r="P383" s="23" t="n"/>
    </row>
    <row r="384">
      <c r="A384" s="23" t="n"/>
      <c r="B384" s="23" t="n"/>
      <c r="C384" s="6" t="n"/>
      <c r="D384" s="23" t="n"/>
      <c r="E384" s="23" t="n"/>
      <c r="F384" s="23" t="n"/>
      <c r="G384" s="23" t="n"/>
      <c r="H384" s="7" t="n"/>
      <c r="I384" s="23" t="n"/>
      <c r="J384" s="23" t="n"/>
      <c r="K384" s="8" t="n"/>
      <c r="L384" s="8" t="n"/>
      <c r="M384" s="23" t="n"/>
      <c r="N384" s="23" t="n"/>
      <c r="O384" s="23" t="n"/>
      <c r="P384" s="23" t="n"/>
    </row>
    <row r="385">
      <c r="A385" s="23" t="n"/>
      <c r="B385" s="23" t="n"/>
      <c r="C385" s="6" t="n"/>
      <c r="D385" s="23" t="n"/>
      <c r="E385" s="23" t="n"/>
      <c r="F385" s="23" t="n"/>
      <c r="G385" s="23" t="n"/>
      <c r="H385" s="7" t="n"/>
      <c r="I385" s="23" t="n"/>
      <c r="J385" s="23" t="n"/>
      <c r="K385" s="8" t="n"/>
      <c r="L385" s="8" t="n"/>
      <c r="M385" s="23" t="n"/>
      <c r="N385" s="23" t="n"/>
      <c r="O385" s="23" t="n"/>
      <c r="P385" s="23" t="n"/>
    </row>
    <row r="386">
      <c r="A386" s="23" t="n"/>
      <c r="B386" s="23" t="n"/>
      <c r="C386" s="6" t="n"/>
      <c r="D386" s="23" t="n"/>
      <c r="E386" s="23" t="n"/>
      <c r="F386" s="23" t="n"/>
      <c r="G386" s="23" t="n"/>
      <c r="H386" s="7" t="n"/>
      <c r="I386" s="23" t="n"/>
      <c r="J386" s="23" t="n"/>
      <c r="K386" s="8" t="n"/>
      <c r="L386" s="8" t="n"/>
      <c r="M386" s="23" t="n"/>
      <c r="N386" s="23" t="n"/>
      <c r="O386" s="23" t="n"/>
      <c r="P386" s="23" t="n"/>
    </row>
    <row r="387">
      <c r="A387" s="23" t="n"/>
      <c r="B387" s="23" t="n"/>
      <c r="C387" s="6" t="n"/>
      <c r="D387" s="23" t="n"/>
      <c r="E387" s="23" t="n"/>
      <c r="F387" s="23" t="n"/>
      <c r="G387" s="23" t="n"/>
      <c r="H387" s="7" t="n"/>
      <c r="I387" s="23" t="n"/>
      <c r="J387" s="23" t="n"/>
      <c r="K387" s="8" t="n"/>
      <c r="L387" s="8" t="n"/>
      <c r="M387" s="23" t="n"/>
      <c r="N387" s="23" t="n"/>
      <c r="O387" s="23" t="n"/>
      <c r="P387" s="23" t="n"/>
    </row>
    <row r="388">
      <c r="A388" s="23" t="n"/>
      <c r="B388" s="23" t="n"/>
      <c r="C388" s="6" t="n"/>
      <c r="D388" s="23" t="n"/>
      <c r="E388" s="23" t="n"/>
      <c r="F388" s="23" t="n"/>
      <c r="G388" s="23" t="n"/>
      <c r="H388" s="7" t="n"/>
      <c r="I388" s="23" t="n"/>
      <c r="J388" s="23" t="n"/>
      <c r="K388" s="8" t="n"/>
      <c r="L388" s="8" t="n"/>
      <c r="M388" s="23" t="n"/>
      <c r="N388" s="23" t="n"/>
      <c r="O388" s="23" t="n"/>
      <c r="P388" s="23" t="n"/>
    </row>
    <row r="389">
      <c r="A389" s="23" t="n"/>
      <c r="B389" s="23" t="n"/>
      <c r="C389" s="6" t="n"/>
      <c r="D389" s="23" t="n"/>
      <c r="E389" s="23" t="n"/>
      <c r="F389" s="23" t="n"/>
      <c r="G389" s="23" t="n"/>
      <c r="H389" s="7" t="n"/>
      <c r="I389" s="23" t="n"/>
      <c r="J389" s="23" t="n"/>
      <c r="K389" s="8" t="n"/>
      <c r="L389" s="8" t="n"/>
      <c r="M389" s="23" t="n"/>
      <c r="N389" s="23" t="n"/>
      <c r="O389" s="23" t="n"/>
      <c r="P389" s="23" t="n"/>
    </row>
    <row r="390">
      <c r="A390" s="23" t="n"/>
      <c r="B390" s="23" t="n"/>
      <c r="C390" s="6" t="n"/>
      <c r="D390" s="23" t="n"/>
      <c r="E390" s="23" t="n"/>
      <c r="F390" s="23" t="n"/>
      <c r="G390" s="23" t="n"/>
      <c r="H390" s="7" t="n"/>
      <c r="I390" s="23" t="n"/>
      <c r="J390" s="23" t="n"/>
      <c r="K390" s="8" t="n"/>
      <c r="L390" s="8" t="n"/>
      <c r="M390" s="23" t="n"/>
      <c r="N390" s="23" t="n"/>
      <c r="O390" s="23" t="n"/>
      <c r="P390" s="23" t="n"/>
    </row>
    <row r="391">
      <c r="A391" s="23" t="n"/>
      <c r="B391" s="23" t="n"/>
      <c r="C391" s="6" t="n"/>
      <c r="D391" s="23" t="n"/>
      <c r="E391" s="23" t="n"/>
      <c r="F391" s="23" t="n"/>
      <c r="G391" s="23" t="n"/>
      <c r="H391" s="7" t="n"/>
      <c r="I391" s="23" t="n"/>
      <c r="J391" s="23" t="n"/>
      <c r="K391" s="8" t="n"/>
      <c r="L391" s="8" t="n"/>
      <c r="M391" s="23" t="n"/>
      <c r="N391" s="23" t="n"/>
      <c r="O391" s="23" t="n"/>
      <c r="P391" s="23" t="n"/>
    </row>
    <row r="392">
      <c r="A392" s="23" t="n"/>
      <c r="B392" s="23" t="n"/>
      <c r="C392" s="6" t="n"/>
      <c r="D392" s="23" t="n"/>
      <c r="E392" s="23" t="n"/>
      <c r="F392" s="23" t="n"/>
      <c r="G392" s="23" t="n"/>
      <c r="H392" s="7" t="n"/>
      <c r="I392" s="23" t="n"/>
      <c r="J392" s="23" t="n"/>
      <c r="K392" s="8" t="n"/>
      <c r="L392" s="8" t="n"/>
      <c r="M392" s="23" t="n"/>
      <c r="N392" s="23" t="n"/>
      <c r="O392" s="23" t="n"/>
      <c r="P392" s="23" t="n"/>
    </row>
    <row r="393">
      <c r="A393" s="23" t="n"/>
      <c r="B393" s="23" t="n"/>
      <c r="C393" s="6" t="n"/>
      <c r="D393" s="23" t="n"/>
      <c r="E393" s="23" t="n"/>
      <c r="F393" s="23" t="n"/>
      <c r="G393" s="23" t="n"/>
      <c r="H393" s="7" t="n"/>
      <c r="I393" s="23" t="n"/>
      <c r="J393" s="23" t="n"/>
      <c r="K393" s="8" t="n"/>
      <c r="L393" s="8" t="n"/>
      <c r="M393" s="23" t="n"/>
      <c r="N393" s="23" t="n"/>
      <c r="O393" s="23" t="n"/>
      <c r="P393" s="23" t="n"/>
    </row>
    <row r="394">
      <c r="A394" s="23" t="n"/>
      <c r="B394" s="23" t="n"/>
      <c r="C394" s="6" t="n"/>
      <c r="D394" s="23" t="n"/>
      <c r="E394" s="23" t="n"/>
      <c r="F394" s="23" t="n"/>
      <c r="G394" s="23" t="n"/>
      <c r="H394" s="7" t="n"/>
      <c r="I394" s="23" t="n"/>
      <c r="J394" s="23" t="n"/>
      <c r="K394" s="8" t="n"/>
      <c r="L394" s="8" t="n"/>
      <c r="M394" s="23" t="n"/>
      <c r="N394" s="23" t="n"/>
      <c r="O394" s="23" t="n"/>
      <c r="P394" s="23" t="n"/>
    </row>
    <row r="395">
      <c r="A395" s="23" t="n"/>
      <c r="B395" s="23" t="n"/>
      <c r="C395" s="6" t="n"/>
      <c r="D395" s="23" t="n"/>
      <c r="E395" s="23" t="n"/>
      <c r="F395" s="23" t="n"/>
      <c r="G395" s="23" t="n"/>
      <c r="H395" s="7" t="n"/>
      <c r="I395" s="23" t="n"/>
      <c r="J395" s="23" t="n"/>
      <c r="K395" s="8" t="n"/>
      <c r="L395" s="8" t="n"/>
      <c r="M395" s="23" t="n"/>
      <c r="N395" s="23" t="n"/>
      <c r="O395" s="23" t="n"/>
      <c r="P395" s="23" t="n"/>
    </row>
    <row r="396">
      <c r="A396" s="23" t="n"/>
      <c r="B396" s="23" t="n"/>
      <c r="C396" s="6" t="n"/>
      <c r="D396" s="23" t="n"/>
      <c r="E396" s="23" t="n"/>
      <c r="F396" s="23" t="n"/>
      <c r="G396" s="23" t="n"/>
      <c r="H396" s="7" t="n"/>
      <c r="I396" s="23" t="n"/>
      <c r="J396" s="23" t="n"/>
      <c r="K396" s="8" t="n"/>
      <c r="L396" s="8" t="n"/>
      <c r="M396" s="23" t="n"/>
      <c r="N396" s="23" t="n"/>
      <c r="O396" s="23" t="n"/>
      <c r="P396" s="23" t="n"/>
    </row>
    <row r="397">
      <c r="A397" s="23" t="n"/>
      <c r="B397" s="23" t="n"/>
      <c r="C397" s="6" t="n"/>
      <c r="D397" s="23" t="n"/>
      <c r="E397" s="23" t="n"/>
      <c r="F397" s="23" t="n"/>
      <c r="G397" s="23" t="n"/>
      <c r="H397" s="7" t="n"/>
      <c r="I397" s="23" t="n"/>
      <c r="J397" s="23" t="n"/>
      <c r="K397" s="8" t="n"/>
      <c r="L397" s="8" t="n"/>
      <c r="M397" s="23" t="n"/>
      <c r="N397" s="23" t="n"/>
      <c r="O397" s="23" t="n"/>
      <c r="P397" s="23" t="n"/>
    </row>
    <row r="398">
      <c r="A398" s="23" t="n"/>
      <c r="B398" s="23" t="n"/>
      <c r="C398" s="6" t="n"/>
      <c r="D398" s="23" t="n"/>
      <c r="E398" s="23" t="n"/>
      <c r="F398" s="23" t="n"/>
      <c r="G398" s="23" t="n"/>
      <c r="H398" s="7" t="n"/>
      <c r="I398" s="23" t="n"/>
      <c r="J398" s="23" t="n"/>
      <c r="K398" s="8" t="n"/>
      <c r="L398" s="8" t="n"/>
      <c r="M398" s="23" t="n"/>
      <c r="N398" s="23" t="n"/>
      <c r="O398" s="23" t="n"/>
      <c r="P398" s="23" t="n"/>
    </row>
    <row r="399">
      <c r="A399" s="23" t="n"/>
      <c r="B399" s="23" t="n"/>
      <c r="C399" s="6" t="n"/>
      <c r="D399" s="23" t="n"/>
      <c r="E399" s="23" t="n"/>
      <c r="F399" s="23" t="n"/>
      <c r="G399" s="23" t="n"/>
      <c r="H399" s="7" t="n"/>
      <c r="I399" s="23" t="n"/>
      <c r="J399" s="23" t="n"/>
      <c r="K399" s="8" t="n"/>
      <c r="L399" s="8" t="n"/>
      <c r="M399" s="23" t="n"/>
      <c r="N399" s="23" t="n"/>
      <c r="O399" s="23" t="n"/>
      <c r="P399" s="23" t="n"/>
    </row>
    <row r="400">
      <c r="A400" s="23" t="n"/>
      <c r="B400" s="23" t="n"/>
      <c r="C400" s="6" t="n"/>
      <c r="D400" s="23" t="n"/>
      <c r="E400" s="23" t="n"/>
      <c r="F400" s="23" t="n"/>
      <c r="G400" s="23" t="n"/>
      <c r="H400" s="7" t="n"/>
      <c r="I400" s="23" t="n"/>
      <c r="J400" s="23" t="n"/>
      <c r="K400" s="8" t="n"/>
      <c r="L400" s="8" t="n"/>
      <c r="M400" s="23" t="n"/>
      <c r="N400" s="23" t="n"/>
      <c r="O400" s="23" t="n"/>
      <c r="P400" s="23" t="n"/>
    </row>
    <row r="401">
      <c r="A401" s="23" t="n"/>
      <c r="B401" s="23" t="n"/>
      <c r="C401" s="6" t="n"/>
      <c r="D401" s="23" t="n"/>
      <c r="E401" s="23" t="n"/>
      <c r="F401" s="23" t="n"/>
      <c r="G401" s="23" t="n"/>
      <c r="H401" s="7" t="n"/>
      <c r="I401" s="23" t="n"/>
      <c r="J401" s="23" t="n"/>
      <c r="K401" s="8" t="n"/>
      <c r="L401" s="8" t="n"/>
      <c r="M401" s="23" t="n"/>
      <c r="N401" s="23" t="n"/>
      <c r="O401" s="23" t="n"/>
      <c r="P401" s="23" t="n"/>
    </row>
    <row r="402">
      <c r="A402" s="23" t="n"/>
      <c r="B402" s="23" t="n"/>
      <c r="C402" s="6" t="n"/>
      <c r="D402" s="23" t="n"/>
      <c r="E402" s="23" t="n"/>
      <c r="F402" s="23" t="n"/>
      <c r="G402" s="23" t="n"/>
      <c r="H402" s="7" t="n"/>
      <c r="I402" s="23" t="n"/>
      <c r="J402" s="23" t="n"/>
      <c r="K402" s="8" t="n"/>
      <c r="L402" s="8" t="n"/>
      <c r="M402" s="23" t="n"/>
      <c r="N402" s="23" t="n"/>
      <c r="O402" s="23" t="n"/>
      <c r="P402" s="23" t="n"/>
    </row>
    <row r="403">
      <c r="A403" s="23" t="n"/>
      <c r="B403" s="23" t="n"/>
      <c r="C403" s="6" t="n"/>
      <c r="D403" s="23" t="n"/>
      <c r="E403" s="23" t="n"/>
      <c r="F403" s="23" t="n"/>
      <c r="G403" s="23" t="n"/>
      <c r="H403" s="7" t="n"/>
      <c r="I403" s="23" t="n"/>
      <c r="J403" s="23" t="n"/>
      <c r="K403" s="8" t="n"/>
      <c r="L403" s="8" t="n"/>
      <c r="M403" s="23" t="n"/>
      <c r="N403" s="23" t="n"/>
      <c r="O403" s="23" t="n"/>
      <c r="P403" s="23" t="n"/>
    </row>
    <row r="404">
      <c r="A404" s="23" t="n"/>
      <c r="B404" s="23" t="n"/>
      <c r="C404" s="6" t="n"/>
      <c r="D404" s="23" t="n"/>
      <c r="E404" s="23" t="n"/>
      <c r="F404" s="23" t="n"/>
      <c r="G404" s="23" t="n"/>
      <c r="H404" s="7" t="n"/>
      <c r="I404" s="23" t="n"/>
      <c r="J404" s="23" t="n"/>
      <c r="K404" s="8" t="n"/>
      <c r="L404" s="8" t="n"/>
      <c r="M404" s="23" t="n"/>
      <c r="N404" s="23" t="n"/>
      <c r="O404" s="23" t="n"/>
      <c r="P404" s="23" t="n"/>
    </row>
    <row r="405">
      <c r="A405" s="23" t="n"/>
      <c r="B405" s="23" t="n"/>
      <c r="C405" s="6" t="n"/>
      <c r="D405" s="23" t="n"/>
      <c r="E405" s="23" t="n"/>
      <c r="F405" s="23" t="n"/>
      <c r="G405" s="23" t="n"/>
      <c r="H405" s="7" t="n"/>
      <c r="I405" s="23" t="n"/>
      <c r="J405" s="23" t="n"/>
      <c r="K405" s="8" t="n"/>
      <c r="L405" s="8" t="n"/>
      <c r="M405" s="23" t="n"/>
      <c r="N405" s="23" t="n"/>
      <c r="O405" s="23" t="n"/>
      <c r="P405" s="23" t="n"/>
    </row>
    <row r="406">
      <c r="A406" s="23" t="n"/>
      <c r="B406" s="23" t="n"/>
      <c r="C406" s="6" t="n"/>
      <c r="D406" s="23" t="n"/>
      <c r="E406" s="23" t="n"/>
      <c r="F406" s="23" t="n"/>
      <c r="G406" s="23" t="n"/>
      <c r="H406" s="7" t="n"/>
      <c r="I406" s="23" t="n"/>
      <c r="J406" s="23" t="n"/>
      <c r="K406" s="8" t="n"/>
      <c r="L406" s="8" t="n"/>
      <c r="M406" s="23" t="n"/>
      <c r="N406" s="23" t="n"/>
      <c r="O406" s="23" t="n"/>
      <c r="P406" s="23" t="n"/>
    </row>
    <row r="407">
      <c r="A407" s="23" t="n"/>
      <c r="B407" s="23" t="n"/>
      <c r="C407" s="6" t="n"/>
      <c r="D407" s="23" t="n"/>
      <c r="E407" s="23" t="n"/>
      <c r="F407" s="23" t="n"/>
      <c r="G407" s="23" t="n"/>
      <c r="H407" s="7" t="n"/>
      <c r="I407" s="23" t="n"/>
      <c r="J407" s="23" t="n"/>
      <c r="K407" s="8" t="n"/>
      <c r="L407" s="8" t="n"/>
      <c r="M407" s="23" t="n"/>
      <c r="N407" s="23" t="n"/>
      <c r="O407" s="23" t="n"/>
      <c r="P407" s="23" t="n"/>
    </row>
    <row r="408">
      <c r="A408" s="23" t="n"/>
      <c r="B408" s="23" t="n"/>
      <c r="C408" s="6" t="n"/>
      <c r="D408" s="23" t="n"/>
      <c r="E408" s="23" t="n"/>
      <c r="F408" s="23" t="n"/>
      <c r="G408" s="23" t="n"/>
      <c r="H408" s="7" t="n"/>
      <c r="I408" s="23" t="n"/>
      <c r="J408" s="23" t="n"/>
      <c r="K408" s="8" t="n"/>
      <c r="L408" s="8" t="n"/>
      <c r="M408" s="23" t="n"/>
      <c r="N408" s="23" t="n"/>
      <c r="O408" s="23" t="n"/>
      <c r="P408" s="23" t="n"/>
    </row>
    <row r="409">
      <c r="A409" s="23" t="n"/>
      <c r="B409" s="23" t="n"/>
      <c r="C409" s="6" t="n"/>
      <c r="D409" s="23" t="n"/>
      <c r="E409" s="23" t="n"/>
      <c r="F409" s="23" t="n"/>
      <c r="G409" s="23" t="n"/>
      <c r="H409" s="7" t="n"/>
      <c r="I409" s="23" t="n"/>
      <c r="J409" s="23" t="n"/>
      <c r="K409" s="8" t="n"/>
      <c r="L409" s="8" t="n"/>
      <c r="M409" s="23" t="n"/>
      <c r="N409" s="23" t="n"/>
      <c r="O409" s="23" t="n"/>
      <c r="P409" s="23" t="n"/>
    </row>
    <row r="410">
      <c r="A410" s="23" t="n"/>
      <c r="B410" s="23" t="n"/>
      <c r="C410" s="6" t="n"/>
      <c r="D410" s="23" t="n"/>
      <c r="E410" s="23" t="n"/>
      <c r="F410" s="23" t="n"/>
      <c r="G410" s="23" t="n"/>
      <c r="H410" s="7" t="n"/>
      <c r="I410" s="23" t="n"/>
      <c r="J410" s="23" t="n"/>
      <c r="K410" s="8" t="n"/>
      <c r="L410" s="8" t="n"/>
      <c r="M410" s="23" t="n"/>
      <c r="N410" s="23" t="n"/>
      <c r="O410" s="23" t="n"/>
      <c r="P410" s="23" t="n"/>
    </row>
    <row r="411">
      <c r="A411" s="23" t="n"/>
      <c r="B411" s="23" t="n"/>
      <c r="C411" s="6" t="n"/>
      <c r="D411" s="23" t="n"/>
      <c r="E411" s="23" t="n"/>
      <c r="F411" s="23" t="n"/>
      <c r="G411" s="23" t="n"/>
      <c r="H411" s="7" t="n"/>
      <c r="I411" s="23" t="n"/>
      <c r="J411" s="23" t="n"/>
      <c r="K411" s="8" t="n"/>
      <c r="L411" s="8" t="n"/>
      <c r="M411" s="23" t="n"/>
      <c r="N411" s="23" t="n"/>
      <c r="O411" s="23" t="n"/>
      <c r="P411" s="23" t="n"/>
    </row>
    <row r="412">
      <c r="A412" s="23" t="n"/>
      <c r="B412" s="23" t="n"/>
      <c r="C412" s="6" t="n"/>
      <c r="D412" s="23" t="n"/>
      <c r="E412" s="23" t="n"/>
      <c r="F412" s="23" t="n"/>
      <c r="G412" s="23" t="n"/>
      <c r="H412" s="7" t="n"/>
      <c r="I412" s="23" t="n"/>
      <c r="J412" s="23" t="n"/>
      <c r="K412" s="8" t="n"/>
      <c r="L412" s="8" t="n"/>
      <c r="M412" s="23" t="n"/>
      <c r="N412" s="23" t="n"/>
      <c r="O412" s="23" t="n"/>
      <c r="P412" s="23" t="n"/>
    </row>
    <row r="413">
      <c r="A413" s="23" t="n"/>
      <c r="B413" s="23" t="n"/>
      <c r="C413" s="6" t="n"/>
      <c r="D413" s="23" t="n"/>
      <c r="E413" s="23" t="n"/>
      <c r="F413" s="23" t="n"/>
      <c r="G413" s="23" t="n"/>
      <c r="H413" s="7" t="n"/>
      <c r="I413" s="23" t="n"/>
      <c r="J413" s="23" t="n"/>
      <c r="K413" s="8" t="n"/>
      <c r="L413" s="8" t="n"/>
      <c r="M413" s="23" t="n"/>
      <c r="N413" s="23" t="n"/>
      <c r="O413" s="23" t="n"/>
      <c r="P413" s="23" t="n"/>
    </row>
    <row r="414">
      <c r="A414" s="23" t="n"/>
      <c r="B414" s="23" t="n"/>
      <c r="C414" s="6" t="n"/>
      <c r="D414" s="23" t="n"/>
      <c r="E414" s="23" t="n"/>
      <c r="F414" s="23" t="n"/>
      <c r="G414" s="23" t="n"/>
      <c r="H414" s="7" t="n"/>
      <c r="I414" s="23" t="n"/>
      <c r="J414" s="23" t="n"/>
      <c r="K414" s="8" t="n"/>
      <c r="L414" s="8" t="n"/>
      <c r="M414" s="23" t="n"/>
      <c r="N414" s="23" t="n"/>
      <c r="O414" s="23" t="n"/>
      <c r="P414" s="23" t="n"/>
    </row>
    <row r="415">
      <c r="A415" s="23" t="n"/>
      <c r="B415" s="23" t="n"/>
      <c r="C415" s="6" t="n"/>
      <c r="D415" s="23" t="n"/>
      <c r="E415" s="23" t="n"/>
      <c r="F415" s="23" t="n"/>
      <c r="G415" s="23" t="n"/>
      <c r="H415" s="7" t="n"/>
      <c r="I415" s="23" t="n"/>
      <c r="J415" s="23" t="n"/>
      <c r="K415" s="8" t="n"/>
      <c r="L415" s="8" t="n"/>
      <c r="M415" s="23" t="n"/>
      <c r="N415" s="23" t="n"/>
      <c r="O415" s="23" t="n"/>
      <c r="P415" s="23" t="n"/>
    </row>
    <row r="416">
      <c r="A416" s="23" t="n"/>
      <c r="B416" s="23" t="n"/>
      <c r="C416" s="6" t="n"/>
      <c r="D416" s="23" t="n"/>
      <c r="E416" s="23" t="n"/>
      <c r="F416" s="23" t="n"/>
      <c r="G416" s="23" t="n"/>
      <c r="H416" s="7" t="n"/>
      <c r="I416" s="23" t="n"/>
      <c r="J416" s="23" t="n"/>
      <c r="K416" s="8" t="n"/>
      <c r="L416" s="8" t="n"/>
      <c r="M416" s="23" t="n"/>
      <c r="N416" s="23" t="n"/>
      <c r="O416" s="23" t="n"/>
      <c r="P416" s="23" t="n"/>
    </row>
    <row r="417">
      <c r="A417" s="23" t="n"/>
      <c r="B417" s="23" t="n"/>
      <c r="C417" s="6" t="n"/>
      <c r="D417" s="23" t="n"/>
      <c r="E417" s="23" t="n"/>
      <c r="F417" s="23" t="n"/>
      <c r="G417" s="23" t="n"/>
      <c r="H417" s="7" t="n"/>
      <c r="I417" s="23" t="n"/>
      <c r="J417" s="23" t="n"/>
      <c r="K417" s="8" t="n"/>
      <c r="L417" s="8" t="n"/>
      <c r="M417" s="23" t="n"/>
      <c r="N417" s="23" t="n"/>
      <c r="O417" s="23" t="n"/>
      <c r="P417" s="23" t="n"/>
    </row>
    <row r="418">
      <c r="A418" s="23" t="n"/>
      <c r="B418" s="23" t="n"/>
      <c r="C418" s="6" t="n"/>
      <c r="D418" s="23" t="n"/>
      <c r="E418" s="23" t="n"/>
      <c r="F418" s="23" t="n"/>
      <c r="G418" s="23" t="n"/>
      <c r="H418" s="7" t="n"/>
      <c r="I418" s="23" t="n"/>
      <c r="J418" s="23" t="n"/>
      <c r="K418" s="8" t="n"/>
      <c r="L418" s="8" t="n"/>
      <c r="M418" s="23" t="n"/>
      <c r="N418" s="23" t="n"/>
      <c r="O418" s="23" t="n"/>
      <c r="P418" s="23" t="n"/>
    </row>
    <row r="419">
      <c r="A419" s="23" t="n"/>
      <c r="B419" s="23" t="n"/>
      <c r="C419" s="6" t="n"/>
      <c r="D419" s="23" t="n"/>
      <c r="E419" s="23" t="n"/>
      <c r="F419" s="23" t="n"/>
      <c r="G419" s="23" t="n"/>
      <c r="H419" s="7" t="n"/>
      <c r="I419" s="23" t="n"/>
      <c r="J419" s="23" t="n"/>
      <c r="K419" s="8" t="n"/>
      <c r="L419" s="8" t="n"/>
      <c r="M419" s="23" t="n"/>
      <c r="N419" s="23" t="n"/>
      <c r="O419" s="23" t="n"/>
      <c r="P419" s="23" t="n"/>
    </row>
    <row r="420">
      <c r="A420" s="23" t="n"/>
      <c r="B420" s="23" t="n"/>
      <c r="C420" s="6" t="n"/>
      <c r="D420" s="23" t="n"/>
      <c r="E420" s="23" t="n"/>
      <c r="F420" s="23" t="n"/>
      <c r="G420" s="23" t="n"/>
      <c r="H420" s="7" t="n"/>
      <c r="I420" s="23" t="n"/>
      <c r="J420" s="23" t="n"/>
      <c r="K420" s="8" t="n"/>
      <c r="L420" s="8" t="n"/>
      <c r="M420" s="23" t="n"/>
      <c r="N420" s="23" t="n"/>
      <c r="O420" s="23" t="n"/>
      <c r="P420" s="23" t="n"/>
    </row>
    <row r="421">
      <c r="A421" s="23" t="n"/>
      <c r="B421" s="23" t="n"/>
      <c r="C421" s="6" t="n"/>
      <c r="D421" s="23" t="n"/>
      <c r="E421" s="23" t="n"/>
      <c r="F421" s="23" t="n"/>
      <c r="G421" s="23" t="n"/>
      <c r="H421" s="7" t="n"/>
      <c r="I421" s="23" t="n"/>
      <c r="J421" s="23" t="n"/>
      <c r="K421" s="8" t="n"/>
      <c r="L421" s="8" t="n"/>
      <c r="M421" s="23" t="n"/>
      <c r="N421" s="23" t="n"/>
      <c r="O421" s="23" t="n"/>
      <c r="P421" s="23" t="n"/>
    </row>
    <row r="422">
      <c r="A422" s="23" t="n"/>
      <c r="B422" s="23" t="n"/>
      <c r="C422" s="6" t="n"/>
      <c r="D422" s="23" t="n"/>
      <c r="E422" s="23" t="n"/>
      <c r="F422" s="23" t="n"/>
      <c r="G422" s="23" t="n"/>
      <c r="H422" s="7" t="n"/>
      <c r="I422" s="23" t="n"/>
      <c r="J422" s="23" t="n"/>
      <c r="K422" s="8" t="n"/>
      <c r="L422" s="8" t="n"/>
      <c r="M422" s="23" t="n"/>
      <c r="N422" s="23" t="n"/>
      <c r="O422" s="23" t="n"/>
      <c r="P422" s="23" t="n"/>
    </row>
    <row r="423">
      <c r="A423" s="23" t="n"/>
      <c r="B423" s="23" t="n"/>
      <c r="C423" s="6" t="n"/>
      <c r="D423" s="23" t="n"/>
      <c r="E423" s="23" t="n"/>
      <c r="F423" s="23" t="n"/>
      <c r="G423" s="23" t="n"/>
      <c r="H423" s="7" t="n"/>
      <c r="I423" s="23" t="n"/>
      <c r="J423" s="23" t="n"/>
      <c r="K423" s="8" t="n"/>
      <c r="L423" s="8" t="n"/>
      <c r="M423" s="23" t="n"/>
      <c r="N423" s="23" t="n"/>
      <c r="O423" s="23" t="n"/>
      <c r="P423" s="23" t="n"/>
    </row>
    <row r="424">
      <c r="A424" s="23" t="n"/>
      <c r="B424" s="23" t="n"/>
      <c r="C424" s="6" t="n"/>
      <c r="D424" s="23" t="n"/>
      <c r="E424" s="23" t="n"/>
      <c r="F424" s="23" t="n"/>
      <c r="G424" s="23" t="n"/>
      <c r="H424" s="7" t="n"/>
      <c r="I424" s="23" t="n"/>
      <c r="J424" s="23" t="n"/>
      <c r="K424" s="8" t="n"/>
      <c r="L424" s="8" t="n"/>
      <c r="M424" s="23" t="n"/>
      <c r="N424" s="23" t="n"/>
      <c r="O424" s="23" t="n"/>
      <c r="P424" s="23" t="n"/>
    </row>
    <row r="425">
      <c r="A425" s="23" t="n"/>
      <c r="B425" s="23" t="n"/>
      <c r="C425" s="6" t="n"/>
      <c r="D425" s="23" t="n"/>
      <c r="E425" s="23" t="n"/>
      <c r="F425" s="23" t="n"/>
      <c r="G425" s="23" t="n"/>
      <c r="H425" s="7" t="n"/>
      <c r="I425" s="23" t="n"/>
      <c r="J425" s="23" t="n"/>
      <c r="K425" s="8" t="n"/>
      <c r="L425" s="8" t="n"/>
      <c r="M425" s="23" t="n"/>
      <c r="N425" s="23" t="n"/>
      <c r="O425" s="23" t="n"/>
      <c r="P425" s="23" t="n"/>
    </row>
    <row r="426">
      <c r="A426" s="23" t="n"/>
      <c r="B426" s="23" t="n"/>
      <c r="C426" s="6" t="n"/>
      <c r="D426" s="23" t="n"/>
      <c r="E426" s="23" t="n"/>
      <c r="F426" s="23" t="n"/>
      <c r="G426" s="23" t="n"/>
      <c r="H426" s="7" t="n"/>
      <c r="I426" s="23" t="n"/>
      <c r="J426" s="23" t="n"/>
      <c r="K426" s="8" t="n"/>
      <c r="L426" s="8" t="n"/>
      <c r="M426" s="23" t="n"/>
      <c r="N426" s="23" t="n"/>
      <c r="O426" s="23" t="n"/>
      <c r="P426" s="23" t="n"/>
    </row>
    <row r="427">
      <c r="A427" s="23" t="n"/>
      <c r="B427" s="23" t="n"/>
      <c r="C427" s="6" t="n"/>
      <c r="D427" s="23" t="n"/>
      <c r="E427" s="23" t="n"/>
      <c r="F427" s="23" t="n"/>
      <c r="G427" s="23" t="n"/>
      <c r="H427" s="7" t="n"/>
      <c r="I427" s="23" t="n"/>
      <c r="J427" s="23" t="n"/>
      <c r="K427" s="8" t="n"/>
      <c r="L427" s="8" t="n"/>
      <c r="M427" s="23" t="n"/>
      <c r="N427" s="23" t="n"/>
      <c r="O427" s="23" t="n"/>
      <c r="P427" s="23" t="n"/>
    </row>
    <row r="428">
      <c r="A428" s="23" t="n"/>
      <c r="B428" s="23" t="n"/>
      <c r="C428" s="6" t="n"/>
      <c r="D428" s="23" t="n"/>
      <c r="E428" s="23" t="n"/>
      <c r="F428" s="23" t="n"/>
      <c r="G428" s="23" t="n"/>
      <c r="H428" s="7" t="n"/>
      <c r="I428" s="23" t="n"/>
      <c r="J428" s="23" t="n"/>
      <c r="K428" s="8" t="n"/>
      <c r="L428" s="8" t="n"/>
      <c r="M428" s="23" t="n"/>
      <c r="N428" s="23" t="n"/>
      <c r="O428" s="23" t="n"/>
      <c r="P428" s="23" t="n"/>
    </row>
    <row r="429">
      <c r="A429" s="23" t="n"/>
      <c r="B429" s="23" t="n"/>
      <c r="C429" s="6" t="n"/>
      <c r="D429" s="23" t="n"/>
      <c r="E429" s="23" t="n"/>
      <c r="F429" s="23" t="n"/>
      <c r="G429" s="23" t="n"/>
      <c r="H429" s="7" t="n"/>
      <c r="I429" s="23" t="n"/>
      <c r="J429" s="23" t="n"/>
      <c r="K429" s="8" t="n"/>
      <c r="L429" s="8" t="n"/>
      <c r="M429" s="23" t="n"/>
      <c r="N429" s="23" t="n"/>
      <c r="O429" s="23" t="n"/>
      <c r="P429" s="23" t="n"/>
    </row>
    <row r="430">
      <c r="A430" s="23" t="n"/>
      <c r="B430" s="23" t="n"/>
      <c r="C430" s="6" t="n"/>
      <c r="D430" s="23" t="n"/>
      <c r="E430" s="23" t="n"/>
      <c r="F430" s="23" t="n"/>
      <c r="G430" s="23" t="n"/>
      <c r="H430" s="7" t="n"/>
      <c r="I430" s="23" t="n"/>
      <c r="J430" s="23" t="n"/>
      <c r="K430" s="8" t="n"/>
      <c r="L430" s="8" t="n"/>
      <c r="M430" s="23" t="n"/>
      <c r="N430" s="23" t="n"/>
      <c r="O430" s="23" t="n"/>
      <c r="P430" s="23" t="n"/>
    </row>
    <row r="431">
      <c r="A431" s="23" t="n"/>
      <c r="B431" s="23" t="n"/>
      <c r="C431" s="6" t="n"/>
      <c r="D431" s="23" t="n"/>
      <c r="E431" s="23" t="n"/>
      <c r="F431" s="23" t="n"/>
      <c r="G431" s="23" t="n"/>
      <c r="H431" s="7" t="n"/>
      <c r="I431" s="23" t="n"/>
      <c r="J431" s="23" t="n"/>
      <c r="K431" s="8" t="n"/>
      <c r="L431" s="8" t="n"/>
      <c r="M431" s="23" t="n"/>
      <c r="N431" s="23" t="n"/>
      <c r="O431" s="23" t="n"/>
      <c r="P431" s="23" t="n"/>
    </row>
    <row r="432">
      <c r="A432" s="23" t="n"/>
      <c r="B432" s="23" t="n"/>
      <c r="C432" s="6" t="n"/>
      <c r="D432" s="23" t="n"/>
      <c r="E432" s="23" t="n"/>
      <c r="F432" s="23" t="n"/>
      <c r="G432" s="23" t="n"/>
      <c r="H432" s="7" t="n"/>
      <c r="I432" s="23" t="n"/>
      <c r="J432" s="23" t="n"/>
      <c r="K432" s="8" t="n"/>
      <c r="L432" s="8" t="n"/>
      <c r="M432" s="23" t="n"/>
      <c r="N432" s="23" t="n"/>
      <c r="O432" s="23" t="n"/>
      <c r="P432" s="23" t="n"/>
    </row>
    <row r="433">
      <c r="A433" s="23" t="n"/>
      <c r="B433" s="23" t="n"/>
      <c r="C433" s="6" t="n"/>
      <c r="D433" s="23" t="n"/>
      <c r="E433" s="23" t="n"/>
      <c r="F433" s="23" t="n"/>
      <c r="G433" s="23" t="n"/>
      <c r="H433" s="7" t="n"/>
      <c r="I433" s="23" t="n"/>
      <c r="J433" s="23" t="n"/>
      <c r="K433" s="8" t="n"/>
      <c r="L433" s="8" t="n"/>
      <c r="M433" s="23" t="n"/>
      <c r="N433" s="23" t="n"/>
      <c r="O433" s="23" t="n"/>
      <c r="P433" s="23" t="n"/>
    </row>
    <row r="434">
      <c r="A434" s="23" t="n"/>
      <c r="B434" s="23" t="n"/>
      <c r="C434" s="6" t="n"/>
      <c r="D434" s="23" t="n"/>
      <c r="E434" s="23" t="n"/>
      <c r="F434" s="23" t="n"/>
      <c r="G434" s="23" t="n"/>
      <c r="H434" s="7" t="n"/>
      <c r="I434" s="23" t="n"/>
      <c r="J434" s="23" t="n"/>
      <c r="K434" s="8" t="n"/>
      <c r="L434" s="8" t="n"/>
      <c r="M434" s="23" t="n"/>
      <c r="N434" s="23" t="n"/>
      <c r="O434" s="23" t="n"/>
      <c r="P434" s="23" t="n"/>
    </row>
    <row r="435">
      <c r="A435" s="23" t="n"/>
      <c r="B435" s="23" t="n"/>
      <c r="C435" s="6" t="n"/>
      <c r="D435" s="23" t="n"/>
      <c r="E435" s="23" t="n"/>
      <c r="F435" s="23" t="n"/>
      <c r="G435" s="23" t="n"/>
      <c r="H435" s="7" t="n"/>
      <c r="I435" s="23" t="n"/>
      <c r="J435" s="23" t="n"/>
      <c r="K435" s="8" t="n"/>
      <c r="L435" s="8" t="n"/>
      <c r="M435" s="23" t="n"/>
      <c r="N435" s="23" t="n"/>
      <c r="O435" s="23" t="n"/>
      <c r="P435" s="23" t="n"/>
    </row>
    <row r="436">
      <c r="A436" s="23" t="n"/>
      <c r="B436" s="23" t="n"/>
      <c r="C436" s="6" t="n"/>
      <c r="D436" s="23" t="n"/>
      <c r="E436" s="23" t="n"/>
      <c r="F436" s="23" t="n"/>
      <c r="G436" s="23" t="n"/>
      <c r="H436" s="7" t="n"/>
      <c r="I436" s="23" t="n"/>
      <c r="J436" s="23" t="n"/>
      <c r="K436" s="8" t="n"/>
      <c r="L436" s="8" t="n"/>
      <c r="M436" s="23" t="n"/>
      <c r="N436" s="23" t="n"/>
      <c r="O436" s="23" t="n"/>
      <c r="P436" s="23" t="n"/>
    </row>
    <row r="437">
      <c r="A437" s="23" t="n"/>
      <c r="B437" s="23" t="n"/>
      <c r="C437" s="6" t="n"/>
      <c r="D437" s="23" t="n"/>
      <c r="E437" s="23" t="n"/>
      <c r="F437" s="23" t="n"/>
      <c r="G437" s="23" t="n"/>
      <c r="H437" s="7" t="n"/>
      <c r="I437" s="23" t="n"/>
      <c r="J437" s="23" t="n"/>
      <c r="K437" s="8" t="n"/>
      <c r="L437" s="8" t="n"/>
      <c r="M437" s="23" t="n"/>
      <c r="N437" s="23" t="n"/>
      <c r="O437" s="23" t="n"/>
      <c r="P437" s="23" t="n"/>
    </row>
    <row r="438">
      <c r="A438" s="23" t="n"/>
      <c r="B438" s="23" t="n"/>
      <c r="C438" s="6" t="n"/>
      <c r="D438" s="23" t="n"/>
      <c r="E438" s="23" t="n"/>
      <c r="F438" s="23" t="n"/>
      <c r="G438" s="23" t="n"/>
      <c r="H438" s="7" t="n"/>
      <c r="I438" s="23" t="n"/>
      <c r="J438" s="23" t="n"/>
      <c r="K438" s="8" t="n"/>
      <c r="L438" s="8" t="n"/>
      <c r="M438" s="23" t="n"/>
      <c r="N438" s="23" t="n"/>
      <c r="O438" s="23" t="n"/>
      <c r="P438" s="23" t="n"/>
    </row>
    <row r="439">
      <c r="A439" s="23" t="n"/>
      <c r="B439" s="23" t="n"/>
      <c r="C439" s="6" t="n"/>
      <c r="D439" s="23" t="n"/>
      <c r="E439" s="23" t="n"/>
      <c r="F439" s="23" t="n"/>
      <c r="G439" s="23" t="n"/>
      <c r="H439" s="7" t="n"/>
      <c r="I439" s="23" t="n"/>
      <c r="J439" s="23" t="n"/>
      <c r="K439" s="8" t="n"/>
      <c r="L439" s="8" t="n"/>
      <c r="M439" s="23" t="n"/>
      <c r="N439" s="23" t="n"/>
      <c r="O439" s="23" t="n"/>
      <c r="P439" s="23" t="n"/>
    </row>
    <row r="440">
      <c r="A440" s="23" t="n"/>
      <c r="B440" s="23" t="n"/>
      <c r="C440" s="6" t="n"/>
      <c r="D440" s="23" t="n"/>
      <c r="E440" s="23" t="n"/>
      <c r="F440" s="23" t="n"/>
      <c r="G440" s="23" t="n"/>
      <c r="H440" s="7" t="n"/>
      <c r="I440" s="23" t="n"/>
      <c r="J440" s="23" t="n"/>
      <c r="K440" s="8" t="n"/>
      <c r="L440" s="8" t="n"/>
      <c r="M440" s="23" t="n"/>
      <c r="N440" s="23" t="n"/>
      <c r="O440" s="23" t="n"/>
      <c r="P440" s="23" t="n"/>
    </row>
    <row r="441">
      <c r="A441" s="23" t="n"/>
      <c r="B441" s="23" t="n"/>
      <c r="C441" s="6" t="n"/>
      <c r="D441" s="23" t="n"/>
      <c r="E441" s="23" t="n"/>
      <c r="F441" s="23" t="n"/>
      <c r="G441" s="23" t="n"/>
      <c r="H441" s="7" t="n"/>
      <c r="I441" s="23" t="n"/>
      <c r="J441" s="23" t="n"/>
      <c r="K441" s="8" t="n"/>
      <c r="L441" s="8" t="n"/>
      <c r="M441" s="23" t="n"/>
      <c r="N441" s="23" t="n"/>
      <c r="O441" s="23" t="n"/>
      <c r="P441" s="23" t="n"/>
    </row>
    <row r="442">
      <c r="A442" s="23" t="n"/>
      <c r="B442" s="23" t="n"/>
      <c r="C442" s="6" t="n"/>
      <c r="D442" s="23" t="n"/>
      <c r="E442" s="23" t="n"/>
      <c r="F442" s="23" t="n"/>
      <c r="G442" s="23" t="n"/>
      <c r="H442" s="7" t="n"/>
      <c r="I442" s="23" t="n"/>
      <c r="J442" s="23" t="n"/>
      <c r="K442" s="8" t="n"/>
      <c r="L442" s="8" t="n"/>
      <c r="M442" s="23" t="n"/>
      <c r="N442" s="23" t="n"/>
      <c r="O442" s="23" t="n"/>
      <c r="P442" s="23" t="n"/>
    </row>
    <row r="443">
      <c r="A443" s="23" t="n"/>
      <c r="B443" s="23" t="n"/>
      <c r="C443" s="6" t="n"/>
      <c r="D443" s="23" t="n"/>
      <c r="E443" s="23" t="n"/>
      <c r="F443" s="23" t="n"/>
      <c r="G443" s="23" t="n"/>
      <c r="H443" s="7" t="n"/>
      <c r="I443" s="23" t="n"/>
      <c r="J443" s="23" t="n"/>
      <c r="K443" s="8" t="n"/>
      <c r="L443" s="8" t="n"/>
      <c r="M443" s="23" t="n"/>
      <c r="N443" s="23" t="n"/>
      <c r="O443" s="23" t="n"/>
      <c r="P443" s="23" t="n"/>
    </row>
    <row r="444">
      <c r="A444" s="23" t="n"/>
      <c r="B444" s="23" t="n"/>
      <c r="C444" s="6" t="n"/>
      <c r="D444" s="23" t="n"/>
      <c r="E444" s="23" t="n"/>
      <c r="F444" s="23" t="n"/>
      <c r="G444" s="23" t="n"/>
      <c r="H444" s="7" t="n"/>
      <c r="I444" s="23" t="n"/>
      <c r="J444" s="23" t="n"/>
      <c r="K444" s="8" t="n"/>
      <c r="L444" s="8" t="n"/>
      <c r="M444" s="23" t="n"/>
      <c r="N444" s="23" t="n"/>
      <c r="O444" s="23" t="n"/>
      <c r="P444" s="23" t="n"/>
    </row>
    <row r="445">
      <c r="A445" s="23" t="n"/>
      <c r="B445" s="23" t="n"/>
      <c r="C445" s="6" t="n"/>
      <c r="D445" s="23" t="n"/>
      <c r="E445" s="23" t="n"/>
      <c r="F445" s="23" t="n"/>
      <c r="G445" s="23" t="n"/>
      <c r="H445" s="7" t="n"/>
      <c r="I445" s="23" t="n"/>
      <c r="J445" s="23" t="n"/>
      <c r="K445" s="8" t="n"/>
      <c r="L445" s="8" t="n"/>
      <c r="M445" s="23" t="n"/>
      <c r="N445" s="23" t="n"/>
      <c r="O445" s="23" t="n"/>
      <c r="P445" s="23" t="n"/>
    </row>
    <row r="446">
      <c r="A446" s="23" t="n"/>
      <c r="B446" s="23" t="n"/>
      <c r="C446" s="6" t="n"/>
      <c r="D446" s="23" t="n"/>
      <c r="E446" s="23" t="n"/>
      <c r="F446" s="23" t="n"/>
      <c r="G446" s="23" t="n"/>
      <c r="H446" s="7" t="n"/>
      <c r="I446" s="23" t="n"/>
      <c r="J446" s="23" t="n"/>
      <c r="K446" s="8" t="n"/>
      <c r="L446" s="8" t="n"/>
      <c r="M446" s="23" t="n"/>
      <c r="N446" s="23" t="n"/>
      <c r="O446" s="23" t="n"/>
      <c r="P446" s="23" t="n"/>
    </row>
    <row r="447">
      <c r="A447" s="23" t="n"/>
      <c r="B447" s="23" t="n"/>
      <c r="C447" s="6" t="n"/>
      <c r="D447" s="23" t="n"/>
      <c r="E447" s="23" t="n"/>
      <c r="F447" s="23" t="n"/>
      <c r="G447" s="23" t="n"/>
      <c r="H447" s="7" t="n"/>
      <c r="I447" s="23" t="n"/>
      <c r="J447" s="23" t="n"/>
      <c r="K447" s="8" t="n"/>
      <c r="L447" s="8" t="n"/>
      <c r="M447" s="23" t="n"/>
      <c r="N447" s="23" t="n"/>
      <c r="O447" s="23" t="n"/>
      <c r="P447" s="23" t="n"/>
    </row>
    <row r="448">
      <c r="A448" s="23" t="n"/>
      <c r="B448" s="23" t="n"/>
      <c r="C448" s="6" t="n"/>
      <c r="D448" s="23" t="n"/>
      <c r="E448" s="23" t="n"/>
      <c r="F448" s="23" t="n"/>
      <c r="G448" s="23" t="n"/>
      <c r="H448" s="7" t="n"/>
      <c r="I448" s="23" t="n"/>
      <c r="J448" s="23" t="n"/>
      <c r="K448" s="8" t="n"/>
      <c r="L448" s="8" t="n"/>
      <c r="M448" s="23" t="n"/>
      <c r="N448" s="23" t="n"/>
      <c r="O448" s="23" t="n"/>
      <c r="P448" s="23" t="n"/>
    </row>
    <row r="449">
      <c r="A449" s="23" t="n"/>
      <c r="B449" s="23" t="n"/>
      <c r="C449" s="6" t="n"/>
      <c r="D449" s="23" t="n"/>
      <c r="E449" s="23" t="n"/>
      <c r="F449" s="23" t="n"/>
      <c r="G449" s="23" t="n"/>
      <c r="H449" s="7" t="n"/>
      <c r="I449" s="23" t="n"/>
      <c r="J449" s="23" t="n"/>
      <c r="K449" s="8" t="n"/>
      <c r="L449" s="8" t="n"/>
      <c r="M449" s="23" t="n"/>
      <c r="N449" s="23" t="n"/>
      <c r="O449" s="23" t="n"/>
      <c r="P449" s="23" t="n"/>
    </row>
    <row r="450">
      <c r="A450" s="23" t="n"/>
      <c r="B450" s="23" t="n"/>
      <c r="C450" s="6" t="n"/>
      <c r="D450" s="23" t="n"/>
      <c r="E450" s="23" t="n"/>
      <c r="F450" s="23" t="n"/>
      <c r="G450" s="23" t="n"/>
      <c r="H450" s="7" t="n"/>
      <c r="I450" s="23" t="n"/>
      <c r="J450" s="23" t="n"/>
      <c r="K450" s="8" t="n"/>
      <c r="L450" s="8" t="n"/>
      <c r="M450" s="23" t="n"/>
      <c r="N450" s="23" t="n"/>
      <c r="O450" s="23" t="n"/>
      <c r="P450" s="23" t="n"/>
    </row>
    <row r="451">
      <c r="A451" s="23" t="n"/>
      <c r="B451" s="23" t="n"/>
      <c r="C451" s="6" t="n"/>
      <c r="D451" s="23" t="n"/>
      <c r="E451" s="23" t="n"/>
      <c r="F451" s="23" t="n"/>
      <c r="G451" s="23" t="n"/>
      <c r="H451" s="7" t="n"/>
      <c r="I451" s="23" t="n"/>
      <c r="J451" s="23" t="n"/>
      <c r="K451" s="8" t="n"/>
      <c r="L451" s="8" t="n"/>
      <c r="M451" s="23" t="n"/>
      <c r="N451" s="23" t="n"/>
      <c r="O451" s="23" t="n"/>
      <c r="P451" s="23" t="n"/>
    </row>
    <row r="452">
      <c r="A452" s="23" t="n"/>
      <c r="B452" s="23" t="n"/>
      <c r="C452" s="6" t="n"/>
      <c r="D452" s="23" t="n"/>
      <c r="E452" s="23" t="n"/>
      <c r="F452" s="23" t="n"/>
      <c r="G452" s="23" t="n"/>
      <c r="H452" s="7" t="n"/>
      <c r="I452" s="23" t="n"/>
      <c r="J452" s="23" t="n"/>
      <c r="K452" s="8" t="n"/>
      <c r="L452" s="8" t="n"/>
      <c r="M452" s="23" t="n"/>
      <c r="N452" s="23" t="n"/>
      <c r="O452" s="23" t="n"/>
      <c r="P452" s="23" t="n"/>
    </row>
    <row r="453">
      <c r="A453" s="23" t="n"/>
      <c r="B453" s="23" t="n"/>
      <c r="C453" s="6" t="n"/>
      <c r="D453" s="23" t="n"/>
      <c r="E453" s="23" t="n"/>
      <c r="F453" s="23" t="n"/>
      <c r="G453" s="23" t="n"/>
      <c r="H453" s="7" t="n"/>
      <c r="I453" s="23" t="n"/>
      <c r="J453" s="23" t="n"/>
      <c r="K453" s="8" t="n"/>
      <c r="L453" s="8" t="n"/>
      <c r="M453" s="23" t="n"/>
      <c r="N453" s="23" t="n"/>
      <c r="O453" s="23" t="n"/>
      <c r="P453" s="23" t="n"/>
    </row>
    <row r="454">
      <c r="A454" s="23" t="n"/>
      <c r="B454" s="23" t="n"/>
      <c r="C454" s="6" t="n"/>
      <c r="D454" s="23" t="n"/>
      <c r="E454" s="23" t="n"/>
      <c r="F454" s="23" t="n"/>
      <c r="G454" s="23" t="n"/>
      <c r="H454" s="7" t="n"/>
      <c r="I454" s="23" t="n"/>
      <c r="J454" s="23" t="n"/>
      <c r="K454" s="8" t="n"/>
      <c r="L454" s="8" t="n"/>
      <c r="M454" s="23" t="n"/>
      <c r="N454" s="23" t="n"/>
      <c r="O454" s="23" t="n"/>
      <c r="P454" s="23" t="n"/>
    </row>
    <row r="455">
      <c r="A455" s="23" t="n"/>
      <c r="B455" s="23" t="n"/>
      <c r="C455" s="6" t="n"/>
      <c r="D455" s="23" t="n"/>
      <c r="E455" s="23" t="n"/>
      <c r="F455" s="23" t="n"/>
      <c r="G455" s="23" t="n"/>
      <c r="H455" s="7" t="n"/>
      <c r="I455" s="23" t="n"/>
      <c r="J455" s="23" t="n"/>
      <c r="K455" s="8" t="n"/>
      <c r="L455" s="8" t="n"/>
      <c r="M455" s="23" t="n"/>
      <c r="N455" s="23" t="n"/>
      <c r="O455" s="23" t="n"/>
      <c r="P455" s="23" t="n"/>
    </row>
    <row r="456">
      <c r="A456" s="23" t="n"/>
      <c r="B456" s="23" t="n"/>
      <c r="C456" s="6" t="n"/>
      <c r="D456" s="23" t="n"/>
      <c r="E456" s="23" t="n"/>
      <c r="F456" s="23" t="n"/>
      <c r="G456" s="23" t="n"/>
      <c r="H456" s="7" t="n"/>
      <c r="I456" s="23" t="n"/>
      <c r="J456" s="23" t="n"/>
      <c r="K456" s="8" t="n"/>
      <c r="L456" s="8" t="n"/>
      <c r="M456" s="23" t="n"/>
      <c r="N456" s="23" t="n"/>
      <c r="O456" s="23" t="n"/>
      <c r="P456" s="23" t="n"/>
    </row>
    <row r="457">
      <c r="A457" s="23" t="n"/>
      <c r="B457" s="23" t="n"/>
      <c r="C457" s="6" t="n"/>
      <c r="D457" s="23" t="n"/>
      <c r="E457" s="23" t="n"/>
      <c r="F457" s="23" t="n"/>
      <c r="G457" s="23" t="n"/>
      <c r="H457" s="7" t="n"/>
      <c r="I457" s="23" t="n"/>
      <c r="J457" s="23" t="n"/>
      <c r="K457" s="8" t="n"/>
      <c r="L457" s="8" t="n"/>
      <c r="M457" s="23" t="n"/>
      <c r="N457" s="23" t="n"/>
      <c r="O457" s="23" t="n"/>
      <c r="P457" s="23" t="n"/>
    </row>
    <row r="458">
      <c r="A458" s="23" t="n"/>
      <c r="B458" s="23" t="n"/>
      <c r="C458" s="6" t="n"/>
      <c r="D458" s="23" t="n"/>
      <c r="E458" s="23" t="n"/>
      <c r="F458" s="23" t="n"/>
      <c r="G458" s="23" t="n"/>
      <c r="H458" s="7" t="n"/>
      <c r="I458" s="23" t="n"/>
      <c r="J458" s="23" t="n"/>
      <c r="K458" s="8" t="n"/>
      <c r="L458" s="8" t="n"/>
      <c r="M458" s="23" t="n"/>
      <c r="N458" s="23" t="n"/>
      <c r="O458" s="23" t="n"/>
      <c r="P458" s="23" t="n"/>
    </row>
    <row r="459">
      <c r="A459" s="23" t="n"/>
      <c r="B459" s="23" t="n"/>
      <c r="C459" s="6" t="n"/>
      <c r="D459" s="23" t="n"/>
      <c r="E459" s="23" t="n"/>
      <c r="F459" s="23" t="n"/>
      <c r="G459" s="23" t="n"/>
      <c r="H459" s="7" t="n"/>
      <c r="I459" s="23" t="n"/>
      <c r="J459" s="23" t="n"/>
      <c r="K459" s="8" t="n"/>
      <c r="L459" s="8" t="n"/>
      <c r="M459" s="23" t="n"/>
      <c r="N459" s="23" t="n"/>
      <c r="O459" s="23" t="n"/>
      <c r="P459" s="23" t="n"/>
    </row>
    <row r="460">
      <c r="A460" s="23" t="n"/>
      <c r="B460" s="23" t="n"/>
      <c r="C460" s="6" t="n"/>
      <c r="D460" s="23" t="n"/>
      <c r="E460" s="23" t="n"/>
      <c r="F460" s="23" t="n"/>
      <c r="G460" s="23" t="n"/>
      <c r="H460" s="7" t="n"/>
      <c r="I460" s="23" t="n"/>
      <c r="J460" s="23" t="n"/>
      <c r="K460" s="8" t="n"/>
      <c r="L460" s="8" t="n"/>
      <c r="M460" s="23" t="n"/>
      <c r="N460" s="23" t="n"/>
      <c r="O460" s="23" t="n"/>
      <c r="P460" s="23" t="n"/>
    </row>
    <row r="461">
      <c r="A461" s="23" t="n"/>
      <c r="B461" s="23" t="n"/>
      <c r="C461" s="6" t="n"/>
      <c r="D461" s="23" t="n"/>
      <c r="E461" s="23" t="n"/>
      <c r="F461" s="23" t="n"/>
      <c r="G461" s="23" t="n"/>
      <c r="H461" s="7" t="n"/>
      <c r="I461" s="23" t="n"/>
      <c r="J461" s="23" t="n"/>
      <c r="K461" s="8" t="n"/>
      <c r="L461" s="8" t="n"/>
      <c r="M461" s="23" t="n"/>
      <c r="N461" s="23" t="n"/>
      <c r="O461" s="23" t="n"/>
      <c r="P461" s="23" t="n"/>
    </row>
    <row r="462">
      <c r="A462" s="23" t="n"/>
      <c r="B462" s="23" t="n"/>
      <c r="C462" s="6" t="n"/>
      <c r="D462" s="23" t="n"/>
      <c r="E462" s="23" t="n"/>
      <c r="F462" s="23" t="n"/>
      <c r="G462" s="23" t="n"/>
      <c r="H462" s="7" t="n"/>
      <c r="I462" s="23" t="n"/>
      <c r="J462" s="23" t="n"/>
      <c r="K462" s="8" t="n"/>
      <c r="L462" s="8" t="n"/>
      <c r="M462" s="23" t="n"/>
      <c r="N462" s="23" t="n"/>
      <c r="O462" s="23" t="n"/>
      <c r="P462" s="23" t="n"/>
    </row>
    <row r="463">
      <c r="A463" s="23" t="n"/>
      <c r="B463" s="23" t="n"/>
      <c r="C463" s="6" t="n"/>
      <c r="D463" s="23" t="n"/>
      <c r="E463" s="23" t="n"/>
      <c r="F463" s="23" t="n"/>
      <c r="G463" s="23" t="n"/>
      <c r="H463" s="7" t="n"/>
      <c r="I463" s="23" t="n"/>
      <c r="J463" s="23" t="n"/>
      <c r="K463" s="8" t="n"/>
      <c r="L463" s="8" t="n"/>
      <c r="M463" s="23" t="n"/>
      <c r="N463" s="23" t="n"/>
      <c r="O463" s="23" t="n"/>
      <c r="P463" s="23" t="n"/>
    </row>
    <row r="464">
      <c r="A464" s="23" t="n"/>
      <c r="B464" s="23" t="n"/>
      <c r="C464" s="6" t="n"/>
      <c r="D464" s="23" t="n"/>
      <c r="E464" s="23" t="n"/>
      <c r="F464" s="23" t="n"/>
      <c r="G464" s="23" t="n"/>
      <c r="H464" s="7" t="n"/>
      <c r="I464" s="23" t="n"/>
      <c r="J464" s="23" t="n"/>
      <c r="K464" s="8" t="n"/>
      <c r="L464" s="8" t="n"/>
      <c r="M464" s="23" t="n"/>
      <c r="N464" s="23" t="n"/>
      <c r="O464" s="23" t="n"/>
      <c r="P464" s="23" t="n"/>
    </row>
    <row r="465">
      <c r="A465" s="23" t="n"/>
      <c r="B465" s="23" t="n"/>
      <c r="C465" s="6" t="n"/>
      <c r="D465" s="23" t="n"/>
      <c r="E465" s="23" t="n"/>
      <c r="F465" s="23" t="n"/>
      <c r="G465" s="23" t="n"/>
      <c r="H465" s="7" t="n"/>
      <c r="I465" s="23" t="n"/>
      <c r="J465" s="23" t="n"/>
      <c r="K465" s="8" t="n"/>
      <c r="L465" s="8" t="n"/>
      <c r="M465" s="23" t="n"/>
      <c r="N465" s="23" t="n"/>
      <c r="O465" s="23" t="n"/>
      <c r="P465" s="23" t="n"/>
    </row>
    <row r="466">
      <c r="A466" s="23" t="n"/>
      <c r="B466" s="23" t="n"/>
      <c r="C466" s="6" t="n"/>
      <c r="D466" s="23" t="n"/>
      <c r="E466" s="23" t="n"/>
      <c r="F466" s="23" t="n"/>
      <c r="G466" s="23" t="n"/>
      <c r="H466" s="7" t="n"/>
      <c r="I466" s="23" t="n"/>
      <c r="J466" s="23" t="n"/>
      <c r="K466" s="8" t="n"/>
      <c r="L466" s="8" t="n"/>
      <c r="M466" s="23" t="n"/>
      <c r="N466" s="23" t="n"/>
      <c r="O466" s="23" t="n"/>
      <c r="P466" s="23" t="n"/>
    </row>
    <row r="467">
      <c r="A467" s="23" t="n"/>
      <c r="B467" s="23" t="n"/>
      <c r="C467" s="6" t="n"/>
      <c r="D467" s="23" t="n"/>
      <c r="E467" s="23" t="n"/>
      <c r="F467" s="23" t="n"/>
      <c r="G467" s="23" t="n"/>
      <c r="H467" s="7" t="n"/>
      <c r="I467" s="23" t="n"/>
      <c r="J467" s="23" t="n"/>
      <c r="K467" s="8" t="n"/>
      <c r="L467" s="8" t="n"/>
      <c r="M467" s="23" t="n"/>
      <c r="N467" s="23" t="n"/>
      <c r="O467" s="23" t="n"/>
      <c r="P467" s="23" t="n"/>
    </row>
    <row r="468">
      <c r="A468" s="23" t="n"/>
      <c r="B468" s="23" t="n"/>
      <c r="C468" s="6" t="n"/>
      <c r="D468" s="23" t="n"/>
      <c r="E468" s="23" t="n"/>
      <c r="F468" s="23" t="n"/>
      <c r="G468" s="23" t="n"/>
      <c r="H468" s="7" t="n"/>
      <c r="I468" s="23" t="n"/>
      <c r="J468" s="23" t="n"/>
      <c r="K468" s="8" t="n"/>
      <c r="L468" s="8" t="n"/>
      <c r="M468" s="23" t="n"/>
      <c r="N468" s="23" t="n"/>
      <c r="O468" s="23" t="n"/>
      <c r="P468" s="23" t="n"/>
    </row>
    <row r="469">
      <c r="A469" s="23" t="n"/>
      <c r="B469" s="23" t="n"/>
      <c r="C469" s="6" t="n"/>
      <c r="D469" s="23" t="n"/>
      <c r="E469" s="23" t="n"/>
      <c r="F469" s="23" t="n"/>
      <c r="G469" s="23" t="n"/>
      <c r="H469" s="7" t="n"/>
      <c r="I469" s="23" t="n"/>
      <c r="J469" s="23" t="n"/>
      <c r="K469" s="8" t="n"/>
      <c r="L469" s="8" t="n"/>
      <c r="M469" s="23" t="n"/>
      <c r="N469" s="23" t="n"/>
      <c r="O469" s="23" t="n"/>
      <c r="P469" s="23" t="n"/>
    </row>
    <row r="470">
      <c r="A470" s="23" t="n"/>
      <c r="B470" s="23" t="n"/>
      <c r="C470" s="6" t="n"/>
      <c r="D470" s="23" t="n"/>
      <c r="E470" s="23" t="n"/>
      <c r="F470" s="23" t="n"/>
      <c r="G470" s="23" t="n"/>
      <c r="H470" s="7" t="n"/>
      <c r="I470" s="23" t="n"/>
      <c r="J470" s="23" t="n"/>
      <c r="K470" s="8" t="n"/>
      <c r="L470" s="8" t="n"/>
      <c r="M470" s="23" t="n"/>
      <c r="N470" s="23" t="n"/>
      <c r="O470" s="23" t="n"/>
      <c r="P470" s="23" t="n"/>
    </row>
    <row r="471">
      <c r="A471" s="23" t="n"/>
      <c r="B471" s="23" t="n"/>
      <c r="C471" s="6" t="n"/>
      <c r="D471" s="23" t="n"/>
      <c r="E471" s="23" t="n"/>
      <c r="F471" s="23" t="n"/>
      <c r="G471" s="23" t="n"/>
      <c r="H471" s="7" t="n"/>
      <c r="I471" s="23" t="n"/>
      <c r="J471" s="23" t="n"/>
      <c r="K471" s="8" t="n"/>
      <c r="L471" s="8" t="n"/>
      <c r="M471" s="23" t="n"/>
      <c r="N471" s="23" t="n"/>
      <c r="O471" s="23" t="n"/>
      <c r="P471" s="23" t="n"/>
    </row>
    <row r="472">
      <c r="A472" s="23" t="n"/>
      <c r="B472" s="23" t="n"/>
      <c r="C472" s="6" t="n"/>
      <c r="D472" s="23" t="n"/>
      <c r="E472" s="23" t="n"/>
      <c r="F472" s="23" t="n"/>
      <c r="G472" s="23" t="n"/>
      <c r="H472" s="7" t="n"/>
      <c r="I472" s="23" t="n"/>
      <c r="J472" s="23" t="n"/>
      <c r="K472" s="8" t="n"/>
      <c r="L472" s="8" t="n"/>
      <c r="M472" s="23" t="n"/>
      <c r="N472" s="23" t="n"/>
      <c r="O472" s="23" t="n"/>
      <c r="P472" s="23" t="n"/>
    </row>
    <row r="473">
      <c r="A473" s="23" t="n"/>
      <c r="B473" s="23" t="n"/>
      <c r="C473" s="6" t="n"/>
      <c r="D473" s="23" t="n"/>
      <c r="E473" s="23" t="n"/>
      <c r="F473" s="23" t="n"/>
      <c r="G473" s="23" t="n"/>
      <c r="H473" s="7" t="n"/>
      <c r="I473" s="23" t="n"/>
      <c r="J473" s="23" t="n"/>
      <c r="K473" s="8" t="n"/>
      <c r="L473" s="8" t="n"/>
      <c r="M473" s="23" t="n"/>
      <c r="N473" s="23" t="n"/>
      <c r="O473" s="23" t="n"/>
      <c r="P473" s="23" t="n"/>
    </row>
    <row r="474">
      <c r="A474" s="23" t="n"/>
      <c r="B474" s="23" t="n"/>
      <c r="C474" s="6" t="n"/>
      <c r="D474" s="23" t="n"/>
      <c r="E474" s="23" t="n"/>
      <c r="F474" s="23" t="n"/>
      <c r="G474" s="23" t="n"/>
      <c r="H474" s="7" t="n"/>
      <c r="I474" s="23" t="n"/>
      <c r="J474" s="23" t="n"/>
      <c r="K474" s="8" t="n"/>
      <c r="L474" s="8" t="n"/>
      <c r="M474" s="23" t="n"/>
      <c r="N474" s="23" t="n"/>
      <c r="O474" s="23" t="n"/>
      <c r="P474" s="23" t="n"/>
    </row>
    <row r="475">
      <c r="A475" s="23" t="n"/>
      <c r="B475" s="23" t="n"/>
      <c r="C475" s="6" t="n"/>
      <c r="D475" s="23" t="n"/>
      <c r="E475" s="23" t="n"/>
      <c r="F475" s="23" t="n"/>
      <c r="G475" s="23" t="n"/>
      <c r="H475" s="7" t="n"/>
      <c r="I475" s="23" t="n"/>
      <c r="J475" s="23" t="n"/>
      <c r="K475" s="8" t="n"/>
      <c r="L475" s="8" t="n"/>
      <c r="M475" s="23" t="n"/>
      <c r="N475" s="23" t="n"/>
      <c r="O475" s="23" t="n"/>
      <c r="P475" s="23" t="n"/>
    </row>
    <row r="476">
      <c r="A476" s="23" t="n"/>
      <c r="B476" s="23" t="n"/>
      <c r="C476" s="6" t="n"/>
      <c r="D476" s="23" t="n"/>
      <c r="E476" s="23" t="n"/>
      <c r="F476" s="23" t="n"/>
      <c r="G476" s="23" t="n"/>
      <c r="H476" s="7" t="n"/>
      <c r="I476" s="23" t="n"/>
      <c r="J476" s="23" t="n"/>
      <c r="K476" s="8" t="n"/>
      <c r="L476" s="8" t="n"/>
      <c r="M476" s="23" t="n"/>
      <c r="N476" s="23" t="n"/>
      <c r="O476" s="23" t="n"/>
      <c r="P476" s="23" t="n"/>
    </row>
    <row r="477">
      <c r="A477" s="23" t="n"/>
      <c r="B477" s="23" t="n"/>
      <c r="C477" s="6" t="n"/>
      <c r="D477" s="23" t="n"/>
      <c r="E477" s="23" t="n"/>
      <c r="F477" s="23" t="n"/>
      <c r="G477" s="23" t="n"/>
      <c r="H477" s="7" t="n"/>
      <c r="I477" s="23" t="n"/>
      <c r="J477" s="23" t="n"/>
      <c r="K477" s="8" t="n"/>
      <c r="L477" s="8" t="n"/>
      <c r="M477" s="23" t="n"/>
      <c r="N477" s="23" t="n"/>
      <c r="O477" s="23" t="n"/>
      <c r="P477" s="23" t="n"/>
    </row>
    <row r="478">
      <c r="A478" s="23" t="n"/>
      <c r="B478" s="23" t="n"/>
      <c r="C478" s="6" t="n"/>
      <c r="D478" s="23" t="n"/>
      <c r="E478" s="23" t="n"/>
      <c r="F478" s="23" t="n"/>
      <c r="G478" s="23" t="n"/>
      <c r="H478" s="7" t="n"/>
      <c r="I478" s="23" t="n"/>
      <c r="J478" s="23" t="n"/>
      <c r="K478" s="8" t="n"/>
      <c r="L478" s="8" t="n"/>
      <c r="M478" s="23" t="n"/>
      <c r="N478" s="23" t="n"/>
      <c r="O478" s="23" t="n"/>
      <c r="P478" s="23" t="n"/>
    </row>
    <row r="479">
      <c r="A479" s="23" t="n"/>
      <c r="B479" s="23" t="n"/>
      <c r="C479" s="6" t="n"/>
      <c r="D479" s="23" t="n"/>
      <c r="E479" s="23" t="n"/>
      <c r="F479" s="23" t="n"/>
      <c r="G479" s="23" t="n"/>
      <c r="H479" s="7" t="n"/>
      <c r="I479" s="23" t="n"/>
      <c r="J479" s="23" t="n"/>
      <c r="K479" s="8" t="n"/>
      <c r="L479" s="8" t="n"/>
      <c r="M479" s="23" t="n"/>
      <c r="N479" s="23" t="n"/>
      <c r="O479" s="23" t="n"/>
      <c r="P479" s="23" t="n"/>
    </row>
    <row r="480">
      <c r="A480" s="23" t="n"/>
      <c r="B480" s="23" t="n"/>
      <c r="C480" s="6" t="n"/>
      <c r="D480" s="23" t="n"/>
      <c r="E480" s="23" t="n"/>
      <c r="F480" s="23" t="n"/>
      <c r="G480" s="23" t="n"/>
      <c r="H480" s="7" t="n"/>
      <c r="I480" s="23" t="n"/>
      <c r="J480" s="23" t="n"/>
      <c r="K480" s="8" t="n"/>
      <c r="L480" s="8" t="n"/>
      <c r="M480" s="23" t="n"/>
      <c r="N480" s="23" t="n"/>
      <c r="O480" s="23" t="n"/>
      <c r="P480" s="23" t="n"/>
    </row>
    <row r="481">
      <c r="A481" s="23" t="n"/>
      <c r="B481" s="23" t="n"/>
      <c r="C481" s="6" t="n"/>
      <c r="D481" s="23" t="n"/>
      <c r="E481" s="23" t="n"/>
      <c r="F481" s="23" t="n"/>
      <c r="G481" s="23" t="n"/>
      <c r="H481" s="7" t="n"/>
      <c r="I481" s="23" t="n"/>
      <c r="J481" s="23" t="n"/>
      <c r="K481" s="8" t="n"/>
      <c r="L481" s="8" t="n"/>
      <c r="M481" s="23" t="n"/>
      <c r="N481" s="23" t="n"/>
      <c r="O481" s="23" t="n"/>
      <c r="P481" s="23" t="n"/>
    </row>
    <row r="482">
      <c r="A482" s="23" t="n"/>
      <c r="B482" s="23" t="n"/>
      <c r="C482" s="6" t="n"/>
      <c r="D482" s="23" t="n"/>
      <c r="E482" s="23" t="n"/>
      <c r="F482" s="23" t="n"/>
      <c r="G482" s="23" t="n"/>
      <c r="H482" s="7" t="n"/>
      <c r="I482" s="23" t="n"/>
      <c r="J482" s="23" t="n"/>
      <c r="K482" s="8" t="n"/>
      <c r="L482" s="8" t="n"/>
      <c r="M482" s="23" t="n"/>
      <c r="N482" s="23" t="n"/>
      <c r="O482" s="23" t="n"/>
      <c r="P482" s="23" t="n"/>
    </row>
    <row r="483">
      <c r="A483" s="23" t="n"/>
      <c r="B483" s="23" t="n"/>
      <c r="C483" s="6" t="n"/>
      <c r="D483" s="23" t="n"/>
      <c r="E483" s="23" t="n"/>
      <c r="F483" s="23" t="n"/>
      <c r="G483" s="23" t="n"/>
      <c r="H483" s="7" t="n"/>
      <c r="I483" s="23" t="n"/>
      <c r="J483" s="23" t="n"/>
      <c r="K483" s="8" t="n"/>
      <c r="L483" s="8" t="n"/>
      <c r="M483" s="23" t="n"/>
      <c r="N483" s="23" t="n"/>
      <c r="O483" s="23" t="n"/>
      <c r="P483" s="23" t="n"/>
    </row>
    <row r="484">
      <c r="A484" s="23" t="n"/>
      <c r="B484" s="23" t="n"/>
      <c r="C484" s="6" t="n"/>
      <c r="D484" s="23" t="n"/>
      <c r="E484" s="23" t="n"/>
      <c r="F484" s="23" t="n"/>
      <c r="G484" s="23" t="n"/>
      <c r="H484" s="7" t="n"/>
      <c r="I484" s="23" t="n"/>
      <c r="J484" s="23" t="n"/>
      <c r="K484" s="8" t="n"/>
      <c r="L484" s="8" t="n"/>
      <c r="M484" s="23" t="n"/>
      <c r="N484" s="23" t="n"/>
      <c r="O484" s="23" t="n"/>
      <c r="P484" s="23" t="n"/>
    </row>
    <row r="485">
      <c r="A485" s="23" t="n"/>
      <c r="B485" s="23" t="n"/>
      <c r="C485" s="6" t="n"/>
      <c r="D485" s="23" t="n"/>
      <c r="E485" s="23" t="n"/>
      <c r="F485" s="23" t="n"/>
      <c r="G485" s="23" t="n"/>
      <c r="H485" s="7" t="n"/>
      <c r="I485" s="23" t="n"/>
      <c r="J485" s="23" t="n"/>
      <c r="K485" s="8" t="n"/>
      <c r="L485" s="8" t="n"/>
      <c r="M485" s="23" t="n"/>
      <c r="N485" s="23" t="n"/>
      <c r="O485" s="23" t="n"/>
      <c r="P485" s="23" t="n"/>
    </row>
    <row r="486">
      <c r="A486" s="23" t="n"/>
      <c r="B486" s="23" t="n"/>
      <c r="C486" s="6" t="n"/>
      <c r="D486" s="23" t="n"/>
      <c r="E486" s="23" t="n"/>
      <c r="F486" s="23" t="n"/>
      <c r="G486" s="23" t="n"/>
      <c r="H486" s="7" t="n"/>
      <c r="I486" s="23" t="n"/>
      <c r="J486" s="23" t="n"/>
      <c r="K486" s="8" t="n"/>
      <c r="L486" s="8" t="n"/>
      <c r="M486" s="23" t="n"/>
      <c r="N486" s="23" t="n"/>
      <c r="O486" s="23" t="n"/>
      <c r="P486" s="23" t="n"/>
    </row>
    <row r="487">
      <c r="A487" s="23" t="n"/>
      <c r="B487" s="23" t="n"/>
      <c r="C487" s="6" t="n"/>
      <c r="D487" s="23" t="n"/>
      <c r="E487" s="23" t="n"/>
      <c r="F487" s="23" t="n"/>
      <c r="G487" s="23" t="n"/>
      <c r="H487" s="7" t="n"/>
      <c r="I487" s="23" t="n"/>
      <c r="J487" s="23" t="n"/>
      <c r="K487" s="8" t="n"/>
      <c r="L487" s="8" t="n"/>
      <c r="M487" s="23" t="n"/>
      <c r="N487" s="23" t="n"/>
      <c r="O487" s="23" t="n"/>
      <c r="P487" s="23" t="n"/>
    </row>
    <row r="488">
      <c r="A488" s="23" t="n"/>
      <c r="B488" s="23" t="n"/>
      <c r="C488" s="6" t="n"/>
      <c r="D488" s="23" t="n"/>
      <c r="E488" s="23" t="n"/>
      <c r="F488" s="23" t="n"/>
      <c r="G488" s="23" t="n"/>
      <c r="H488" s="7" t="n"/>
      <c r="I488" s="23" t="n"/>
      <c r="J488" s="23" t="n"/>
      <c r="K488" s="8" t="n"/>
      <c r="L488" s="8" t="n"/>
      <c r="M488" s="23" t="n"/>
      <c r="N488" s="23" t="n"/>
      <c r="O488" s="23" t="n"/>
      <c r="P488" s="23" t="n"/>
    </row>
    <row r="489">
      <c r="A489" s="23" t="n"/>
      <c r="B489" s="23" t="n"/>
      <c r="C489" s="6" t="n"/>
      <c r="D489" s="23" t="n"/>
      <c r="E489" s="23" t="n"/>
      <c r="F489" s="23" t="n"/>
      <c r="G489" s="23" t="n"/>
      <c r="H489" s="7" t="n"/>
      <c r="I489" s="23" t="n"/>
      <c r="J489" s="23" t="n"/>
      <c r="K489" s="8" t="n"/>
      <c r="L489" s="8" t="n"/>
      <c r="M489" s="23" t="n"/>
      <c r="N489" s="23" t="n"/>
      <c r="O489" s="23" t="n"/>
      <c r="P489" s="23" t="n"/>
    </row>
    <row r="490">
      <c r="A490" s="23" t="n"/>
      <c r="B490" s="23" t="n"/>
      <c r="C490" s="6" t="n"/>
      <c r="D490" s="23" t="n"/>
      <c r="E490" s="23" t="n"/>
      <c r="F490" s="23" t="n"/>
      <c r="G490" s="23" t="n"/>
      <c r="H490" s="7" t="n"/>
      <c r="I490" s="23" t="n"/>
      <c r="J490" s="23" t="n"/>
      <c r="K490" s="8" t="n"/>
      <c r="L490" s="8" t="n"/>
      <c r="M490" s="23" t="n"/>
      <c r="N490" s="23" t="n"/>
      <c r="O490" s="23" t="n"/>
      <c r="P490" s="23" t="n"/>
    </row>
    <row r="491">
      <c r="A491" s="23" t="n"/>
      <c r="B491" s="23" t="n"/>
      <c r="C491" s="6" t="n"/>
      <c r="D491" s="23" t="n"/>
      <c r="E491" s="23" t="n"/>
      <c r="F491" s="23" t="n"/>
      <c r="G491" s="23" t="n"/>
      <c r="H491" s="7" t="n"/>
      <c r="I491" s="23" t="n"/>
      <c r="J491" s="23" t="n"/>
      <c r="K491" s="8" t="n"/>
      <c r="L491" s="8" t="n"/>
      <c r="M491" s="23" t="n"/>
      <c r="N491" s="23" t="n"/>
      <c r="O491" s="23" t="n"/>
      <c r="P491" s="23" t="n"/>
    </row>
    <row r="492">
      <c r="A492" s="23" t="n"/>
      <c r="B492" s="23" t="n"/>
      <c r="C492" s="6" t="n"/>
      <c r="D492" s="23" t="n"/>
      <c r="E492" s="23" t="n"/>
      <c r="F492" s="23" t="n"/>
      <c r="G492" s="23" t="n"/>
      <c r="H492" s="7" t="n"/>
      <c r="I492" s="23" t="n"/>
      <c r="J492" s="23" t="n"/>
      <c r="K492" s="8" t="n"/>
      <c r="L492" s="8" t="n"/>
      <c r="M492" s="23" t="n"/>
      <c r="N492" s="23" t="n"/>
      <c r="O492" s="23" t="n"/>
      <c r="P492" s="23" t="n"/>
    </row>
    <row r="493">
      <c r="A493" s="23" t="n"/>
      <c r="B493" s="23" t="n"/>
      <c r="C493" s="6" t="n"/>
      <c r="D493" s="23" t="n"/>
      <c r="E493" s="23" t="n"/>
      <c r="F493" s="23" t="n"/>
      <c r="G493" s="23" t="n"/>
      <c r="H493" s="7" t="n"/>
      <c r="I493" s="23" t="n"/>
      <c r="J493" s="23" t="n"/>
      <c r="K493" s="8" t="n"/>
      <c r="L493" s="8" t="n"/>
      <c r="M493" s="23" t="n"/>
      <c r="N493" s="23" t="n"/>
      <c r="O493" s="23" t="n"/>
      <c r="P493" s="23" t="n"/>
    </row>
    <row r="494">
      <c r="A494" s="23" t="n"/>
      <c r="B494" s="23" t="n"/>
      <c r="C494" s="6" t="n"/>
      <c r="D494" s="23" t="n"/>
      <c r="E494" s="23" t="n"/>
      <c r="F494" s="23" t="n"/>
      <c r="G494" s="23" t="n"/>
      <c r="H494" s="7" t="n"/>
      <c r="I494" s="23" t="n"/>
      <c r="J494" s="23" t="n"/>
      <c r="K494" s="8" t="n"/>
      <c r="L494" s="8" t="n"/>
      <c r="M494" s="23" t="n"/>
      <c r="N494" s="23" t="n"/>
      <c r="O494" s="23" t="n"/>
      <c r="P494" s="23" t="n"/>
    </row>
    <row r="495">
      <c r="A495" s="23" t="n"/>
      <c r="B495" s="23" t="n"/>
      <c r="C495" s="6" t="n"/>
      <c r="D495" s="23" t="n"/>
      <c r="E495" s="23" t="n"/>
      <c r="F495" s="23" t="n"/>
      <c r="G495" s="23" t="n"/>
      <c r="H495" s="7" t="n"/>
      <c r="I495" s="23" t="n"/>
      <c r="J495" s="23" t="n"/>
      <c r="K495" s="8" t="n"/>
      <c r="L495" s="8" t="n"/>
      <c r="M495" s="23" t="n"/>
      <c r="N495" s="23" t="n"/>
      <c r="O495" s="23" t="n"/>
      <c r="P495" s="23" t="n"/>
    </row>
    <row r="496">
      <c r="A496" s="23" t="n"/>
      <c r="B496" s="23" t="n"/>
      <c r="C496" s="23" t="n"/>
      <c r="D496" s="23" t="n"/>
      <c r="E496" s="23" t="n"/>
      <c r="F496" s="23" t="n"/>
      <c r="G496" s="23" t="n"/>
      <c r="H496" s="23" t="n"/>
      <c r="I496" s="23" t="n"/>
      <c r="J496" s="23" t="n"/>
      <c r="K496" s="23" t="n"/>
      <c r="L496" s="23" t="n"/>
      <c r="M496" s="23" t="n"/>
      <c r="N496" s="23" t="n"/>
      <c r="O496" s="23" t="n"/>
      <c r="P496" s="23" t="n"/>
    </row>
    <row r="497">
      <c r="A497" s="23" t="n"/>
      <c r="B497" s="23" t="n"/>
      <c r="C497" s="23" t="n"/>
      <c r="D497" s="23" t="n"/>
      <c r="E497" s="23" t="n"/>
      <c r="F497" s="23" t="n"/>
      <c r="G497" s="23" t="n"/>
      <c r="H497" s="23" t="n"/>
      <c r="I497" s="23" t="n"/>
      <c r="J497" s="23" t="n"/>
      <c r="K497" s="23" t="n"/>
      <c r="L497" s="23" t="n"/>
      <c r="M497" s="23" t="n"/>
      <c r="N497" s="23" t="n"/>
      <c r="O497" s="23" t="n"/>
      <c r="P497" s="23" t="n"/>
    </row>
    <row r="498">
      <c r="A498" s="23" t="n"/>
      <c r="B498" s="23" t="n"/>
      <c r="C498" s="23" t="n"/>
      <c r="D498" s="23" t="n"/>
      <c r="E498" s="23" t="n"/>
      <c r="F498" s="23" t="n"/>
      <c r="G498" s="23" t="n"/>
      <c r="H498" s="23" t="n"/>
      <c r="I498" s="23" t="n"/>
      <c r="J498" s="23" t="n"/>
      <c r="K498" s="23" t="n"/>
      <c r="L498" s="23" t="n"/>
      <c r="M498" s="23" t="n"/>
      <c r="N498" s="23" t="n"/>
      <c r="O498" s="23" t="n"/>
      <c r="P498" s="23" t="n"/>
    </row>
    <row r="499">
      <c r="A499" s="23" t="n"/>
      <c r="B499" s="23" t="n"/>
      <c r="C499" s="23" t="n"/>
      <c r="D499" s="23" t="n"/>
      <c r="E499" s="23" t="n"/>
      <c r="F499" s="23" t="n"/>
      <c r="G499" s="23" t="n"/>
      <c r="H499" s="23" t="n"/>
      <c r="I499" s="23" t="n"/>
      <c r="J499" s="23" t="n"/>
      <c r="K499" s="23" t="n"/>
      <c r="L499" s="23" t="n"/>
      <c r="M499" s="23" t="n"/>
      <c r="N499" s="23" t="n"/>
      <c r="O499" s="23" t="n"/>
      <c r="P499" s="23" t="n"/>
    </row>
    <row r="500">
      <c r="A500" s="23" t="n"/>
      <c r="B500" s="23" t="n"/>
      <c r="C500" s="23" t="n"/>
      <c r="D500" s="23" t="n"/>
      <c r="E500" s="23" t="n"/>
      <c r="F500" s="23" t="n"/>
      <c r="G500" s="23" t="n"/>
      <c r="H500" s="23" t="n"/>
      <c r="I500" s="23" t="n"/>
      <c r="J500" s="23" t="n"/>
      <c r="K500" s="23" t="n"/>
      <c r="L500" s="23" t="n"/>
      <c r="M500" s="23" t="n"/>
      <c r="N500" s="23" t="n"/>
      <c r="O500" s="23" t="n"/>
      <c r="P500" s="23" t="n"/>
    </row>
  </sheetData>
  <conditionalFormatting sqref="B2:B495">
    <cfRule type="expression" priority="1" dxfId="2">
      <formula>B2="Cancelado"</formula>
    </cfRule>
    <cfRule type="expression" priority="2" dxfId="1">
      <formula>B2="Realizado"</formula>
    </cfRule>
  </conditionalFormatting>
  <dataValidations count="2">
    <dataValidation sqref="B2:B495" showDropDown="0" showInputMessage="0" showErrorMessage="0" allowBlank="0" type="list">
      <formula1>"Planejado,Confirmado,Em execução,Realizado,Cancelado"</formula1>
    </dataValidation>
    <dataValidation sqref="F2:F495" showDropDown="0" showInputMessage="0" showErrorMessage="0" allowBlank="0" type="list">
      <formula1>"Fan Fest,Workshop,Clínica esportiva,Seminário,Ativação patrocinador,Legado,Outro"</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4.25"/>
  <cols>
    <col width="18" customWidth="1" style="1" min="1" max="8"/>
  </cols>
  <sheetData>
    <row r="1" ht="24" customHeight="1" s="1">
      <c r="A1" s="4" t="inlineStr">
        <is>
          <t>Próximos Eventos</t>
        </is>
      </c>
      <c r="B1" s="4" t="inlineStr">
        <is>
          <t>Data</t>
        </is>
      </c>
      <c r="C1" s="4" t="inlineStr">
        <is>
          <t>Cidade</t>
        </is>
      </c>
      <c r="D1" s="4" t="inlineStr">
        <is>
          <t>UF</t>
        </is>
      </c>
      <c r="E1" s="4" t="inlineStr">
        <is>
          <t>Categoria</t>
        </is>
      </c>
      <c r="F1" s="4" t="inlineStr">
        <is>
          <t>Patrocinador</t>
        </is>
      </c>
      <c r="G1" s="4" t="inlineStr">
        <is>
          <t>Público</t>
        </is>
      </c>
      <c r="H1" s="4" t="inlineStr">
        <is>
          <t>Status</t>
        </is>
      </c>
    </row>
    <row r="2">
      <c r="A2" s="23">
        <f t="array" ref="A2:A28">_xlfn._xlws.FILTER(CHOOSE({1,2,3,4,5,6,7,8},'02_Eventos'!A2:A495,'02_Eventos'!C2:C495,'02_Eventos'!E2:E495,'02_Eventos'!D2:D495,'02_Eventos'!F2:F495,'02_Eventos'!I2:I495,'02_Eventos'!H2:H495,'02_Eventos'!B2:B495),('02_Eventos'!C2:C495&gt;=TODAY())*('02_Eventos'!B2:B495&lt;&gt;"Cancelado"),"Sem eventos futuros")</f>
        <v/>
      </c>
      <c r="B2" s="6" t="n"/>
      <c r="C2" s="23" t="n"/>
      <c r="D2" s="23" t="n"/>
      <c r="E2" s="23" t="n"/>
      <c r="F2" s="23" t="n"/>
      <c r="G2" s="23" t="n"/>
      <c r="H2" s="23" t="n"/>
    </row>
    <row r="3">
      <c r="A3" s="23" t="inlineStr">
        <is>
          <t>EVT-0091</t>
        </is>
      </c>
      <c r="B3" s="6" t="n"/>
      <c r="C3" s="23" t="n"/>
      <c r="D3" s="23" t="n"/>
      <c r="E3" s="23" t="n"/>
      <c r="F3" s="23" t="n"/>
      <c r="G3" s="23" t="n"/>
      <c r="H3" s="23" t="n"/>
    </row>
    <row r="4">
      <c r="A4" s="23" t="inlineStr">
        <is>
          <t>EVT-0082</t>
        </is>
      </c>
      <c r="B4" s="6" t="n"/>
      <c r="C4" s="23" t="n"/>
      <c r="D4" s="23" t="n"/>
      <c r="E4" s="23" t="n"/>
      <c r="F4" s="23" t="n"/>
      <c r="G4" s="23" t="n"/>
      <c r="H4" s="23" t="n"/>
    </row>
    <row r="5">
      <c r="A5" s="23" t="inlineStr">
        <is>
          <t>EVT-0083</t>
        </is>
      </c>
      <c r="B5" s="6" t="n"/>
      <c r="C5" s="23" t="n"/>
      <c r="D5" s="23" t="n"/>
      <c r="E5" s="23" t="n"/>
      <c r="F5" s="23" t="n"/>
      <c r="G5" s="23" t="n"/>
      <c r="H5" s="23" t="n"/>
    </row>
    <row r="6">
      <c r="A6" s="23" t="inlineStr">
        <is>
          <t>EVT-0022</t>
        </is>
      </c>
      <c r="B6" s="6" t="n"/>
      <c r="C6" s="23" t="n"/>
      <c r="D6" s="23" t="n"/>
      <c r="E6" s="23" t="n"/>
      <c r="F6" s="23" t="n"/>
      <c r="G6" s="23" t="n"/>
      <c r="H6" s="23" t="n"/>
    </row>
    <row r="7">
      <c r="A7" s="23" t="inlineStr">
        <is>
          <t>EVT-0062</t>
        </is>
      </c>
      <c r="B7" s="6" t="n"/>
      <c r="C7" s="23" t="n"/>
      <c r="D7" s="23" t="n"/>
      <c r="E7" s="23" t="n"/>
      <c r="F7" s="23" t="n"/>
      <c r="G7" s="23" t="n"/>
      <c r="H7" s="23" t="n"/>
    </row>
    <row r="8">
      <c r="A8" s="23" t="inlineStr">
        <is>
          <t>EVT-0084</t>
        </is>
      </c>
      <c r="B8" s="6" t="n"/>
      <c r="C8" s="23" t="n"/>
      <c r="D8" s="23" t="n"/>
      <c r="E8" s="23" t="n"/>
      <c r="F8" s="23" t="n"/>
      <c r="G8" s="23" t="n"/>
      <c r="H8" s="23" t="n"/>
    </row>
    <row r="9">
      <c r="A9" s="23" t="inlineStr">
        <is>
          <t>EVT-0074</t>
        </is>
      </c>
      <c r="B9" s="6" t="n"/>
      <c r="C9" s="23" t="n"/>
      <c r="D9" s="23" t="n"/>
      <c r="E9" s="23" t="n"/>
      <c r="F9" s="23" t="n"/>
      <c r="G9" s="23" t="n"/>
      <c r="H9" s="23" t="n"/>
    </row>
    <row r="10">
      <c r="A10" s="23" t="inlineStr">
        <is>
          <t>EVT-0006</t>
        </is>
      </c>
      <c r="B10" s="6" t="n"/>
      <c r="C10" s="23" t="n"/>
      <c r="D10" s="23" t="n"/>
      <c r="E10" s="23" t="n"/>
      <c r="F10" s="23" t="n"/>
      <c r="G10" s="23" t="n"/>
      <c r="H10" s="23" t="n"/>
    </row>
    <row r="11">
      <c r="A11" s="23" t="inlineStr">
        <is>
          <t>EVT-0085</t>
        </is>
      </c>
      <c r="B11" s="6" t="n"/>
      <c r="C11" s="23" t="n"/>
      <c r="D11" s="23" t="n"/>
      <c r="E11" s="23" t="n"/>
      <c r="F11" s="23" t="n"/>
      <c r="G11" s="23" t="n"/>
      <c r="H11" s="23" t="n"/>
    </row>
    <row r="12">
      <c r="A12" s="23" t="inlineStr">
        <is>
          <t>EVT-0086</t>
        </is>
      </c>
      <c r="B12" s="6" t="n"/>
      <c r="C12" s="23" t="n"/>
      <c r="D12" s="23" t="n"/>
      <c r="E12" s="23" t="n"/>
      <c r="F12" s="23" t="n"/>
      <c r="G12" s="23" t="n"/>
      <c r="H12" s="23" t="n"/>
    </row>
    <row r="13">
      <c r="A13" s="23" t="inlineStr">
        <is>
          <t>EVT-0087</t>
        </is>
      </c>
      <c r="B13" s="6" t="n"/>
      <c r="C13" s="23" t="n"/>
      <c r="D13" s="23" t="n"/>
      <c r="E13" s="23" t="n"/>
      <c r="F13" s="23" t="n"/>
      <c r="G13" s="23" t="n"/>
      <c r="H13" s="23" t="n"/>
    </row>
    <row r="14">
      <c r="A14" s="23" t="inlineStr">
        <is>
          <t>EVT-0055</t>
        </is>
      </c>
      <c r="B14" s="6" t="n"/>
      <c r="C14" s="23" t="n"/>
      <c r="D14" s="23" t="n"/>
      <c r="E14" s="23" t="n"/>
      <c r="F14" s="23" t="n"/>
      <c r="G14" s="23" t="n"/>
      <c r="H14" s="23" t="n"/>
    </row>
    <row r="15">
      <c r="A15" s="23" t="inlineStr">
        <is>
          <t>EVT-0007</t>
        </is>
      </c>
      <c r="B15" s="6" t="n"/>
      <c r="C15" s="23" t="n"/>
      <c r="D15" s="23" t="n"/>
      <c r="E15" s="23" t="n"/>
      <c r="F15" s="23" t="n"/>
      <c r="G15" s="23" t="n"/>
      <c r="H15" s="23" t="n"/>
    </row>
    <row r="16">
      <c r="A16" s="23" t="inlineStr">
        <is>
          <t>EVT-0088</t>
        </is>
      </c>
      <c r="B16" s="6" t="n"/>
      <c r="C16" s="23" t="n"/>
      <c r="D16" s="23" t="n"/>
      <c r="E16" s="23" t="n"/>
      <c r="F16" s="23" t="n"/>
      <c r="G16" s="23" t="n"/>
      <c r="H16" s="23" t="n"/>
    </row>
    <row r="17">
      <c r="A17" s="23" t="inlineStr">
        <is>
          <t>EVT-0011</t>
        </is>
      </c>
      <c r="B17" s="6" t="n"/>
    </row>
    <row r="18">
      <c r="A18" s="23" t="inlineStr">
        <is>
          <t>EVT-0089</t>
        </is>
      </c>
      <c r="B18" s="6" t="n"/>
    </row>
    <row r="19">
      <c r="A19" s="23" t="inlineStr">
        <is>
          <t>EVT-0010</t>
        </is>
      </c>
      <c r="B19" s="6" t="n"/>
    </row>
    <row r="20">
      <c r="A20" s="23" t="inlineStr">
        <is>
          <t>EVT-0008</t>
        </is>
      </c>
      <c r="B20" s="6" t="n"/>
    </row>
    <row r="21">
      <c r="A21" s="23" t="inlineStr">
        <is>
          <t>EVT-0090</t>
        </is>
      </c>
      <c r="B21" s="6" t="n"/>
    </row>
    <row r="22">
      <c r="A22" s="23" t="inlineStr">
        <is>
          <t>EVT-0009</t>
        </is>
      </c>
      <c r="B22" s="6" t="n"/>
    </row>
    <row r="23">
      <c r="A23" s="23" t="inlineStr">
        <is>
          <t>EVT-0012</t>
        </is>
      </c>
      <c r="B23" s="6" t="n"/>
    </row>
    <row r="24">
      <c r="A24" s="23" t="inlineStr">
        <is>
          <t>EVT-0077</t>
        </is>
      </c>
      <c r="B24" s="6" t="n"/>
    </row>
    <row r="25">
      <c r="A25" s="23" t="inlineStr">
        <is>
          <t>EVT-0017</t>
        </is>
      </c>
      <c r="B25" s="6" t="n"/>
    </row>
    <row r="26">
      <c r="A26" s="23" t="inlineStr">
        <is>
          <t>EVT-0018</t>
        </is>
      </c>
      <c r="B26" s="6" t="n"/>
    </row>
    <row r="27">
      <c r="A27" s="23" t="inlineStr">
        <is>
          <t>EVT-0019</t>
        </is>
      </c>
      <c r="B27" s="6" t="n"/>
    </row>
    <row r="28">
      <c r="A28" s="23" t="inlineStr">
        <is>
          <t>EVT-0020</t>
        </is>
      </c>
      <c r="B28" s="6" t="n"/>
    </row>
    <row r="29">
      <c r="A29" s="23" t="n"/>
      <c r="B29" s="6" t="n"/>
    </row>
    <row r="30">
      <c r="A30" s="23" t="n"/>
      <c r="B30" s="6" t="n"/>
    </row>
    <row r="31">
      <c r="A31" s="23" t="n"/>
      <c r="B31" s="6" t="n"/>
    </row>
    <row r="32">
      <c r="A32" s="23" t="n"/>
      <c r="B32" s="6" t="n"/>
    </row>
    <row r="33">
      <c r="B33" s="6" t="n"/>
    </row>
    <row r="34">
      <c r="B34" s="6" t="n"/>
    </row>
    <row r="35">
      <c r="B35" s="6" t="n"/>
    </row>
    <row r="36">
      <c r="B36" s="6" t="n"/>
    </row>
    <row r="37">
      <c r="B37" s="6" t="n"/>
    </row>
    <row r="38">
      <c r="B38" s="6" t="n"/>
    </row>
    <row r="39">
      <c r="B39" s="6" t="n"/>
    </row>
    <row r="40">
      <c r="B40" s="6" t="n"/>
    </row>
    <row r="41">
      <c r="B41" s="6" t="n"/>
    </row>
    <row r="42">
      <c r="B42" s="6" t="n"/>
    </row>
    <row r="43">
      <c r="B43" s="6" t="n"/>
    </row>
    <row r="44">
      <c r="B44" s="6" t="n"/>
    </row>
    <row r="45">
      <c r="B45" s="6" t="n"/>
    </row>
    <row r="46">
      <c r="B46" s="6" t="n"/>
    </row>
    <row r="47">
      <c r="B47" s="6" t="n"/>
    </row>
    <row r="48">
      <c r="B48" s="6" t="n"/>
    </row>
    <row r="49">
      <c r="B49" s="6" t="n"/>
    </row>
    <row r="50">
      <c r="B50" s="6" t="n"/>
    </row>
    <row r="51">
      <c r="B51" s="6" t="n"/>
    </row>
    <row r="52">
      <c r="B52" s="6" t="n"/>
    </row>
    <row r="53">
      <c r="B53" s="6" t="n"/>
    </row>
    <row r="54">
      <c r="B54" s="6" t="n"/>
    </row>
    <row r="55">
      <c r="B55" s="6" t="n"/>
    </row>
    <row r="56">
      <c r="B56" s="6" t="n"/>
    </row>
    <row r="57">
      <c r="B57" s="6" t="n"/>
    </row>
    <row r="58">
      <c r="B58" s="6" t="n"/>
    </row>
    <row r="59">
      <c r="B59" s="6" t="n"/>
    </row>
    <row r="60">
      <c r="B60" s="6" t="n"/>
    </row>
    <row r="61">
      <c r="B61" s="6" t="n"/>
    </row>
    <row r="62">
      <c r="B62" s="6" t="n"/>
    </row>
    <row r="63">
      <c r="B63" s="6" t="n"/>
    </row>
    <row r="64">
      <c r="B64" s="6" t="n"/>
    </row>
    <row r="65">
      <c r="B65" s="6" t="n"/>
    </row>
    <row r="66">
      <c r="B66" s="6" t="n"/>
    </row>
    <row r="67">
      <c r="B67" s="6" t="n"/>
    </row>
    <row r="68">
      <c r="B68" s="6" t="n"/>
    </row>
    <row r="69">
      <c r="B69" s="6" t="n"/>
    </row>
    <row r="70">
      <c r="B70" s="6" t="n"/>
    </row>
    <row r="71">
      <c r="B71" s="6" t="n"/>
    </row>
    <row r="72">
      <c r="B72" s="6" t="n"/>
    </row>
    <row r="73">
      <c r="B73" s="6" t="n"/>
    </row>
    <row r="74">
      <c r="B74" s="6" t="n"/>
    </row>
    <row r="75">
      <c r="B75" s="6" t="n"/>
    </row>
    <row r="76">
      <c r="B76" s="6" t="n"/>
    </row>
    <row r="77">
      <c r="B77" s="6" t="n"/>
    </row>
    <row r="78">
      <c r="B78" s="6" t="n"/>
    </row>
    <row r="79">
      <c r="B79" s="6" t="n"/>
    </row>
    <row r="80">
      <c r="B80" s="6" t="n"/>
    </row>
    <row r="81">
      <c r="B81" s="6" t="n"/>
    </row>
    <row r="82">
      <c r="B82" s="6" t="n"/>
    </row>
    <row r="83">
      <c r="B83" s="6" t="n"/>
    </row>
    <row r="84">
      <c r="B84" s="6" t="n"/>
    </row>
    <row r="85">
      <c r="B85" s="6" t="n"/>
    </row>
    <row r="86">
      <c r="B86" s="6" t="n"/>
    </row>
    <row r="87">
      <c r="B87" s="6" t="n"/>
    </row>
    <row r="88">
      <c r="B88" s="6" t="n"/>
    </row>
    <row r="89">
      <c r="B89" s="6" t="n"/>
    </row>
    <row r="90">
      <c r="B90" s="6" t="n"/>
    </row>
    <row r="91">
      <c r="B91" s="6" t="n"/>
    </row>
    <row r="92">
      <c r="B92" s="6" t="n"/>
    </row>
    <row r="93">
      <c r="B93" s="6" t="n"/>
    </row>
    <row r="94">
      <c r="B94" s="6" t="n"/>
    </row>
    <row r="95">
      <c r="B95" s="6" t="n"/>
    </row>
    <row r="96">
      <c r="B96" s="6" t="n"/>
    </row>
    <row r="97">
      <c r="B97" s="6" t="n"/>
    </row>
    <row r="98">
      <c r="B98" s="6" t="n"/>
    </row>
    <row r="99">
      <c r="B99" s="6" t="n"/>
    </row>
    <row r="100">
      <c r="B100" s="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4.25"/>
  <cols>
    <col width="16" customWidth="1" style="1" min="1" max="11"/>
  </cols>
  <sheetData>
    <row r="1" ht="24" customHeight="1" s="1">
      <c r="A1" s="4" t="inlineStr">
        <is>
          <t>Cidade</t>
        </is>
      </c>
      <c r="B1" s="4" t="inlineStr">
        <is>
          <t>UF</t>
        </is>
      </c>
      <c r="C1" s="4" t="inlineStr">
        <is>
          <t>Nº Eventos</t>
        </is>
      </c>
      <c r="D1" s="4" t="inlineStr">
        <is>
          <t>Público</t>
        </is>
      </c>
      <c r="E1" s="4" t="inlineStr">
        <is>
          <t>Patrocinadores</t>
        </is>
      </c>
      <c r="F1" s="4" t="inlineStr">
        <is>
          <t>Diversidade</t>
        </is>
      </c>
      <c r="G1" s="4" t="inlineStr">
        <is>
          <t>Eventos Oficiais</t>
        </is>
      </c>
      <c r="H1" s="4" t="inlineStr">
        <is>
          <t>Mídia</t>
        </is>
      </c>
      <c r="I1" s="4" t="inlineStr">
        <is>
          <t>Legado</t>
        </is>
      </c>
      <c r="J1" s="4" t="inlineStr">
        <is>
          <t>IAC</t>
        </is>
      </c>
      <c r="K1" s="4" t="inlineStr">
        <is>
          <t>Classificação</t>
        </is>
      </c>
    </row>
    <row r="2">
      <c r="A2" s="23" t="inlineStr">
        <is>
          <t>Rio de Janeiro</t>
        </is>
      </c>
      <c r="B2" s="23" t="inlineStr">
        <is>
          <t>RJ</t>
        </is>
      </c>
      <c r="C2" s="13">
        <f>COUNTIF('02_Eventos'!E:E,A2)</f>
        <v/>
      </c>
      <c r="D2" s="13">
        <f>SUMIF('02_Eventos'!E:E,A2,'02_Eventos'!H:H)</f>
        <v/>
      </c>
      <c r="E2" s="13">
        <f>COUNTA(_xlfn.UNIQUE(_xlfn._xlws.FILTER('02_Eventos'!I:I,'02_Eventos'!E:E=A2,"")))</f>
        <v/>
      </c>
      <c r="F2" s="13">
        <f>COUNTA(_xlfn.UNIQUE(_xlfn._xlws.FILTER('02_Eventos'!F:F,'02_Eventos'!E:E=A2,"")))</f>
        <v/>
      </c>
      <c r="G2" s="13" t="n">
        <v>60</v>
      </c>
      <c r="H2" s="13" t="n">
        <v>55</v>
      </c>
      <c r="I2" s="13" t="n">
        <v>65</v>
      </c>
      <c r="J2" s="13">
        <f>MIN(100,(C2*5)+(MIN(D2/1000,20))+(E2*4)+(F2*3)+(G2*0.1)+(H2*0.1)+(I2*0.1))</f>
        <v/>
      </c>
      <c r="K2" s="23">
        <f>IF(J2&gt;=85,"Excelente",IF(J2&gt;=70,"Alta",IF(J2&gt;=50,"Moderada",IF(J2&gt;=30,"Baixa","Muito baixa"))))</f>
        <v/>
      </c>
    </row>
    <row r="3">
      <c r="A3" s="23" t="inlineStr">
        <is>
          <t>São Paulo</t>
        </is>
      </c>
      <c r="B3" s="23" t="inlineStr">
        <is>
          <t>SP</t>
        </is>
      </c>
      <c r="C3" s="13">
        <f>COUNTIF('02_Eventos'!E:E,A3)</f>
        <v/>
      </c>
      <c r="D3" s="13">
        <f>SUMIF('02_Eventos'!E:E,A3,'02_Eventos'!H:H)</f>
        <v/>
      </c>
      <c r="E3" s="13">
        <f>COUNTA(_xlfn.UNIQUE(_xlfn._xlws.FILTER('02_Eventos'!I:I,'02_Eventos'!E:E=A3,"")))</f>
        <v/>
      </c>
      <c r="F3" s="13">
        <f>COUNTA(_xlfn.UNIQUE(_xlfn._xlws.FILTER('02_Eventos'!F:F,'02_Eventos'!E:E=A3,"")))</f>
        <v/>
      </c>
      <c r="G3" s="13" t="n">
        <v>60</v>
      </c>
      <c r="H3" s="13" t="n">
        <v>55</v>
      </c>
      <c r="I3" s="13" t="n">
        <v>65</v>
      </c>
      <c r="J3" s="13">
        <f>MIN(100,(C3*5)+(MIN(D3/1000,20))+(E3*4)+(F3*3)+(G3*0.1)+(H3*0.1)+(I3*0.1))</f>
        <v/>
      </c>
      <c r="K3" s="23">
        <f>IF(J3&gt;=85,"Excelente",IF(J3&gt;=70,"Alta",IF(J3&gt;=50,"Moderada",IF(J3&gt;=30,"Baixa","Muito baixa"))))</f>
        <v/>
      </c>
    </row>
    <row r="4">
      <c r="A4" s="23" t="inlineStr">
        <is>
          <t>Belo Horizonte</t>
        </is>
      </c>
      <c r="B4" s="23" t="inlineStr">
        <is>
          <t>MG</t>
        </is>
      </c>
      <c r="C4" s="13">
        <f>COUNTIF('02_Eventos'!E:E,A4)</f>
        <v/>
      </c>
      <c r="D4" s="13">
        <f>SUMIF('02_Eventos'!E:E,A4,'02_Eventos'!H:H)</f>
        <v/>
      </c>
      <c r="E4" s="13">
        <f>COUNTA(_xlfn.UNIQUE(_xlfn._xlws.FILTER('02_Eventos'!I:I,'02_Eventos'!E:E=A4,"")))</f>
        <v/>
      </c>
      <c r="F4" s="13">
        <f>COUNTA(_xlfn.UNIQUE(_xlfn._xlws.FILTER('02_Eventos'!F:F,'02_Eventos'!E:E=A4,"")))</f>
        <v/>
      </c>
      <c r="G4" s="13" t="n">
        <v>60</v>
      </c>
      <c r="H4" s="13" t="n">
        <v>55</v>
      </c>
      <c r="I4" s="13" t="n">
        <v>65</v>
      </c>
      <c r="J4" s="13">
        <f>MIN(100,(C4*5)+(MIN(D4/1000,20))+(E4*4)+(F4*3)+(G4*0.1)+(H4*0.1)+(I4*0.1))</f>
        <v/>
      </c>
      <c r="K4" s="23">
        <f>IF(J4&gt;=85,"Excelente",IF(J4&gt;=70,"Alta",IF(J4&gt;=50,"Moderada",IF(J4&gt;=30,"Baixa","Muito baixa"))))</f>
        <v/>
      </c>
    </row>
    <row r="5">
      <c r="A5" s="23" t="inlineStr">
        <is>
          <t>Salvador</t>
        </is>
      </c>
      <c r="B5" s="23" t="inlineStr">
        <is>
          <t>BA</t>
        </is>
      </c>
      <c r="C5" s="13">
        <f>COUNTIF('02_Eventos'!E:E,A5)</f>
        <v/>
      </c>
      <c r="D5" s="13">
        <f>SUMIF('02_Eventos'!E:E,A5,'02_Eventos'!H:H)</f>
        <v/>
      </c>
      <c r="E5" s="13">
        <f>COUNTA(_xlfn.UNIQUE(_xlfn._xlws.FILTER('02_Eventos'!I:I,'02_Eventos'!E:E=A5,"")))</f>
        <v/>
      </c>
      <c r="F5" s="13">
        <f>COUNTA(_xlfn.UNIQUE(_xlfn._xlws.FILTER('02_Eventos'!F:F,'02_Eventos'!E:E=A5,"")))</f>
        <v/>
      </c>
      <c r="G5" s="13" t="n">
        <v>60</v>
      </c>
      <c r="H5" s="13" t="n">
        <v>55</v>
      </c>
      <c r="I5" s="13" t="n">
        <v>65</v>
      </c>
      <c r="J5" s="13">
        <f>MIN(100,(C5*5)+(MIN(D5/1000,20))+(E5*4)+(F5*3)+(G5*0.1)+(H5*0.1)+(I5*0.1))</f>
        <v/>
      </c>
      <c r="K5" s="23">
        <f>IF(J5&gt;=85,"Excelente",IF(J5&gt;=70,"Alta",IF(J5&gt;=50,"Moderada",IF(J5&gt;=30,"Baixa","Muito baixa"))))</f>
        <v/>
      </c>
    </row>
    <row r="6">
      <c r="A6" s="23" t="inlineStr">
        <is>
          <t>Recife</t>
        </is>
      </c>
      <c r="B6" s="23" t="inlineStr">
        <is>
          <t>PE</t>
        </is>
      </c>
      <c r="C6" s="13">
        <f>COUNTIF('02_Eventos'!E:E,A6)</f>
        <v/>
      </c>
      <c r="D6" s="13">
        <f>SUMIF('02_Eventos'!E:E,A6,'02_Eventos'!H:H)</f>
        <v/>
      </c>
      <c r="E6" s="13">
        <f>COUNTA(_xlfn.UNIQUE(_xlfn._xlws.FILTER('02_Eventos'!I:I,'02_Eventos'!E:E=A6,"")))</f>
        <v/>
      </c>
      <c r="F6" s="13">
        <f>COUNTA(_xlfn.UNIQUE(_xlfn._xlws.FILTER('02_Eventos'!F:F,'02_Eventos'!E:E=A6,"")))</f>
        <v/>
      </c>
      <c r="G6" s="13" t="n">
        <v>60</v>
      </c>
      <c r="H6" s="13" t="n">
        <v>55</v>
      </c>
      <c r="I6" s="13" t="n">
        <v>65</v>
      </c>
      <c r="J6" s="13">
        <f>MIN(100,(C6*5)+(MIN(D6/1000,20))+(E6*4)+(F6*3)+(G6*0.1)+(H6*0.1)+(I6*0.1))</f>
        <v/>
      </c>
      <c r="K6" s="23">
        <f>IF(J6&gt;=85,"Excelente",IF(J6&gt;=70,"Alta",IF(J6&gt;=50,"Moderada",IF(J6&gt;=30,"Baixa","Muito baixa"))))</f>
        <v/>
      </c>
    </row>
    <row r="7">
      <c r="A7" s="23" t="inlineStr">
        <is>
          <t>Fortaleza</t>
        </is>
      </c>
      <c r="B7" s="23" t="inlineStr">
        <is>
          <t>CE</t>
        </is>
      </c>
      <c r="C7" s="13">
        <f>COUNTIF('02_Eventos'!E:E,A7)</f>
        <v/>
      </c>
      <c r="D7" s="13">
        <f>SUMIF('02_Eventos'!E:E,A7,'02_Eventos'!H:H)</f>
        <v/>
      </c>
      <c r="E7" s="13">
        <f>COUNTA(_xlfn.UNIQUE(_xlfn._xlws.FILTER('02_Eventos'!I:I,'02_Eventos'!E:E=A7,"")))</f>
        <v/>
      </c>
      <c r="F7" s="13">
        <f>COUNTA(_xlfn.UNIQUE(_xlfn._xlws.FILTER('02_Eventos'!F:F,'02_Eventos'!E:E=A7,"")))</f>
        <v/>
      </c>
      <c r="G7" s="13" t="n">
        <v>60</v>
      </c>
      <c r="H7" s="13" t="n">
        <v>55</v>
      </c>
      <c r="I7" s="13" t="n">
        <v>65</v>
      </c>
      <c r="J7" s="13">
        <f>MIN(100,(C7*5)+(MIN(D7/1000,20))+(E7*4)+(F7*3)+(G7*0.1)+(H7*0.1)+(I7*0.1))</f>
        <v/>
      </c>
      <c r="K7" s="23">
        <f>IF(J7&gt;=85,"Excelente",IF(J7&gt;=70,"Alta",IF(J7&gt;=50,"Moderada",IF(J7&gt;=30,"Baixa","Muito baixa"))))</f>
        <v/>
      </c>
    </row>
    <row r="8">
      <c r="A8" s="23" t="inlineStr">
        <is>
          <t>Brasília</t>
        </is>
      </c>
      <c r="B8" s="23" t="inlineStr">
        <is>
          <t>DF</t>
        </is>
      </c>
      <c r="C8" s="13">
        <f>COUNTIF('02_Eventos'!E:E,A8)</f>
        <v/>
      </c>
      <c r="D8" s="13">
        <f>SUMIF('02_Eventos'!E:E,A8,'02_Eventos'!H:H)</f>
        <v/>
      </c>
      <c r="E8" s="13">
        <f>COUNTA(_xlfn.UNIQUE(_xlfn._xlws.FILTER('02_Eventos'!I:I,'02_Eventos'!E:E=A8,"")))</f>
        <v/>
      </c>
      <c r="F8" s="13">
        <f>COUNTA(_xlfn.UNIQUE(_xlfn._xlws.FILTER('02_Eventos'!F:F,'02_Eventos'!E:E=A8,"")))</f>
        <v/>
      </c>
      <c r="G8" s="13" t="n">
        <v>60</v>
      </c>
      <c r="H8" s="13" t="n">
        <v>55</v>
      </c>
      <c r="I8" s="13" t="n">
        <v>65</v>
      </c>
      <c r="J8" s="13">
        <f>MIN(100,(C8*5)+(MIN(D8/1000,20))+(E8*4)+(F8*3)+(G8*0.1)+(H8*0.1)+(I8*0.1))</f>
        <v/>
      </c>
      <c r="K8" s="23">
        <f>IF(J8&gt;=85,"Excelente",IF(J8&gt;=70,"Alta",IF(J8&gt;=50,"Moderada",IF(J8&gt;=30,"Baixa","Muito baixa"))))</f>
        <v/>
      </c>
    </row>
    <row r="9">
      <c r="A9" s="23" t="inlineStr">
        <is>
          <t>Porto Alegre</t>
        </is>
      </c>
      <c r="B9" s="23" t="inlineStr">
        <is>
          <t>RS</t>
        </is>
      </c>
      <c r="C9" s="13">
        <f>COUNTIF('02_Eventos'!E:E,A9)</f>
        <v/>
      </c>
      <c r="D9" s="13">
        <f>SUMIF('02_Eventos'!E:E,A9,'02_Eventos'!H:H)</f>
        <v/>
      </c>
      <c r="E9" s="13">
        <f>COUNTA(_xlfn.UNIQUE(_xlfn._xlws.FILTER('02_Eventos'!I:I,'02_Eventos'!E:E=A9,"")))</f>
        <v/>
      </c>
      <c r="F9" s="13">
        <f>COUNTA(_xlfn.UNIQUE(_xlfn._xlws.FILTER('02_Eventos'!F:F,'02_Eventos'!E:E=A9,"")))</f>
        <v/>
      </c>
      <c r="G9" s="13" t="n">
        <v>60</v>
      </c>
      <c r="H9" s="13" t="n">
        <v>55</v>
      </c>
      <c r="I9" s="13" t="n">
        <v>65</v>
      </c>
      <c r="J9" s="13">
        <f>MIN(100,(C9*5)+(MIN(D9/1000,20))+(E9*4)+(F9*3)+(G9*0.1)+(H9*0.1)+(I9*0.1))</f>
        <v/>
      </c>
      <c r="K9" s="23">
        <f>IF(J9&gt;=85,"Excelente",IF(J9&gt;=70,"Alta",IF(J9&gt;=50,"Moderada",IF(J9&gt;=30,"Baixa","Muito baixa"))))</f>
        <v/>
      </c>
    </row>
    <row r="10">
      <c r="A10" s="23" t="n"/>
      <c r="B10" s="23" t="n"/>
      <c r="C10" s="13" t="n"/>
      <c r="D10" s="13" t="n"/>
      <c r="E10" s="13" t="n"/>
      <c r="F10" s="13" t="n"/>
      <c r="G10" s="13" t="n"/>
      <c r="H10" s="13" t="n"/>
      <c r="I10" s="13" t="n"/>
      <c r="J10" s="13" t="n"/>
      <c r="K10" s="23" t="n"/>
    </row>
    <row r="11">
      <c r="A11" s="23" t="n"/>
      <c r="B11" s="23" t="n"/>
      <c r="C11" s="13" t="n"/>
      <c r="D11" s="13" t="n"/>
      <c r="E11" s="13" t="n"/>
      <c r="F11" s="13" t="n"/>
      <c r="G11" s="13" t="n"/>
      <c r="H11" s="13" t="n"/>
      <c r="I11" s="13" t="n"/>
      <c r="J11" s="13" t="n"/>
      <c r="K11" s="23" t="n"/>
    </row>
    <row r="12">
      <c r="A12" s="23" t="n"/>
      <c r="B12" s="23" t="n"/>
      <c r="C12" s="13" t="n"/>
      <c r="D12" s="13" t="n"/>
      <c r="E12" s="13" t="n"/>
      <c r="F12" s="13" t="n"/>
      <c r="G12" s="13" t="n"/>
      <c r="H12" s="13" t="n"/>
      <c r="I12" s="13" t="n"/>
      <c r="J12" s="13" t="n"/>
      <c r="K12" s="23" t="n"/>
    </row>
    <row r="13">
      <c r="A13" s="23" t="n"/>
      <c r="B13" s="23" t="n"/>
      <c r="C13" s="13" t="n"/>
      <c r="D13" s="13" t="n"/>
      <c r="E13" s="13" t="n"/>
      <c r="F13" s="13" t="n"/>
      <c r="G13" s="13" t="n"/>
      <c r="H13" s="13" t="n"/>
      <c r="I13" s="13" t="n"/>
      <c r="J13" s="13" t="n"/>
      <c r="K13" s="23" t="n"/>
    </row>
    <row r="14">
      <c r="A14" s="23" t="n"/>
      <c r="B14" s="23" t="n"/>
      <c r="C14" s="13" t="n"/>
      <c r="D14" s="13" t="n"/>
      <c r="E14" s="13" t="n"/>
      <c r="F14" s="13" t="n"/>
      <c r="G14" s="13" t="n"/>
      <c r="H14" s="13" t="n"/>
      <c r="I14" s="13" t="n"/>
      <c r="J14" s="13" t="n"/>
      <c r="K14" s="23" t="n"/>
    </row>
    <row r="15">
      <c r="A15" s="23" t="n"/>
      <c r="B15" s="23" t="n"/>
      <c r="C15" s="13" t="n"/>
      <c r="D15" s="13" t="n"/>
      <c r="E15" s="13" t="n"/>
      <c r="F15" s="13" t="n"/>
      <c r="G15" s="13" t="n"/>
      <c r="H15" s="13" t="n"/>
      <c r="I15" s="13" t="n"/>
      <c r="J15" s="13" t="n"/>
      <c r="K15" s="23" t="n"/>
    </row>
    <row r="16">
      <c r="A16" s="23" t="n"/>
      <c r="B16" s="23" t="n"/>
      <c r="C16" s="13" t="n"/>
      <c r="D16" s="13" t="n"/>
      <c r="E16" s="13" t="n"/>
      <c r="F16" s="13" t="n"/>
      <c r="G16" s="13" t="n"/>
      <c r="H16" s="13" t="n"/>
      <c r="I16" s="13" t="n"/>
      <c r="J16" s="13" t="n"/>
      <c r="K16" s="23" t="n"/>
    </row>
    <row r="17">
      <c r="C17" s="13" t="n"/>
      <c r="D17" s="13" t="n"/>
      <c r="E17" s="13" t="n"/>
      <c r="F17" s="13" t="n"/>
      <c r="G17" s="13" t="n"/>
      <c r="H17" s="13" t="n"/>
      <c r="I17" s="13" t="n"/>
      <c r="J17" s="13" t="n"/>
    </row>
    <row r="18">
      <c r="C18" s="13" t="n"/>
      <c r="D18" s="13" t="n"/>
      <c r="E18" s="13" t="n"/>
      <c r="F18" s="13" t="n"/>
      <c r="G18" s="13" t="n"/>
      <c r="H18" s="13" t="n"/>
      <c r="I18" s="13" t="n"/>
      <c r="J18" s="13" t="n"/>
    </row>
    <row r="19">
      <c r="C19" s="13" t="n"/>
      <c r="D19" s="13" t="n"/>
      <c r="E19" s="13" t="n"/>
      <c r="F19" s="13" t="n"/>
      <c r="G19" s="13" t="n"/>
      <c r="H19" s="13" t="n"/>
      <c r="I19" s="13" t="n"/>
      <c r="J19" s="13" t="n"/>
    </row>
    <row r="20">
      <c r="C20" s="13" t="n"/>
      <c r="D20" s="13" t="n"/>
      <c r="E20" s="13" t="n"/>
      <c r="F20" s="13" t="n"/>
      <c r="G20" s="13" t="n"/>
      <c r="H20" s="13" t="n"/>
      <c r="I20" s="13" t="n"/>
      <c r="J20" s="13" t="n"/>
    </row>
    <row r="21">
      <c r="C21" s="13" t="n"/>
      <c r="D21" s="13" t="n"/>
      <c r="E21" s="13" t="n"/>
      <c r="F21" s="13" t="n"/>
      <c r="G21" s="13" t="n"/>
      <c r="H21" s="13" t="n"/>
      <c r="I21" s="13" t="n"/>
      <c r="J21" s="13" t="n"/>
    </row>
    <row r="22">
      <c r="C22" s="13" t="n"/>
      <c r="D22" s="13" t="n"/>
      <c r="E22" s="13" t="n"/>
      <c r="F22" s="13" t="n"/>
      <c r="G22" s="13" t="n"/>
      <c r="H22" s="13" t="n"/>
      <c r="I22" s="13" t="n"/>
      <c r="J22" s="13" t="n"/>
    </row>
    <row r="23">
      <c r="C23" s="13" t="n"/>
      <c r="D23" s="13" t="n"/>
      <c r="E23" s="13" t="n"/>
      <c r="F23" s="13" t="n"/>
      <c r="G23" s="13" t="n"/>
      <c r="H23" s="13" t="n"/>
      <c r="I23" s="13" t="n"/>
      <c r="J23" s="13" t="n"/>
    </row>
    <row r="24">
      <c r="C24" s="13" t="n"/>
      <c r="D24" s="13" t="n"/>
      <c r="E24" s="13" t="n"/>
      <c r="F24" s="13" t="n"/>
      <c r="G24" s="13" t="n"/>
      <c r="H24" s="13" t="n"/>
      <c r="I24" s="13" t="n"/>
      <c r="J24" s="13" t="n"/>
    </row>
    <row r="25">
      <c r="C25" s="13" t="n"/>
      <c r="D25" s="13" t="n"/>
      <c r="E25" s="13" t="n"/>
      <c r="F25" s="13" t="n"/>
      <c r="G25" s="13" t="n"/>
      <c r="H25" s="13" t="n"/>
      <c r="I25" s="13" t="n"/>
      <c r="J25" s="13" t="n"/>
    </row>
    <row r="26">
      <c r="C26" s="13" t="n"/>
      <c r="D26" s="13" t="n"/>
      <c r="E26" s="13" t="n"/>
      <c r="F26" s="13" t="n"/>
      <c r="G26" s="13" t="n"/>
      <c r="H26" s="13" t="n"/>
      <c r="I26" s="13" t="n"/>
      <c r="J26" s="13" t="n"/>
    </row>
    <row r="27">
      <c r="C27" s="13" t="n"/>
      <c r="D27" s="13" t="n"/>
      <c r="E27" s="13" t="n"/>
      <c r="F27" s="13" t="n"/>
      <c r="G27" s="13" t="n"/>
      <c r="H27" s="13" t="n"/>
      <c r="I27" s="13" t="n"/>
      <c r="J27" s="13" t="n"/>
    </row>
    <row r="28">
      <c r="C28" s="13" t="n"/>
      <c r="D28" s="13" t="n"/>
      <c r="E28" s="13" t="n"/>
      <c r="F28" s="13" t="n"/>
      <c r="G28" s="13" t="n"/>
      <c r="H28" s="13" t="n"/>
      <c r="I28" s="13" t="n"/>
      <c r="J28" s="13" t="n"/>
    </row>
    <row r="29">
      <c r="C29" s="13" t="n"/>
      <c r="D29" s="13" t="n"/>
      <c r="E29" s="13" t="n"/>
      <c r="F29" s="13" t="n"/>
      <c r="G29" s="13" t="n"/>
      <c r="H29" s="13" t="n"/>
      <c r="I29" s="13" t="n"/>
      <c r="J29" s="13" t="n"/>
    </row>
    <row r="30">
      <c r="C30" s="13" t="n"/>
      <c r="D30" s="13" t="n"/>
      <c r="E30" s="13" t="n"/>
      <c r="F30" s="13" t="n"/>
      <c r="G30" s="13" t="n"/>
      <c r="H30" s="13" t="n"/>
      <c r="I30" s="13" t="n"/>
      <c r="J30" s="13" t="n"/>
    </row>
    <row r="31">
      <c r="C31" s="13" t="n"/>
      <c r="D31" s="13" t="n"/>
      <c r="E31" s="13" t="n"/>
      <c r="F31" s="13" t="n"/>
      <c r="G31" s="13" t="n"/>
      <c r="H31" s="13" t="n"/>
      <c r="I31" s="13" t="n"/>
      <c r="J31" s="13" t="n"/>
    </row>
    <row r="32">
      <c r="C32" s="13" t="n"/>
      <c r="D32" s="13" t="n"/>
      <c r="E32" s="13" t="n"/>
      <c r="F32" s="13" t="n"/>
      <c r="G32" s="13" t="n"/>
      <c r="H32" s="13" t="n"/>
      <c r="I32" s="13" t="n"/>
      <c r="J32" s="13" t="n"/>
    </row>
    <row r="33">
      <c r="C33" s="13" t="n"/>
      <c r="D33" s="13" t="n"/>
      <c r="E33" s="13" t="n"/>
      <c r="F33" s="13" t="n"/>
      <c r="G33" s="13" t="n"/>
      <c r="H33" s="13" t="n"/>
      <c r="I33" s="13" t="n"/>
      <c r="J33" s="13" t="n"/>
    </row>
    <row r="34">
      <c r="C34" s="13" t="n"/>
      <c r="D34" s="13" t="n"/>
      <c r="E34" s="13" t="n"/>
      <c r="F34" s="13" t="n"/>
      <c r="G34" s="13" t="n"/>
      <c r="H34" s="13" t="n"/>
      <c r="I34" s="13" t="n"/>
      <c r="J34" s="13" t="n"/>
    </row>
    <row r="35">
      <c r="C35" s="13" t="n"/>
      <c r="D35" s="13" t="n"/>
      <c r="E35" s="13" t="n"/>
      <c r="F35" s="13" t="n"/>
      <c r="G35" s="13" t="n"/>
      <c r="H35" s="13" t="n"/>
      <c r="I35" s="13" t="n"/>
      <c r="J35" s="13" t="n"/>
    </row>
    <row r="36">
      <c r="C36" s="13" t="n"/>
      <c r="D36" s="13" t="n"/>
      <c r="E36" s="13" t="n"/>
      <c r="F36" s="13" t="n"/>
      <c r="G36" s="13" t="n"/>
      <c r="H36" s="13" t="n"/>
      <c r="I36" s="13" t="n"/>
      <c r="J36" s="13" t="n"/>
    </row>
    <row r="37">
      <c r="C37" s="13" t="n"/>
      <c r="D37" s="13" t="n"/>
      <c r="E37" s="13" t="n"/>
      <c r="F37" s="13" t="n"/>
      <c r="G37" s="13" t="n"/>
      <c r="H37" s="13" t="n"/>
      <c r="I37" s="13" t="n"/>
      <c r="J37" s="13" t="n"/>
    </row>
    <row r="38">
      <c r="C38" s="13" t="n"/>
      <c r="D38" s="13" t="n"/>
      <c r="E38" s="13" t="n"/>
      <c r="F38" s="13" t="n"/>
      <c r="G38" s="13" t="n"/>
      <c r="H38" s="13" t="n"/>
      <c r="I38" s="13" t="n"/>
      <c r="J38" s="13" t="n"/>
    </row>
    <row r="39">
      <c r="C39" s="13" t="n"/>
      <c r="D39" s="13" t="n"/>
      <c r="E39" s="13" t="n"/>
      <c r="F39" s="13" t="n"/>
      <c r="G39" s="13" t="n"/>
      <c r="H39" s="13" t="n"/>
      <c r="I39" s="13" t="n"/>
      <c r="J39" s="13" t="n"/>
    </row>
    <row r="40">
      <c r="C40" s="13" t="n"/>
      <c r="D40" s="13" t="n"/>
      <c r="E40" s="13" t="n"/>
      <c r="F40" s="13" t="n"/>
      <c r="G40" s="13" t="n"/>
      <c r="H40" s="13" t="n"/>
      <c r="I40" s="13" t="n"/>
      <c r="J40" s="13" t="n"/>
    </row>
    <row r="41">
      <c r="C41" s="13" t="n"/>
      <c r="D41" s="13" t="n"/>
      <c r="E41" s="13" t="n"/>
      <c r="F41" s="13" t="n"/>
      <c r="G41" s="13" t="n"/>
      <c r="H41" s="13" t="n"/>
      <c r="I41" s="13" t="n"/>
      <c r="J41" s="13" t="n"/>
    </row>
    <row r="42">
      <c r="C42" s="13" t="n"/>
      <c r="D42" s="13" t="n"/>
      <c r="E42" s="13" t="n"/>
      <c r="F42" s="13" t="n"/>
      <c r="G42" s="13" t="n"/>
      <c r="H42" s="13" t="n"/>
      <c r="I42" s="13" t="n"/>
      <c r="J42" s="13" t="n"/>
    </row>
    <row r="43">
      <c r="C43" s="13" t="n"/>
      <c r="D43" s="13" t="n"/>
      <c r="E43" s="13" t="n"/>
      <c r="F43" s="13" t="n"/>
      <c r="G43" s="13" t="n"/>
      <c r="H43" s="13" t="n"/>
      <c r="I43" s="13" t="n"/>
      <c r="J43" s="13" t="n"/>
    </row>
    <row r="44">
      <c r="C44" s="13" t="n"/>
      <c r="D44" s="13" t="n"/>
      <c r="E44" s="13" t="n"/>
      <c r="F44" s="13" t="n"/>
      <c r="G44" s="13" t="n"/>
      <c r="H44" s="13" t="n"/>
      <c r="I44" s="13" t="n"/>
      <c r="J44" s="13" t="n"/>
    </row>
    <row r="45">
      <c r="C45" s="13" t="n"/>
      <c r="D45" s="13" t="n"/>
      <c r="E45" s="13" t="n"/>
      <c r="F45" s="13" t="n"/>
      <c r="G45" s="13" t="n"/>
      <c r="H45" s="13" t="n"/>
      <c r="I45" s="13" t="n"/>
      <c r="J45" s="13" t="n"/>
    </row>
    <row r="46">
      <c r="C46" s="13" t="n"/>
      <c r="D46" s="13" t="n"/>
      <c r="E46" s="13" t="n"/>
      <c r="F46" s="13" t="n"/>
      <c r="G46" s="13" t="n"/>
      <c r="H46" s="13" t="n"/>
      <c r="I46" s="13" t="n"/>
      <c r="J46" s="13" t="n"/>
    </row>
    <row r="47">
      <c r="C47" s="13" t="n"/>
      <c r="D47" s="13" t="n"/>
      <c r="E47" s="13" t="n"/>
      <c r="F47" s="13" t="n"/>
      <c r="G47" s="13" t="n"/>
      <c r="H47" s="13" t="n"/>
      <c r="I47" s="13" t="n"/>
      <c r="J47" s="13" t="n"/>
    </row>
    <row r="48">
      <c r="C48" s="13" t="n"/>
      <c r="D48" s="13" t="n"/>
      <c r="E48" s="13" t="n"/>
      <c r="F48" s="13" t="n"/>
      <c r="G48" s="13" t="n"/>
      <c r="H48" s="13" t="n"/>
      <c r="I48" s="13" t="n"/>
      <c r="J48" s="13" t="n"/>
    </row>
    <row r="49">
      <c r="C49" s="13" t="n"/>
      <c r="D49" s="13" t="n"/>
      <c r="E49" s="13" t="n"/>
      <c r="F49" s="13" t="n"/>
      <c r="G49" s="13" t="n"/>
      <c r="H49" s="13" t="n"/>
      <c r="I49" s="13" t="n"/>
      <c r="J49" s="13" t="n"/>
    </row>
    <row r="50">
      <c r="C50" s="13" t="n"/>
      <c r="D50" s="13" t="n"/>
      <c r="E50" s="13" t="n"/>
      <c r="F50" s="13" t="n"/>
      <c r="G50" s="13" t="n"/>
      <c r="H50" s="13" t="n"/>
      <c r="I50" s="13" t="n"/>
      <c r="J50" s="13" t="n"/>
    </row>
    <row r="51">
      <c r="C51" s="13" t="n"/>
      <c r="D51" s="13" t="n"/>
      <c r="E51" s="13" t="n"/>
      <c r="F51" s="13" t="n"/>
      <c r="G51" s="13" t="n"/>
      <c r="H51" s="13" t="n"/>
      <c r="I51" s="13" t="n"/>
      <c r="J51" s="13" t="n"/>
    </row>
    <row r="52">
      <c r="C52" s="13" t="n"/>
      <c r="D52" s="13" t="n"/>
      <c r="E52" s="13" t="n"/>
      <c r="F52" s="13" t="n"/>
      <c r="G52" s="13" t="n"/>
      <c r="H52" s="13" t="n"/>
      <c r="I52" s="13" t="n"/>
      <c r="J52" s="13" t="n"/>
    </row>
    <row r="53">
      <c r="C53" s="13" t="n"/>
      <c r="D53" s="13" t="n"/>
      <c r="E53" s="13" t="n"/>
      <c r="F53" s="13" t="n"/>
      <c r="G53" s="13" t="n"/>
      <c r="H53" s="13" t="n"/>
      <c r="I53" s="13" t="n"/>
      <c r="J53" s="13" t="n"/>
    </row>
    <row r="54">
      <c r="C54" s="13" t="n"/>
      <c r="D54" s="13" t="n"/>
      <c r="E54" s="13" t="n"/>
      <c r="F54" s="13" t="n"/>
      <c r="G54" s="13" t="n"/>
      <c r="H54" s="13" t="n"/>
      <c r="I54" s="13" t="n"/>
      <c r="J54" s="13" t="n"/>
    </row>
    <row r="55">
      <c r="C55" s="13" t="n"/>
      <c r="D55" s="13" t="n"/>
      <c r="E55" s="13" t="n"/>
      <c r="F55" s="13" t="n"/>
      <c r="G55" s="13" t="n"/>
      <c r="H55" s="13" t="n"/>
      <c r="I55" s="13" t="n"/>
      <c r="J55" s="13" t="n"/>
    </row>
    <row r="56">
      <c r="C56" s="13" t="n"/>
      <c r="D56" s="13" t="n"/>
      <c r="E56" s="13" t="n"/>
      <c r="F56" s="13" t="n"/>
      <c r="G56" s="13" t="n"/>
      <c r="H56" s="13" t="n"/>
      <c r="I56" s="13" t="n"/>
      <c r="J56" s="13" t="n"/>
    </row>
    <row r="57">
      <c r="C57" s="13" t="n"/>
      <c r="D57" s="13" t="n"/>
      <c r="E57" s="13" t="n"/>
      <c r="F57" s="13" t="n"/>
      <c r="G57" s="13" t="n"/>
      <c r="H57" s="13" t="n"/>
      <c r="I57" s="13" t="n"/>
      <c r="J57" s="13" t="n"/>
    </row>
    <row r="58">
      <c r="C58" s="13" t="n"/>
      <c r="D58" s="13" t="n"/>
      <c r="E58" s="13" t="n"/>
      <c r="F58" s="13" t="n"/>
      <c r="G58" s="13" t="n"/>
      <c r="H58" s="13" t="n"/>
      <c r="I58" s="13" t="n"/>
      <c r="J58" s="13" t="n"/>
    </row>
    <row r="59">
      <c r="C59" s="13" t="n"/>
      <c r="D59" s="13" t="n"/>
      <c r="E59" s="13" t="n"/>
      <c r="F59" s="13" t="n"/>
      <c r="G59" s="13" t="n"/>
      <c r="H59" s="13" t="n"/>
      <c r="I59" s="13" t="n"/>
      <c r="J59" s="13" t="n"/>
    </row>
    <row r="60">
      <c r="C60" s="13" t="n"/>
      <c r="D60" s="13" t="n"/>
      <c r="E60" s="13" t="n"/>
      <c r="F60" s="13" t="n"/>
      <c r="G60" s="13" t="n"/>
      <c r="H60" s="13" t="n"/>
      <c r="I60" s="13" t="n"/>
      <c r="J60" s="13" t="n"/>
    </row>
    <row r="61">
      <c r="C61" s="13" t="n"/>
      <c r="D61" s="13" t="n"/>
      <c r="E61" s="13" t="n"/>
      <c r="F61" s="13" t="n"/>
      <c r="G61" s="13" t="n"/>
      <c r="H61" s="13" t="n"/>
      <c r="I61" s="13" t="n"/>
      <c r="J61" s="13" t="n"/>
    </row>
    <row r="62">
      <c r="C62" s="13" t="n"/>
      <c r="D62" s="13" t="n"/>
      <c r="E62" s="13" t="n"/>
      <c r="F62" s="13" t="n"/>
      <c r="G62" s="13" t="n"/>
      <c r="H62" s="13" t="n"/>
      <c r="I62" s="13" t="n"/>
      <c r="J62" s="13" t="n"/>
    </row>
    <row r="63">
      <c r="C63" s="13" t="n"/>
      <c r="D63" s="13" t="n"/>
      <c r="E63" s="13" t="n"/>
      <c r="F63" s="13" t="n"/>
      <c r="G63" s="13" t="n"/>
      <c r="H63" s="13" t="n"/>
      <c r="I63" s="13" t="n"/>
      <c r="J63" s="13" t="n"/>
    </row>
    <row r="64">
      <c r="C64" s="13" t="n"/>
      <c r="D64" s="13" t="n"/>
      <c r="E64" s="13" t="n"/>
      <c r="F64" s="13" t="n"/>
      <c r="G64" s="13" t="n"/>
      <c r="H64" s="13" t="n"/>
      <c r="I64" s="13" t="n"/>
      <c r="J64" s="13" t="n"/>
    </row>
    <row r="65">
      <c r="C65" s="13" t="n"/>
      <c r="D65" s="13" t="n"/>
      <c r="E65" s="13" t="n"/>
      <c r="F65" s="13" t="n"/>
      <c r="G65" s="13" t="n"/>
      <c r="H65" s="13" t="n"/>
      <c r="I65" s="13" t="n"/>
      <c r="J65" s="13" t="n"/>
    </row>
    <row r="66">
      <c r="C66" s="13" t="n"/>
      <c r="D66" s="13" t="n"/>
      <c r="E66" s="13" t="n"/>
      <c r="F66" s="13" t="n"/>
      <c r="G66" s="13" t="n"/>
      <c r="H66" s="13" t="n"/>
      <c r="I66" s="13" t="n"/>
      <c r="J66" s="13" t="n"/>
    </row>
    <row r="67">
      <c r="C67" s="13" t="n"/>
      <c r="D67" s="13" t="n"/>
      <c r="E67" s="13" t="n"/>
      <c r="F67" s="13" t="n"/>
      <c r="G67" s="13" t="n"/>
      <c r="H67" s="13" t="n"/>
      <c r="I67" s="13" t="n"/>
      <c r="J67" s="13" t="n"/>
    </row>
    <row r="68">
      <c r="C68" s="13" t="n"/>
      <c r="D68" s="13" t="n"/>
      <c r="E68" s="13" t="n"/>
      <c r="F68" s="13" t="n"/>
      <c r="G68" s="13" t="n"/>
      <c r="H68" s="13" t="n"/>
      <c r="I68" s="13" t="n"/>
      <c r="J68" s="13" t="n"/>
    </row>
    <row r="69">
      <c r="C69" s="13" t="n"/>
      <c r="D69" s="13" t="n"/>
      <c r="E69" s="13" t="n"/>
      <c r="F69" s="13" t="n"/>
      <c r="G69" s="13" t="n"/>
      <c r="H69" s="13" t="n"/>
      <c r="I69" s="13" t="n"/>
      <c r="J69" s="13" t="n"/>
    </row>
    <row r="70">
      <c r="C70" s="13" t="n"/>
      <c r="D70" s="13" t="n"/>
      <c r="E70" s="13" t="n"/>
      <c r="F70" s="13" t="n"/>
      <c r="G70" s="13" t="n"/>
      <c r="H70" s="13" t="n"/>
      <c r="I70" s="13" t="n"/>
      <c r="J70" s="13" t="n"/>
    </row>
    <row r="71">
      <c r="C71" s="13" t="n"/>
      <c r="D71" s="13" t="n"/>
      <c r="E71" s="13" t="n"/>
      <c r="F71" s="13" t="n"/>
      <c r="G71" s="13" t="n"/>
      <c r="H71" s="13" t="n"/>
      <c r="I71" s="13" t="n"/>
      <c r="J71" s="13" t="n"/>
    </row>
    <row r="72">
      <c r="C72" s="13" t="n"/>
      <c r="D72" s="13" t="n"/>
      <c r="E72" s="13" t="n"/>
      <c r="F72" s="13" t="n"/>
      <c r="G72" s="13" t="n"/>
      <c r="H72" s="13" t="n"/>
      <c r="I72" s="13" t="n"/>
      <c r="J72" s="13" t="n"/>
    </row>
    <row r="73">
      <c r="C73" s="13" t="n"/>
      <c r="D73" s="13" t="n"/>
      <c r="E73" s="13" t="n"/>
      <c r="F73" s="13" t="n"/>
      <c r="G73" s="13" t="n"/>
      <c r="H73" s="13" t="n"/>
      <c r="I73" s="13" t="n"/>
      <c r="J73" s="13" t="n"/>
    </row>
    <row r="74">
      <c r="C74" s="13" t="n"/>
      <c r="D74" s="13" t="n"/>
      <c r="E74" s="13" t="n"/>
      <c r="F74" s="13" t="n"/>
      <c r="G74" s="13" t="n"/>
      <c r="H74" s="13" t="n"/>
      <c r="I74" s="13" t="n"/>
      <c r="J74" s="13" t="n"/>
    </row>
    <row r="75">
      <c r="C75" s="13" t="n"/>
      <c r="D75" s="13" t="n"/>
      <c r="E75" s="13" t="n"/>
      <c r="F75" s="13" t="n"/>
      <c r="G75" s="13" t="n"/>
      <c r="H75" s="13" t="n"/>
      <c r="I75" s="13" t="n"/>
      <c r="J75" s="13" t="n"/>
    </row>
    <row r="76">
      <c r="C76" s="13" t="n"/>
      <c r="D76" s="13" t="n"/>
      <c r="E76" s="13" t="n"/>
      <c r="F76" s="13" t="n"/>
      <c r="G76" s="13" t="n"/>
      <c r="H76" s="13" t="n"/>
      <c r="I76" s="13" t="n"/>
      <c r="J76" s="13" t="n"/>
    </row>
    <row r="77">
      <c r="C77" s="13" t="n"/>
      <c r="D77" s="13" t="n"/>
      <c r="E77" s="13" t="n"/>
      <c r="F77" s="13" t="n"/>
      <c r="G77" s="13" t="n"/>
      <c r="H77" s="13" t="n"/>
      <c r="I77" s="13" t="n"/>
      <c r="J77" s="13" t="n"/>
    </row>
    <row r="78">
      <c r="C78" s="13" t="n"/>
      <c r="D78" s="13" t="n"/>
      <c r="E78" s="13" t="n"/>
      <c r="F78" s="13" t="n"/>
      <c r="G78" s="13" t="n"/>
      <c r="H78" s="13" t="n"/>
      <c r="I78" s="13" t="n"/>
      <c r="J78" s="13" t="n"/>
    </row>
    <row r="79">
      <c r="C79" s="13" t="n"/>
      <c r="D79" s="13" t="n"/>
      <c r="E79" s="13" t="n"/>
      <c r="F79" s="13" t="n"/>
      <c r="G79" s="13" t="n"/>
      <c r="H79" s="13" t="n"/>
      <c r="I79" s="13" t="n"/>
      <c r="J79" s="13" t="n"/>
    </row>
    <row r="80">
      <c r="C80" s="13" t="n"/>
      <c r="D80" s="13" t="n"/>
      <c r="E80" s="13" t="n"/>
      <c r="F80" s="13" t="n"/>
      <c r="G80" s="13" t="n"/>
      <c r="H80" s="13" t="n"/>
      <c r="I80" s="13" t="n"/>
      <c r="J80" s="13" t="n"/>
    </row>
    <row r="81">
      <c r="C81" s="13" t="n"/>
      <c r="D81" s="13" t="n"/>
      <c r="E81" s="13" t="n"/>
      <c r="F81" s="13" t="n"/>
      <c r="G81" s="13" t="n"/>
      <c r="H81" s="13" t="n"/>
      <c r="I81" s="13" t="n"/>
      <c r="J81" s="13" t="n"/>
    </row>
    <row r="82">
      <c r="C82" s="13" t="n"/>
      <c r="D82" s="13" t="n"/>
      <c r="E82" s="13" t="n"/>
      <c r="F82" s="13" t="n"/>
      <c r="G82" s="13" t="n"/>
      <c r="H82" s="13" t="n"/>
      <c r="I82" s="13" t="n"/>
      <c r="J82" s="13" t="n"/>
    </row>
    <row r="83">
      <c r="C83" s="13" t="n"/>
      <c r="D83" s="13" t="n"/>
      <c r="E83" s="13" t="n"/>
      <c r="F83" s="13" t="n"/>
      <c r="G83" s="13" t="n"/>
      <c r="H83" s="13" t="n"/>
      <c r="I83" s="13" t="n"/>
      <c r="J83" s="13" t="n"/>
    </row>
    <row r="84">
      <c r="C84" s="13" t="n"/>
      <c r="D84" s="13" t="n"/>
      <c r="E84" s="13" t="n"/>
      <c r="F84" s="13" t="n"/>
      <c r="G84" s="13" t="n"/>
      <c r="H84" s="13" t="n"/>
      <c r="I84" s="13" t="n"/>
      <c r="J84" s="13" t="n"/>
    </row>
    <row r="85">
      <c r="C85" s="13" t="n"/>
      <c r="D85" s="13" t="n"/>
      <c r="E85" s="13" t="n"/>
      <c r="F85" s="13" t="n"/>
      <c r="G85" s="13" t="n"/>
      <c r="H85" s="13" t="n"/>
      <c r="I85" s="13" t="n"/>
      <c r="J85" s="13" t="n"/>
    </row>
    <row r="86">
      <c r="C86" s="13" t="n"/>
      <c r="D86" s="13" t="n"/>
      <c r="E86" s="13" t="n"/>
      <c r="F86" s="13" t="n"/>
      <c r="G86" s="13" t="n"/>
      <c r="H86" s="13" t="n"/>
      <c r="I86" s="13" t="n"/>
      <c r="J86" s="13" t="n"/>
    </row>
    <row r="87">
      <c r="C87" s="13" t="n"/>
      <c r="D87" s="13" t="n"/>
      <c r="E87" s="13" t="n"/>
      <c r="F87" s="13" t="n"/>
      <c r="G87" s="13" t="n"/>
      <c r="H87" s="13" t="n"/>
      <c r="I87" s="13" t="n"/>
      <c r="J87" s="13" t="n"/>
    </row>
    <row r="88">
      <c r="C88" s="13" t="n"/>
      <c r="D88" s="13" t="n"/>
      <c r="E88" s="13" t="n"/>
      <c r="F88" s="13" t="n"/>
      <c r="G88" s="13" t="n"/>
      <c r="H88" s="13" t="n"/>
      <c r="I88" s="13" t="n"/>
      <c r="J88" s="13" t="n"/>
    </row>
    <row r="89">
      <c r="C89" s="13" t="n"/>
      <c r="D89" s="13" t="n"/>
      <c r="E89" s="13" t="n"/>
      <c r="F89" s="13" t="n"/>
      <c r="G89" s="13" t="n"/>
      <c r="H89" s="13" t="n"/>
      <c r="I89" s="13" t="n"/>
      <c r="J89" s="13" t="n"/>
    </row>
    <row r="90">
      <c r="C90" s="13" t="n"/>
      <c r="D90" s="13" t="n"/>
      <c r="E90" s="13" t="n"/>
      <c r="F90" s="13" t="n"/>
      <c r="G90" s="13" t="n"/>
      <c r="H90" s="13" t="n"/>
      <c r="I90" s="13" t="n"/>
      <c r="J90" s="13" t="n"/>
    </row>
    <row r="91">
      <c r="C91" s="13" t="n"/>
      <c r="D91" s="13" t="n"/>
      <c r="E91" s="13" t="n"/>
      <c r="F91" s="13" t="n"/>
      <c r="G91" s="13" t="n"/>
      <c r="H91" s="13" t="n"/>
      <c r="I91" s="13" t="n"/>
      <c r="J91" s="13" t="n"/>
    </row>
    <row r="92">
      <c r="C92" s="13" t="n"/>
      <c r="D92" s="13" t="n"/>
      <c r="E92" s="13" t="n"/>
      <c r="F92" s="13" t="n"/>
      <c r="G92" s="13" t="n"/>
      <c r="H92" s="13" t="n"/>
      <c r="I92" s="13" t="n"/>
      <c r="J92" s="13" t="n"/>
    </row>
    <row r="93">
      <c r="C93" s="13" t="n"/>
      <c r="D93" s="13" t="n"/>
      <c r="E93" s="13" t="n"/>
      <c r="F93" s="13" t="n"/>
      <c r="G93" s="13" t="n"/>
      <c r="H93" s="13" t="n"/>
      <c r="I93" s="13" t="n"/>
      <c r="J93" s="13" t="n"/>
    </row>
    <row r="94">
      <c r="C94" s="13" t="n"/>
      <c r="D94" s="13" t="n"/>
      <c r="E94" s="13" t="n"/>
      <c r="F94" s="13" t="n"/>
      <c r="G94" s="13" t="n"/>
      <c r="H94" s="13" t="n"/>
      <c r="I94" s="13" t="n"/>
      <c r="J94" s="13" t="n"/>
    </row>
    <row r="95">
      <c r="C95" s="13" t="n"/>
      <c r="D95" s="13" t="n"/>
      <c r="E95" s="13" t="n"/>
      <c r="F95" s="13" t="n"/>
      <c r="G95" s="13" t="n"/>
      <c r="H95" s="13" t="n"/>
      <c r="I95" s="13" t="n"/>
      <c r="J95" s="13" t="n"/>
    </row>
    <row r="96">
      <c r="C96" s="13" t="n"/>
      <c r="D96" s="13" t="n"/>
      <c r="E96" s="13" t="n"/>
      <c r="F96" s="13" t="n"/>
      <c r="G96" s="13" t="n"/>
      <c r="H96" s="13" t="n"/>
      <c r="I96" s="13" t="n"/>
      <c r="J96" s="13" t="n"/>
    </row>
    <row r="97">
      <c r="C97" s="13" t="n"/>
      <c r="D97" s="13" t="n"/>
      <c r="E97" s="13" t="n"/>
      <c r="F97" s="13" t="n"/>
      <c r="G97" s="13" t="n"/>
      <c r="H97" s="13" t="n"/>
      <c r="I97" s="13" t="n"/>
      <c r="J97" s="13" t="n"/>
    </row>
    <row r="98">
      <c r="C98" s="13" t="n"/>
      <c r="D98" s="13" t="n"/>
      <c r="E98" s="13" t="n"/>
      <c r="F98" s="13" t="n"/>
      <c r="G98" s="13" t="n"/>
      <c r="H98" s="13" t="n"/>
      <c r="I98" s="13" t="n"/>
      <c r="J98" s="13" t="n"/>
    </row>
    <row r="99">
      <c r="C99" s="13" t="n"/>
      <c r="D99" s="13" t="n"/>
      <c r="E99" s="13" t="n"/>
      <c r="F99" s="13" t="n"/>
      <c r="G99" s="13" t="n"/>
      <c r="H99" s="13" t="n"/>
      <c r="I99" s="13" t="n"/>
      <c r="J99" s="13" t="n"/>
    </row>
    <row r="100">
      <c r="C100" s="13" t="n"/>
      <c r="D100" s="13" t="n"/>
      <c r="E100" s="13" t="n"/>
      <c r="F100" s="13" t="n"/>
      <c r="G100" s="13" t="n"/>
      <c r="H100" s="13" t="n"/>
      <c r="I100" s="13" t="n"/>
      <c r="J100" s="13" t="n"/>
    </row>
  </sheetData>
  <conditionalFormatting sqref="J2:J100">
    <cfRule type="colorScale" priority="1">
      <colorScale>
        <cfvo type="min"/>
        <cfvo type="percentile" val="50"/>
        <cfvo type="max"/>
        <color rgb="FFF4CCCC"/>
        <color rgb="FFFFF2CC"/>
        <color rgb="FFE2F0D9"/>
      </colorScale>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4.25"/>
  <cols>
    <col width="16" customWidth="1" style="1" min="1" max="11"/>
  </cols>
  <sheetData>
    <row r="1" ht="24" customHeight="1" s="1">
      <c r="A1" s="4" t="inlineStr">
        <is>
          <t>Cidade</t>
        </is>
      </c>
      <c r="B1" s="4" t="inlineStr">
        <is>
          <t>UF</t>
        </is>
      </c>
      <c r="C1" s="4" t="inlineStr">
        <is>
          <t>Infraestrutura</t>
        </is>
      </c>
      <c r="D1" s="4" t="inlineStr">
        <is>
          <t>Mobilidade</t>
        </is>
      </c>
      <c r="E1" s="4" t="inlineStr">
        <is>
          <t>Turismo</t>
        </is>
      </c>
      <c r="F1" s="4" t="inlineStr">
        <is>
          <t>Hospitalidade</t>
        </is>
      </c>
      <c r="G1" s="4" t="inlineStr">
        <is>
          <t>Voluntariado</t>
        </is>
      </c>
      <c r="H1" s="4" t="inlineStr">
        <is>
          <t>Comunicação</t>
        </is>
      </c>
      <c r="I1" s="4" t="inlineStr">
        <is>
          <t>Segurança</t>
        </is>
      </c>
      <c r="J1" s="4" t="inlineStr">
        <is>
          <t>INP</t>
        </is>
      </c>
      <c r="K1" s="4" t="inlineStr">
        <is>
          <t>Classificação</t>
        </is>
      </c>
    </row>
    <row r="2">
      <c r="A2" s="23" t="inlineStr">
        <is>
          <t>Rio de Janeiro</t>
        </is>
      </c>
      <c r="B2" s="23" t="inlineStr">
        <is>
          <t>RJ</t>
        </is>
      </c>
      <c r="C2" s="23" t="n">
        <v>82</v>
      </c>
      <c r="D2" s="23" t="n">
        <v>78</v>
      </c>
      <c r="E2" s="23" t="n">
        <v>86</v>
      </c>
      <c r="F2" s="23" t="n">
        <v>84</v>
      </c>
      <c r="G2" s="23" t="n">
        <v>70</v>
      </c>
      <c r="H2" s="23" t="n">
        <v>76</v>
      </c>
      <c r="I2" s="23" t="n">
        <v>83</v>
      </c>
      <c r="J2" s="23">
        <f>AVERAGE(C2:I2)</f>
        <v/>
      </c>
      <c r="K2" s="23">
        <f>IF(J2&gt;=85,"Excelente",IF(J2&gt;=70,"Alta",IF(J2&gt;=50,"Moderada",IF(J2&gt;=30,"Baixa","Muito baixa"))))</f>
        <v/>
      </c>
    </row>
    <row r="3">
      <c r="A3" s="23" t="inlineStr">
        <is>
          <t>São Paulo</t>
        </is>
      </c>
      <c r="B3" s="23" t="inlineStr">
        <is>
          <t>SP</t>
        </is>
      </c>
      <c r="C3" s="23" t="n">
        <v>88</v>
      </c>
      <c r="D3" s="23" t="n">
        <v>85</v>
      </c>
      <c r="E3" s="23" t="n">
        <v>90</v>
      </c>
      <c r="F3" s="23" t="n">
        <v>87</v>
      </c>
      <c r="G3" s="23" t="n">
        <v>72</v>
      </c>
      <c r="H3" s="23" t="n">
        <v>80</v>
      </c>
      <c r="I3" s="23" t="n">
        <v>86</v>
      </c>
      <c r="J3" s="23">
        <f>AVERAGE(C3:I3)</f>
        <v/>
      </c>
      <c r="K3" s="23">
        <f>IF(J3&gt;=85,"Excelente",IF(J3&gt;=70,"Alta",IF(J3&gt;=50,"Moderada",IF(J3&gt;=30,"Baixa","Muito baixa"))))</f>
        <v/>
      </c>
    </row>
    <row r="4">
      <c r="A4" s="23" t="inlineStr">
        <is>
          <t>Belo Horizonte</t>
        </is>
      </c>
      <c r="B4" s="23" t="inlineStr">
        <is>
          <t>MG</t>
        </is>
      </c>
      <c r="C4" s="23" t="n">
        <v>76</v>
      </c>
      <c r="D4" s="23" t="n">
        <v>74</v>
      </c>
      <c r="E4" s="23" t="n">
        <v>79</v>
      </c>
      <c r="F4" s="23" t="n">
        <v>77</v>
      </c>
      <c r="G4" s="23" t="n">
        <v>68</v>
      </c>
      <c r="H4" s="23" t="n">
        <v>72</v>
      </c>
      <c r="I4" s="23" t="n">
        <v>80</v>
      </c>
      <c r="J4" s="23">
        <f>AVERAGE(C4:I4)</f>
        <v/>
      </c>
      <c r="K4" s="23">
        <f>IF(J4&gt;=85,"Excelente",IF(J4&gt;=70,"Alta",IF(J4&gt;=50,"Moderada",IF(J4&gt;=30,"Baixa","Muito baixa"))))</f>
        <v/>
      </c>
    </row>
    <row r="5">
      <c r="A5" s="23" t="inlineStr">
        <is>
          <t>Salvador</t>
        </is>
      </c>
      <c r="B5" s="23" t="inlineStr">
        <is>
          <t>BA</t>
        </is>
      </c>
      <c r="C5" s="23" t="n">
        <v>72</v>
      </c>
      <c r="D5" s="23" t="n">
        <v>69</v>
      </c>
      <c r="E5" s="23" t="n">
        <v>82</v>
      </c>
      <c r="F5" s="23" t="n">
        <v>80</v>
      </c>
      <c r="G5" s="23" t="n">
        <v>65</v>
      </c>
      <c r="H5" s="23" t="n">
        <v>74</v>
      </c>
      <c r="I5" s="23" t="n">
        <v>78</v>
      </c>
      <c r="J5" s="23">
        <f>AVERAGE(C5:I5)</f>
        <v/>
      </c>
      <c r="K5" s="23">
        <f>IF(J5&gt;=85,"Excelente",IF(J5&gt;=70,"Alta",IF(J5&gt;=50,"Moderada",IF(J5&gt;=30,"Baixa","Muito baixa"))))</f>
        <v/>
      </c>
    </row>
    <row r="6">
      <c r="A6" s="23" t="inlineStr">
        <is>
          <t>Recife</t>
        </is>
      </c>
      <c r="B6" s="23" t="inlineStr">
        <is>
          <t>PE</t>
        </is>
      </c>
      <c r="C6" s="23" t="n">
        <v>70</v>
      </c>
      <c r="D6" s="23" t="n">
        <v>68</v>
      </c>
      <c r="E6" s="23" t="n">
        <v>80</v>
      </c>
      <c r="F6" s="23" t="n">
        <v>78</v>
      </c>
      <c r="G6" s="23" t="n">
        <v>66</v>
      </c>
      <c r="H6" s="23" t="n">
        <v>71</v>
      </c>
      <c r="I6" s="23" t="n">
        <v>77</v>
      </c>
      <c r="J6" s="23">
        <f>AVERAGE(C6:I6)</f>
        <v/>
      </c>
      <c r="K6" s="23">
        <f>IF(J6&gt;=85,"Excelente",IF(J6&gt;=70,"Alta",IF(J6&gt;=50,"Moderada",IF(J6&gt;=30,"Baixa","Muito baixa"))))</f>
        <v/>
      </c>
    </row>
    <row r="7">
      <c r="A7" s="23" t="inlineStr">
        <is>
          <t>Fortaleza</t>
        </is>
      </c>
      <c r="B7" s="23" t="inlineStr">
        <is>
          <t>CE</t>
        </is>
      </c>
      <c r="C7" s="23" t="n">
        <v>71</v>
      </c>
      <c r="D7" s="23" t="n">
        <v>70</v>
      </c>
      <c r="E7" s="23" t="n">
        <v>81</v>
      </c>
      <c r="F7" s="23" t="n">
        <v>79</v>
      </c>
      <c r="G7" s="23" t="n">
        <v>64</v>
      </c>
      <c r="H7" s="23" t="n">
        <v>70</v>
      </c>
      <c r="I7" s="23" t="n">
        <v>76</v>
      </c>
      <c r="J7" s="23">
        <f>AVERAGE(C7:I7)</f>
        <v/>
      </c>
      <c r="K7" s="23">
        <f>IF(J7&gt;=85,"Excelente",IF(J7&gt;=70,"Alta",IF(J7&gt;=50,"Moderada",IF(J7&gt;=30,"Baixa","Muito baixa"))))</f>
        <v/>
      </c>
    </row>
    <row r="8">
      <c r="A8" s="23" t="inlineStr">
        <is>
          <t>Brasília</t>
        </is>
      </c>
      <c r="B8" s="23" t="inlineStr">
        <is>
          <t>DF</t>
        </is>
      </c>
      <c r="C8" s="23" t="n">
        <v>84</v>
      </c>
      <c r="D8" s="23" t="n">
        <v>82</v>
      </c>
      <c r="E8" s="23" t="n">
        <v>78</v>
      </c>
      <c r="F8" s="23" t="n">
        <v>80</v>
      </c>
      <c r="G8" s="23" t="n">
        <v>75</v>
      </c>
      <c r="H8" s="23" t="n">
        <v>79</v>
      </c>
      <c r="I8" s="23" t="n">
        <v>88</v>
      </c>
      <c r="J8" s="23">
        <f>AVERAGE(C8:I8)</f>
        <v/>
      </c>
      <c r="K8" s="23">
        <f>IF(J8&gt;=85,"Excelente",IF(J8&gt;=70,"Alta",IF(J8&gt;=50,"Moderada",IF(J8&gt;=30,"Baixa","Muito baixa"))))</f>
        <v/>
      </c>
    </row>
    <row r="9">
      <c r="A9" s="23" t="inlineStr">
        <is>
          <t>Porto Alegre</t>
        </is>
      </c>
      <c r="B9" s="23" t="inlineStr">
        <is>
          <t>RS</t>
        </is>
      </c>
      <c r="C9" s="23" t="n">
        <v>74</v>
      </c>
      <c r="D9" s="23" t="n">
        <v>73</v>
      </c>
      <c r="E9" s="23" t="n">
        <v>76</v>
      </c>
      <c r="F9" s="23" t="n">
        <v>75</v>
      </c>
      <c r="G9" s="23" t="n">
        <v>69</v>
      </c>
      <c r="H9" s="23" t="n">
        <v>72</v>
      </c>
      <c r="I9" s="23" t="n">
        <v>79</v>
      </c>
      <c r="J9" s="23">
        <f>AVERAGE(C9:I9)</f>
        <v/>
      </c>
      <c r="K9" s="23">
        <f>IF(J9&gt;=85,"Excelente",IF(J9&gt;=70,"Alta",IF(J9&gt;=50,"Moderada",IF(J9&gt;=30,"Baixa","Muito baixa"))))</f>
        <v/>
      </c>
    </row>
  </sheetData>
  <conditionalFormatting sqref="C2:J100">
    <cfRule type="colorScale" priority="1">
      <colorScale>
        <cfvo type="min"/>
        <cfvo type="percentile" val="50"/>
        <cfvo type="max"/>
        <color rgb="FFF4CCCC"/>
        <color rgb="FFFFF2CC"/>
        <color rgb="FFE2F0D9"/>
      </colorScale>
    </cfRule>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500"/>
  <sheetViews>
    <sheetView workbookViewId="0">
      <selection activeCell="A1" sqref="A1"/>
    </sheetView>
  </sheetViews>
  <sheetFormatPr baseColWidth="8" defaultRowHeight="14.25"/>
  <cols>
    <col width="18" customWidth="1" style="1" min="1" max="1"/>
    <col width="34" customWidth="1" style="1" min="2" max="2"/>
    <col width="18" customWidth="1" style="1" min="3" max="8"/>
    <col width="36" customWidth="1" style="1" min="9" max="9"/>
  </cols>
  <sheetData>
    <row r="1" ht="24" customHeight="1" s="1">
      <c r="A1" s="4" t="inlineStr">
        <is>
          <t>Data</t>
        </is>
      </c>
      <c r="B1" s="4" t="inlineStr">
        <is>
          <t>Título</t>
        </is>
      </c>
      <c r="C1" s="4" t="inlineStr">
        <is>
          <t>Tema</t>
        </is>
      </c>
      <c r="D1" s="4" t="inlineStr">
        <is>
          <t>Cidade/UF</t>
        </is>
      </c>
      <c r="E1" s="4" t="inlineStr">
        <is>
          <t>Veículo</t>
        </is>
      </c>
      <c r="F1" s="4" t="inlineStr">
        <is>
          <t>Link</t>
        </is>
      </c>
      <c r="G1" s="4" t="inlineStr">
        <is>
          <t>Sentimento</t>
        </is>
      </c>
      <c r="H1" s="4" t="inlineStr">
        <is>
          <t>Impacto</t>
        </is>
      </c>
      <c r="I1" s="4" t="inlineStr">
        <is>
          <t>Resumo</t>
        </is>
      </c>
    </row>
    <row r="2" ht="150.75" customHeight="1" s="1">
      <c r="A2" s="31" t="n">
        <v>46315</v>
      </c>
      <c r="B2" s="9" t="inlineStr">
        <is>
          <t>CazéTV, Neooh e Helloo levam Copa do Mundo Feminina 2027 para o OOH - Máquina do Esporte</t>
        </is>
      </c>
      <c r="C2" s="9" t="inlineStr">
        <is>
          <t>Copa Feminina 2027</t>
        </is>
      </c>
      <c r="D2" s="9" t="inlineStr">
        <is>
          <t>Brasil</t>
        </is>
      </c>
      <c r="E2" s="9" t="inlineStr">
        <is>
          <t>machinadoesporte.com.br</t>
        </is>
      </c>
      <c r="F2" s="9" t="inlineStr">
        <is>
          <t>https://news.google.com/rss/articles/CBMiwgFBVV95cUxPSFlPb19OcGZDQVJLbGhvVDZQX18zSUoxdjZLTEdUbDRsZlp3N3pmdUw3bkQ4S0hjRDd2MndYYnJra0pwRzFCN0l1OWQ5YU5FakZ2UTl1OXh5dVJLR0JfbVVWcmJ2R3V1VjlON1VIbUR1MkJDck5kYzZyTnhOZHd2YVhXV0VTcUhfSHNvQVlmekp6cUVtUnJPSTBTVWVVTldQU2ZWc01kUHZyalVJZjBDMTJfMm55QW1BNm9BZmoxNDBUQQ?oc=5</t>
        </is>
      </c>
      <c r="G2" s="9" t="inlineStr">
        <is>
          <t>Neutro</t>
        </is>
      </c>
      <c r="H2" s="9" t="inlineStr">
        <is>
          <t>Médio</t>
        </is>
      </c>
      <c r="I2" s="9" t="inlineStr">
        <is>
          <t>Fonte: machinadoesporte.com.br. Descoberta via Google News; URL editorial direta não resolvida automaticamente.</t>
        </is>
      </c>
    </row>
    <row r="3" ht="114" customHeight="1" s="1">
      <c r="A3" s="31" t="n">
        <v>46315</v>
      </c>
      <c r="B3" s="9" t="inlineStr">
        <is>
          <t>Sabrina Sato comandará “Abrindo o Jogo” no GNT antes da Copa do Mundo Feminina 2027 - MKT Esportivo</t>
        </is>
      </c>
      <c r="C3" s="9" t="inlineStr">
        <is>
          <t>Copa Feminina 2027</t>
        </is>
      </c>
      <c r="D3" s="9" t="inlineStr">
        <is>
          <t>Brasil</t>
        </is>
      </c>
      <c r="E3" s="9" t="inlineStr">
        <is>
          <t>mktesportivo.com</t>
        </is>
      </c>
      <c r="F3" s="9" t="inlineStr">
        <is>
          <t>https://news.google.com/rss/articles/CBMiuwFBVV95cUxNdC0xN0lOQ0JjYUxOdjhkWG9JcFItNmIzZFVLN0hHeWNJOGRMNkIydWVlNFFiaXpvMzBBOWlTY29QaldPTVI2ZzJYRGwzZG02cVlyaDk2UkR0QVFUQmhrUWZZYjJsZEswdHlzZmVUVkRPcUFvQnJkcDQxdEJUaV85RDdFZEFEcVlRRENWcjNSZ1BObFpYeHcxaV9vcVM4VGwtRmlCanFVYkhsdkNJYWl4MXpXZjE1STBLTkpN?oc=5</t>
        </is>
      </c>
      <c r="G3" s="9" t="inlineStr">
        <is>
          <t>Neutro</t>
        </is>
      </c>
      <c r="H3" s="9" t="inlineStr">
        <is>
          <t>Médio</t>
        </is>
      </c>
      <c r="I3" s="9" t="inlineStr">
        <is>
          <t>Fonte: mktesportivo.com. Descoberta via Google News; URL editorial direta não resolvida automaticamente.</t>
        </is>
      </c>
    </row>
    <row r="4" ht="99.75" customHeight="1" s="1">
      <c r="A4" s="31" t="n">
        <v>46310</v>
      </c>
      <c r="B4" s="9" t="inlineStr">
        <is>
          <t>‘Futebol feminino tem potencial comercial além da Copa de 2027’, diz executiva - Estadão</t>
        </is>
      </c>
      <c r="C4" s="9" t="inlineStr">
        <is>
          <t>Copa Feminina 2027</t>
        </is>
      </c>
      <c r="D4" s="9" t="inlineStr">
        <is>
          <t>Brasil</t>
        </is>
      </c>
      <c r="E4" s="9" t="inlineStr">
        <is>
          <t>estadao.com.br</t>
        </is>
      </c>
      <c r="F4" s="9" t="inlineStr">
        <is>
          <t>https://news.google.com/rss/articles/CBMiwwFBVV95cUxOUGk2NHIxdW1tLXZ4b1Z0SU5CNE9paXZ2REpBTW1WTDJYeENKSnlQQl83ckdxcFFwOWp0Vm5SV2pEWFpzUmNEOFBwbmFzYlR3R1Raa2pNVnVxczVPN3c5RThfdHlzck5VandaZ1RidHcxUm1GTFNiYjQ2LWhlb1RZVnJHSE9ybE1uVklaWHB5U2ctVzdmNmN5UWgzRjhNRXRGaHlWUTRycGRmeHFaYk4zd2hWbUZGMjdnRWlHZ1BFRmdQSnPSAcgBQVVfeXFMTXI3WVZKaEtMWENRYU80eC1DYmM3WGxVUDh0Q0EzeVJoeTNlWV9vSmdhLUFRWjI3WU51LWExb053NEdoX1lZRFhkaGVoMTJKRk8tTm8yZjl2bjdCdG9USzdQaEpqNEFBOXFvLVdRN0pFTVJWeDdfdXAxcWs5STIzVzE0RGxLTWtRQmZHZXBnWVNvZHNONWh2eldvcWNEQUNnVGY3MEpmYVNTYXpuOWFPT2QwSGt2X0VvNmUwNndRSDJJQUhQUG1RcE0?oc=5</t>
        </is>
      </c>
      <c r="G4" s="9" t="inlineStr">
        <is>
          <t>Neutro</t>
        </is>
      </c>
      <c r="H4" s="9" t="inlineStr">
        <is>
          <t>Médio</t>
        </is>
      </c>
      <c r="I4" s="9" t="inlineStr">
        <is>
          <t>Fonte: estadao.com.br. Descoberta via Google News; URL editorial direta não resolvida automaticamente.</t>
        </is>
      </c>
    </row>
    <row r="5" ht="128.25" customHeight="1" s="1">
      <c r="A5" s="31" t="n">
        <v>46310</v>
      </c>
      <c r="B5" s="9" t="inlineStr">
        <is>
          <t>CBF negocia amistosos da Seleção só no Brasil antes da Copa de 2027 e planeja despedida; veja cidades - ge</t>
        </is>
      </c>
      <c r="C5" s="9" t="inlineStr">
        <is>
          <t>Copa Feminina 2027</t>
        </is>
      </c>
      <c r="D5" s="9" t="inlineStr">
        <is>
          <t>Brasil</t>
        </is>
      </c>
      <c r="E5" s="9" t="inlineStr">
        <is>
          <t>ge.globo.com</t>
        </is>
      </c>
      <c r="F5" s="9" t="inlineStr">
        <is>
          <t>https://news.google.com/rss/articles/CBMigwJBVV95cUxQVmFXbFU5X09HeHZDTUt5amJsM1BHcWN1dWpyUUh4T0drWFpqNHFKSm5KR0R5akRfbUdWZk44VnBCZWtwaWZtOS1wczhraWgwLUVKeTdWZWtmYmt1b2pqUl9rclRGZ2dlekVqUVBYNUJnVGRTSWIzWjlDLU56X016ZWZFUDlBNndTNmktQ3N1YXluQUI1dXJuZFRhVGRxcHhfVFV3WE9NVnN1elppTjFDU25ia21UUk01WHpSS0JkeVJDN3FVV2NHWDJ3SlZUM05DSXBHU3RyeGxiR3dRNWNxYmtRYkRFaGhfZXJSS1dqMW9tQm4wYmhBVndReEV2RFVFSC1r0gGSAkFVX3lxTFB6ZWFWQ21ZeExuTmlfYmlnVjRtYlVCbkY5NWFpanB4TXpaaWY5QTBKQ09pbUZ4RWRRakoya1A4eUNDdkZrdUtJVEpFQTZ0bGp3S1JXT0VCUU1lVng0aXE2YWNvOUYybWxiYnNPTUY5WldQWGM5WWtkNDRRYVNzd0VyQk5OV05MVEN1MnNWbTctaUxXNWlxZ0Vpc2xfZGFKQ3NyYlZaZnRBSHA2NWg1T0pvQTBSdk0ycmUtZF9TYWdPTGhreUZwNlRKbEtoUWVnVTZKRkhXVmd4XzNOeFkwY0M3bERhcTdNbzBfbHZYSWZnMmdnWV9vRFBTZDgwUzJsdVBfRzJORTFlNU9DbmpqWC1MakE?oc=5</t>
        </is>
      </c>
      <c r="G5" s="9" t="inlineStr">
        <is>
          <t>Neutro</t>
        </is>
      </c>
      <c r="H5" s="9" t="inlineStr">
        <is>
          <t>Médio</t>
        </is>
      </c>
      <c r="I5" s="9" t="inlineStr">
        <is>
          <t>Fonte: ge.globo.com. Descoberta via Google News; URL editorial direta não resolvida automaticamente.</t>
        </is>
      </c>
    </row>
    <row r="6">
      <c r="A6" s="32" t="n">
        <v>46309</v>
      </c>
      <c r="B6" s="23" t="inlineStr">
        <is>
          <t>Luis Roberto volta à TV para narrar Copa do Mundo Feminina após tratar câncer - Estadão</t>
        </is>
      </c>
      <c r="C6" s="23" t="inlineStr">
        <is>
          <t>Copa Feminina 2027</t>
        </is>
      </c>
      <c r="D6" s="23" t="inlineStr">
        <is>
          <t>Brasil</t>
        </is>
      </c>
      <c r="E6" s="23" t="inlineStr">
        <is>
          <t>estadao.com.br</t>
        </is>
      </c>
      <c r="F6" s="23" t="inlineStr">
        <is>
          <t>https://news.google.com/rss/articles/CBMitAFBVV95cUxQa01hMG9scG8yZXprdEtBd1FMQzZlZlZ1MVB0Q0RFN2RwaGJQYzZiaDVCWHY3a1JpTnNRYVN4RXBRTXpyN19QMm92YUNBSk0yeFlyYzBXdjFObDNQMjJVejB1M0w5VGxuVkZDdlhhUlk2RndTZGhYQ1UtSEpESTFKeXpJaWtLY1JtSmp1WTRUc2dtRTU3Yy1ubkVTSFR2Mm1hYm5nNE9kdURzcFQ4c0pKMnpFZ0rSAboBQVVfeXFMTWtZMFBTZ1RDNkVHWEx1ekJnbEJTYU5qakRBeUhITEZoNlJiZXlaWkM3aV8xcTVienBJbk9zdW9GSy1ZT2ZXREZQY1NERXRIZ3B2a1dKTGItVFU2WlloclVJWmZDT09yOWgxRzJtb0Z4YlVWVXpqb1BDUm85b1F4ZVJPMnF4TEM5b25PWXF2dWhkVVh3dUhBWjQzd3hKWmNZWjduMlNiXy1wQ1RXMUliWGJfLUVwcHFxX0JR?oc=5</t>
        </is>
      </c>
      <c r="G6" s="23" t="inlineStr">
        <is>
          <t>Neutro</t>
        </is>
      </c>
      <c r="H6" s="23" t="inlineStr">
        <is>
          <t>Médio</t>
        </is>
      </c>
      <c r="I6" s="23" t="inlineStr">
        <is>
          <t>Fonte: estadao.com.br. Descoberta via Google News; URL editorial direta não resolvida automaticamente.</t>
        </is>
      </c>
    </row>
    <row r="7">
      <c r="A7" s="32" t="n">
        <v>46309</v>
      </c>
      <c r="B7" s="23" t="inlineStr">
        <is>
          <t>Fifa testa operações para a Copa 2027 durante amistosos do Brasil que levaram 145 mil aos estádios - O TEMPO</t>
        </is>
      </c>
      <c r="C7" s="23" t="inlineStr">
        <is>
          <t>Copa Feminina 2027</t>
        </is>
      </c>
      <c r="D7" s="23" t="inlineStr">
        <is>
          <t>Brasil</t>
        </is>
      </c>
      <c r="E7" s="23" t="inlineStr">
        <is>
          <t>otempo.com.br</t>
        </is>
      </c>
      <c r="F7" s="23" t="inlineStr">
        <is>
          <t>https://news.google.com/rss/articles/CBMi8AFBVV95cUxNNV9NZVA0MEctY1ZoeHBxSkZkYkltRW9DQ0syVWJrMUVwM3hQdU1wY3Q2dGZaYWl2dEtKTGJEVnZCRUVGUUpRLVZNZEFvUTNXd1YyT3pmVzM3d21oRWc0VHpyODJ2dHVtSGJtaUozWkxoeU9BY1IwdWYwWHlwLWtFYnRyeHNYQVFjSFZHakFJUWlsWXNPNDZaZ2FEeXdDeDJyMlJwMHZDa3dPZkhyOXpfNWdLcjFZc0RwM2hFSUFZM3RzWWF1VUJPc3lUWXVLTlQ4RW9IM0E5ZS1Jc2VMaXdXUkpQV19nbzFybHQydDRzc3M?oc=5</t>
        </is>
      </c>
      <c r="G7" s="23" t="inlineStr">
        <is>
          <t>Neutro</t>
        </is>
      </c>
      <c r="H7" s="23" t="inlineStr">
        <is>
          <t>Médio</t>
        </is>
      </c>
      <c r="I7" s="23" t="inlineStr">
        <is>
          <t>Fonte: otempo.com.br. Descoberta via Google News; URL editorial direta não resolvida automaticamente.</t>
        </is>
      </c>
    </row>
    <row r="8">
      <c r="A8" s="32" t="n">
        <v>46309</v>
      </c>
      <c r="B8" s="23" t="inlineStr">
        <is>
          <t>CBF se une a Ministérios em campanha contra violência de gênero e plano de legado para Copa Feminina - Máquina do Esporte</t>
        </is>
      </c>
      <c r="C8" s="23" t="inlineStr">
        <is>
          <t>Copa Feminina 2027</t>
        </is>
      </c>
      <c r="D8" s="23" t="inlineStr">
        <is>
          <t>Brasil</t>
        </is>
      </c>
      <c r="E8" s="23" t="inlineStr">
        <is>
          <t>machinadoesporte.com.br</t>
        </is>
      </c>
      <c r="F8" s="23" t="inlineStr">
        <is>
          <t>https://news.google.com/rss/articles/CBMi5AFBVV95cUxNejB4MHRxYnhUeG1tVU1oTlhFUmQyNUNucVk3RkptOUFvdHBqRjlqZFowYjcyMFZ3UGN1cXpFeS05UjJDemNMLVp1M3dZcFN3Q01WQjhPV3FHLUI5TkdMMk1kT0tJaXZKT3hIWU8xRmtSRjBXbEJXWGNHNGlRWnpJWkIwUWRneG1NMDkxVktSN25OeFFwV2tmLXFjRlZRLVhhNzRTdkJxWk9kYkk2Tml4djdQdnZEeERPZVhQZnpjUkVpU0ZXX0Jwbk1WenQtUTRXOGJTTmlsdU5PSmJOZGluLW9FYkY?oc=5</t>
        </is>
      </c>
      <c r="G8" s="23" t="inlineStr">
        <is>
          <t>Neutro</t>
        </is>
      </c>
      <c r="H8" s="23" t="inlineStr">
        <is>
          <t>Médio</t>
        </is>
      </c>
      <c r="I8" s="23" t="inlineStr">
        <is>
          <t>Fonte: machinadoesporte.com.br. Descoberta via Google News; URL editorial direta não resolvida automaticamente.</t>
        </is>
      </c>
    </row>
    <row r="9">
      <c r="A9" s="32" t="n">
        <v>46309</v>
      </c>
      <c r="B9" s="23" t="inlineStr">
        <is>
          <t>FIFA acompanha amistoso do Brasil e prepara novidade para a Copa de 2027 - LANCE!</t>
        </is>
      </c>
      <c r="C9" s="23" t="inlineStr">
        <is>
          <t>Copa Feminina 2027</t>
        </is>
      </c>
      <c r="D9" s="23" t="inlineStr">
        <is>
          <t>Brasil</t>
        </is>
      </c>
      <c r="E9" s="23" t="inlineStr">
        <is>
          <t>lance.com.br</t>
        </is>
      </c>
      <c r="F9" s="23" t="inlineStr">
        <is>
          <t>https://news.google.com/rss/articles/CBMiuwFBVV95cUxQRTNUMlRLUGxpYzhzUzhhRUxjT25tcHdnSGFYcFEtTy1mbW9aV1MxQi1SQkpsSU4wdFFNc3U1UXZ4X09TQXhhNmR6dFVmbzBfVG1vNTVKS014dXRqcFFGWEdibzFKaUkyLTFqaHJYaXdsZDlPQXNlMkMzM1c0aVFlb2F4cDF5TjZXa3hsd0QybWVwYmFSN1ZXWXhScGF3eEhvVlhIenc1bkV5VU9IeGE4dk1TdDRoaVk2UkRj?oc=5</t>
        </is>
      </c>
      <c r="G9" s="23" t="inlineStr">
        <is>
          <t>Neutro</t>
        </is>
      </c>
      <c r="H9" s="23" t="inlineStr">
        <is>
          <t>Médio</t>
        </is>
      </c>
      <c r="I9" s="23" t="inlineStr">
        <is>
          <t>Fonte: lance.com.br. Descoberta via Google News; URL editorial direta não resolvida automaticamente.</t>
        </is>
      </c>
    </row>
    <row r="10">
      <c r="A10" s="32" t="n">
        <v>46309</v>
      </c>
      <c r="B10" s="23" t="inlineStr">
        <is>
          <t>"Momento dela": Arthur Elias projeta Marta na Copa do Mundo Feminina 2027 - CNN Brasil</t>
        </is>
      </c>
      <c r="C10" s="23" t="inlineStr">
        <is>
          <t>Copa Feminina 2027</t>
        </is>
      </c>
      <c r="D10" s="23" t="inlineStr">
        <is>
          <t>Brasil</t>
        </is>
      </c>
      <c r="E10" s="23" t="inlineStr">
        <is>
          <t>cnnbrasil.com.br</t>
        </is>
      </c>
      <c r="F10" s="23" t="inlineStr">
        <is>
          <t>https://news.google.com/rss/articles/CBMiywFBVV95cUxPTVcwbFRwUkJOSUsyUlB3bUVmZHJaTENlcXlwZHdlamZpbklIbEdKdkRBMUpSZG5zVFgtNG1Kdm9ZWWNGTGVtbTJ3NnhJNmYwVmdyaDRDVTBrTzdENUR5OWwzYWpBeWZDc2ZaRXFrcE95Z0d0aW9wWG1TMFZMOTdhdFFGcHJFblZLTGJ2YVloN0RFakd1dGE5MktoaW1SQ1UyX0w4MDNkNEJ6cHB5Z1FENkRVWWxxUlJNYmYtYVFVcDZtcE4wWUpFaHR5WQ?oc=5</t>
        </is>
      </c>
      <c r="G10" s="23" t="inlineStr">
        <is>
          <t>Neutro</t>
        </is>
      </c>
      <c r="H10" s="23" t="inlineStr">
        <is>
          <t>Médio</t>
        </is>
      </c>
      <c r="I10" s="23" t="inlineStr">
        <is>
          <t>Fonte: cnnbrasil.com.br. Descoberta via Google News; URL editorial direta não resolvida automaticamente.</t>
        </is>
      </c>
    </row>
    <row r="11">
      <c r="A11" s="32" t="n">
        <v>46309</v>
      </c>
      <c r="B11" s="23" t="inlineStr">
        <is>
          <t>Copa do Mundo Feminina de 2027 abre oportunidades para turismo e comércio no RS - Correio do Povo</t>
        </is>
      </c>
      <c r="C11" s="23" t="inlineStr">
        <is>
          <t>Copa Feminina 2027</t>
        </is>
      </c>
      <c r="D11" s="23" t="inlineStr">
        <is>
          <t>Brasil</t>
        </is>
      </c>
      <c r="E11" s="23" t="inlineStr">
        <is>
          <t>correiodopovo.com.br</t>
        </is>
      </c>
      <c r="F11" s="23" t="inlineStr">
        <is>
          <t>https://news.google.com/rss/articles/CBMi3gFBVV95cUxOX1lFTDFpeVltaktpNTJqeFlSMnktYjF2N2JjeHpYcHNNSzZhQ1J2MHVDYmN1ZkVMcFdpNXdzM296UXZfXzFGWFBiYUs3ZzNhT3VEeWlIU2NwQ2NsZHVuVk9DTGlTb3FmbDQyVHdSMllITHBmREs0VE9iWlFGbUhPV0x5c080ODd6YzFkd2xmdnk3dWMyazY5bGhJZlVydnpRRDVlb25XMG02TElYNVNlOTlwNm9tdjBrNlFsU1dBMEp2cnFHbGhkc2toV19jQVhoX2t0VXRhYWRlV2ljdGc?oc=5</t>
        </is>
      </c>
      <c r="G11" s="23" t="inlineStr">
        <is>
          <t>Neutro</t>
        </is>
      </c>
      <c r="H11" s="23" t="inlineStr">
        <is>
          <t>Médio</t>
        </is>
      </c>
      <c r="I11" s="23" t="inlineStr">
        <is>
          <t>Fonte: correiodopovo.com.br. Descoberta via Google News; URL editorial direta não resolvida automaticamente.</t>
        </is>
      </c>
    </row>
    <row r="12">
      <c r="A12" s="32" t="n">
        <v>46308</v>
      </c>
      <c r="B12" s="23" t="inlineStr">
        <is>
          <t>Debate sobre impactos da Copa 2027 aponta oportunidades para empresas e turismo - Prefeitura de Porto Alegre</t>
        </is>
      </c>
      <c r="C12" s="23" t="inlineStr">
        <is>
          <t>Copa Feminina 2027</t>
        </is>
      </c>
      <c r="D12" s="23" t="inlineStr">
        <is>
          <t>Brasil</t>
        </is>
      </c>
      <c r="E12" s="23" t="inlineStr">
        <is>
          <t>prefeitura.poa.br</t>
        </is>
      </c>
      <c r="F12" s="23" t="inlineStr">
        <is>
          <t>https://news.google.com/rss/articles/CBMiwwFBVV95cUxNRV9VTWZvb21DRUVZNVN3NEhKaV90c3hrLU9DSk5RQXgwb0dORWoyUDJ0ZUw0RV9SY1A0Yll1REY4QVBGVkNRQmxLRE9TcWRVUkRIZ1B4T2NnMXpRZGFBRHNUOGZIcFp3c1N1T0tIaEVYcmdiU3dkLWM3WkRQOWp1MEdoSDdnNkxlUXZZMXRaSUZZbWs1LVcyN3B2SGpDOENVZWZqakVnektpUmN5XzR0TUNfRndoYmdPRE9qVzd4ai1vMDg?oc=5</t>
        </is>
      </c>
      <c r="G12" s="23" t="inlineStr">
        <is>
          <t>Neutro</t>
        </is>
      </c>
      <c r="H12" s="23" t="inlineStr">
        <is>
          <t>Médio</t>
        </is>
      </c>
      <c r="I12" s="23" t="inlineStr">
        <is>
          <t>Fonte: prefeitura.poa.br. Descoberta via Google News; URL editorial direta não resolvida automaticamente.</t>
        </is>
      </c>
    </row>
    <row r="13">
      <c r="A13" s="32" t="n">
        <v>46305</v>
      </c>
      <c r="B13" s="23" t="inlineStr">
        <is>
          <t>Porto Alegre recebe a Seleção Brasileira Feminina em amistoso contra a Argentina neste sábado - Prefeitura de Porto Alegre</t>
        </is>
      </c>
      <c r="C13" s="23" t="inlineStr">
        <is>
          <t>Copa Feminina 2027</t>
        </is>
      </c>
      <c r="D13" s="23" t="inlineStr">
        <is>
          <t>Brasil</t>
        </is>
      </c>
      <c r="E13" s="23" t="inlineStr">
        <is>
          <t>prefeitura.poa.br</t>
        </is>
      </c>
      <c r="F13" s="23" t="inlineStr">
        <is>
          <t>https://news.google.com/rss/articles/CBMivwFBVV95cUxOOXpCcGg4bnV5ZjM5eDdKZ21NZWVZNnFCVzNXa1FiY1dsTmdfLVh0enpwd0pBZ2E5THRmM1N4MnlnS28yYkx3VzR3LWVFUVhhdjI1VDQ5Ul8tWF9hdm1CazhLVVVnVWZCd0I2eXdtT2RKVkctenhzLUdvd2NVeDBtenJHQWV2U2NCVkJ6Q0o5LXJTUXFFc090SUt0bjZzV3NhX09LYm5sTExqeHBHdFdhYjVEcnN3b1Zpc3NpUllBRQ?oc=5</t>
        </is>
      </c>
      <c r="G13" s="23" t="inlineStr">
        <is>
          <t>Neutro</t>
        </is>
      </c>
      <c r="H13" s="23" t="inlineStr">
        <is>
          <t>Médio</t>
        </is>
      </c>
      <c r="I13" s="23" t="inlineStr">
        <is>
          <t>Fonte: prefeitura.poa.br. Descoberta via Google News; URL editorial direta não resolvida automaticamente.</t>
        </is>
      </c>
    </row>
    <row r="14">
      <c r="A14" s="32" t="n">
        <v>46308</v>
      </c>
      <c r="B14" s="23" t="inlineStr">
        <is>
          <t>Após Copa 2026, CazéTV renova com 8 marcas para Copa do Mundo Feminina de 2027 - Máquina do Esporte</t>
        </is>
      </c>
      <c r="C14" s="23" t="inlineStr">
        <is>
          <t>Copa Feminina 2027</t>
        </is>
      </c>
      <c r="D14" s="23" t="inlineStr">
        <is>
          <t>Brasil</t>
        </is>
      </c>
      <c r="E14" s="23" t="inlineStr">
        <is>
          <t>machinadoesporte.com.br</t>
        </is>
      </c>
      <c r="F14" s="23" t="inlineStr">
        <is>
          <t>https://news.google.com/rss/articles/CBMitwFBVV95cUxPb0Q2ZWRuOU43QWJSSmJjZHZEVTVYLWlCS0ZBb0k3c2lnckRIbDkzNXFkcW1JUThkXzh0R2M1eWNROGR1cXh3VjZZenVzenRadDlSaHR5ZDk0a3NMRGZ5dHhUVzBpOVNPbUh3aXFCRzZCSWNQalVzQmhFV1MxQlpuQU9ZdzBPaEVET1JkV1I2cUpUZ0pvd1lvVjVRUllxQmY4aWl5dGhyeHVnZWNBMVdKakZ0VjNrcEU?oc=5</t>
        </is>
      </c>
      <c r="G14" s="23" t="inlineStr">
        <is>
          <t>Neutro</t>
        </is>
      </c>
      <c r="H14" s="23" t="inlineStr">
        <is>
          <t>Médio</t>
        </is>
      </c>
      <c r="I14" s="23" t="inlineStr">
        <is>
          <t>Fonte: machinadoesporte.com.br. Descoberta via Google News; URL editorial direta não resolvida automaticamente.</t>
        </is>
      </c>
    </row>
    <row r="15">
      <c r="A15" s="32" t="n">
        <v>46308</v>
      </c>
      <c r="B15" s="23" t="inlineStr">
        <is>
          <t>Seleção Brasileira Feminina volta a Pernambuco após mais de dois anos; relembre jogos no estado - Terra</t>
        </is>
      </c>
      <c r="C15" s="23" t="inlineStr">
        <is>
          <t>Copa Feminina 2027</t>
        </is>
      </c>
      <c r="D15" s="23" t="inlineStr">
        <is>
          <t>Brasil</t>
        </is>
      </c>
      <c r="E15" s="23" t="inlineStr">
        <is>
          <t>terra.com.br</t>
        </is>
      </c>
      <c r="F15" s="23" t="inlineStr">
        <is>
          <t>https://news.google.com/rss/articles/CBMihAJBVV95cUxOR2dSQWhfLWh3YnNraWxUQWxibE5UU2c5aHM1MEZtWHQ3M2RNb05PRkRISDJQNW9wVFhCZWx1aWxCTzFHTmFhc2tWNEt3b3FNZ1N1STJ5TXEzRXQwZWhCN1JuOElkcGRWUk1xbzVFbW1mYWdDd3ExNm5KNnVqcW9OeE8zRm9jMG5nX2g4RVY0dWhobW1VTWFXUVo2dFVGR0MtbktMbHZvY0hOZXJpZmQ3M2gwTzV0TDNmeGEyY1QtYkJhMHpMSmhtMWE0WW9ieTY4WHhGRzlZX2FIX0pmWXg2SURwRnNVVHJWUks5bnp2UTBmWDRZRkR0WkdKQ2lBa1l0NFRvRg?oc=5</t>
        </is>
      </c>
      <c r="G15" s="23" t="inlineStr">
        <is>
          <t>Neutro</t>
        </is>
      </c>
      <c r="H15" s="23" t="inlineStr">
        <is>
          <t>Médio</t>
        </is>
      </c>
      <c r="I15" s="23" t="inlineStr">
        <is>
          <t>Fonte: terra.com.br. Descoberta via Google News; URL editorial direta não resolvida automaticamente.</t>
        </is>
      </c>
    </row>
    <row r="16">
      <c r="A16" s="32" t="n">
        <v>46308</v>
      </c>
      <c r="B16" s="23" t="inlineStr">
        <is>
          <t>Brasil encara Argentina em segundo amistoso antes do Mundial Feminino - CNN Brasil</t>
        </is>
      </c>
      <c r="C16" s="23" t="inlineStr">
        <is>
          <t>Copa Feminina 2027</t>
        </is>
      </c>
      <c r="D16" s="23" t="inlineStr">
        <is>
          <t>Brasil</t>
        </is>
      </c>
      <c r="E16" s="23" t="inlineStr">
        <is>
          <t>cnnbrasil.com.br</t>
        </is>
      </c>
      <c r="F16" s="23" t="inlineStr">
        <is>
          <t>https://news.google.com/rss/articles/CBMi0AFBVV95cUxNaEwwdS1xUmZGcVFhLUczUmZjOHkwQkluV3BEeElwRmVLRDlMdy1qS0ZXclN3MWhfRmpjbXlDM1RvR3pzMTgyZV9WdWlzcjlpY3d5bXhHdEYyU1NfR1ZUYllvY0FrWnNwS0RZZzlWQ0FYXzF2Y055VW5za3JFa0VCQWR0VUpvblA0Y0JqZTZ6ZXY3dlJvZXAwcEYtemQ1ZGFpazAwdDUtcDVjbTNoM0xTOHBsUUY5VjFNRFZROWpjQldkUzhfZmxCVXZjS19LWlRl?oc=5</t>
        </is>
      </c>
      <c r="G16" s="23" t="inlineStr">
        <is>
          <t>Neutro</t>
        </is>
      </c>
      <c r="H16" s="23" t="inlineStr">
        <is>
          <t>Médio</t>
        </is>
      </c>
      <c r="I16" s="23" t="inlineStr">
        <is>
          <t>Fonte: cnnbrasil.com.br. Descoberta via Google News; URL editorial direta não resolvida automaticamente.</t>
        </is>
      </c>
    </row>
    <row r="17">
      <c r="A17" s="32" t="n">
        <v>46308</v>
      </c>
      <c r="B17" s="23" t="inlineStr">
        <is>
          <t>Marcas renovam com a CazéTV para a Copa do Mundo Feminina 2027 - MKT Esportivo</t>
        </is>
      </c>
      <c r="C17" s="23" t="inlineStr">
        <is>
          <t>Copa Feminina 2027</t>
        </is>
      </c>
      <c r="D17" s="23" t="inlineStr">
        <is>
          <t>Brasil</t>
        </is>
      </c>
      <c r="E17" s="23" t="inlineStr">
        <is>
          <t>mktesportivo.com</t>
        </is>
      </c>
      <c r="F17" s="23" t="inlineStr">
        <is>
          <t>https://news.google.com/rss/articles/CBMiogFBVV95cUxPclJoV0ZLMUE2N1Rtc0tiQVFTUVkyc0ZTdGtfaUpxMmRVMUFCYWV6b1NKcm1jLVVJNUxuVGZFUnlnc3lrbTlld0FucFRTSnJ5SU83dFExUWR3VUQwSzA2b3paUEtGYUtEd2tMamlZcE5tbkViNmZqbTdpX0p3d01USTJfeElGTUFqM0pZOEFQUHgtb0tmcHQ0aGprOEljU3NtbWc?oc=5</t>
        </is>
      </c>
      <c r="G17" s="23" t="inlineStr">
        <is>
          <t>Neutro</t>
        </is>
      </c>
      <c r="H17" s="23" t="inlineStr">
        <is>
          <t>Médio</t>
        </is>
      </c>
      <c r="I17" s="23" t="inlineStr">
        <is>
          <t>Fonte: mktesportivo.com. Descoberta via Google News; URL editorial direta não resolvida automaticamente.</t>
        </is>
      </c>
    </row>
    <row r="18">
      <c r="A18" s="32" t="n">
        <v>46307</v>
      </c>
      <c r="B18" s="23" t="inlineStr">
        <is>
          <t>Arthur Elias projeta Seleção Brasileira em cidades do mundial de 2027: "Fazemos uma Copa para o nosso país" - ESPN Brasil</t>
        </is>
      </c>
      <c r="C18" s="23" t="inlineStr">
        <is>
          <t>Copa Feminina 2027</t>
        </is>
      </c>
      <c r="D18" s="23" t="inlineStr">
        <is>
          <t>Brasil</t>
        </is>
      </c>
      <c r="E18" s="23" t="inlineStr">
        <is>
          <t>espn.com.br</t>
        </is>
      </c>
      <c r="F18" s="23" t="inlineStr">
        <is>
          <t>https://news.google.com/rss/articles/CBMi9AFBVV95cUxQSmlPZDB4S0N5MVFjLVM1bDhiMWxIMFlaM19qcGZXdVBEV3JyNFk5Z1h3NnQ2ZjhkSGVhQ28wVUJaVjJyYlpsYnlMb01mNFo1UGxCemNKVVlDZWlDS0F6QThPaFBRWko3Ym9uTmttN0ZBWnI0SGZLaHd4TmJBVHd2bzhBazgyRU9UR2RQMVJzOS1VaklMLTRDamMxNjRISi1fclJWUmtmby03RTdJUGFmRjFIckM0NHlnMjBJT2NTbXpzOVpkS0h5ZFFRNUdORUQ2YWQ5UmhmbnRyUWl1VEFiX2RjU2NOS0F0MU5NNWpxV0JYQ2xR?oc=5</t>
        </is>
      </c>
      <c r="G18" s="23" t="inlineStr">
        <is>
          <t>Neutro</t>
        </is>
      </c>
      <c r="H18" s="23" t="inlineStr">
        <is>
          <t>Médio</t>
        </is>
      </c>
      <c r="I18" s="23" t="inlineStr">
        <is>
          <t>Fonte: espn.com.br. Descoberta via Google News; URL editorial direta não resolvida automaticamente.</t>
        </is>
      </c>
    </row>
    <row r="19">
      <c r="A19" s="32" t="n">
        <v>46305</v>
      </c>
      <c r="B19" s="23" t="inlineStr">
        <is>
          <t>Antes do jogo na Arena de Pernambuco, Seleção Brasileira Feminina vence Argentina no Beira-Rio - JC</t>
        </is>
      </c>
      <c r="C19" s="23" t="inlineStr">
        <is>
          <t>Copa Feminina 2027</t>
        </is>
      </c>
      <c r="D19" s="23" t="inlineStr">
        <is>
          <t>Brasil</t>
        </is>
      </c>
      <c r="E19" s="23" t="inlineStr">
        <is>
          <t>jc.ne10.uol.com.br</t>
        </is>
      </c>
      <c r="F19" s="23" t="inlineStr">
        <is>
          <t>https://news.google.com/rss/articles/CBMihgJBVV95cUxOQlNYQWUyYWpabmxyWEVKQWoxcko5Mm9qTEJIOWMtOGE0dzdIRDFHUlNlRC1yUzJ3akxEd0tELTg4RzJ6cWcyMVV3MUtMbGR5NU5zdE5tTnZKdE96aUVva0dtTjZWNHRQNk9yZmkwWjV0QkhiNEZ3VW4xVTE5dXFkQnROTnlyblZLVFRHX3RRcXV2b1B5RllYWDNaa2FER1FzdVFmMDFIaTEtRjFEQnFydGg4dlEzeGZaUW9KNnRuejVQTU9qcUo1U3dpZUVkQ3BXTlpmZFpjTjV0YVhiVkxPbVEtc0wwQ3JqOFp3RW9PZkpXcEcybU15Wi1tbWtQODBOdEx6UWhR?oc=5</t>
        </is>
      </c>
      <c r="G19" s="23" t="inlineStr">
        <is>
          <t>Neutro</t>
        </is>
      </c>
      <c r="H19" s="23" t="inlineStr">
        <is>
          <t>Médio</t>
        </is>
      </c>
      <c r="I19" s="23" t="inlineStr">
        <is>
          <t>Fonte: jc.ne10.uol.com.br. Descoberta via Google News; URL editorial direta não resolvida automaticamente.</t>
        </is>
      </c>
    </row>
    <row r="20">
      <c r="A20" s="32" t="n">
        <v>46305</v>
      </c>
      <c r="B20" s="23" t="inlineStr">
        <is>
          <t>Veja quais jogos o Beira-Rio vai receber na Copa do Mundo Feminina - GZH</t>
        </is>
      </c>
      <c r="C20" s="23" t="inlineStr">
        <is>
          <t>Copa Feminina 2027</t>
        </is>
      </c>
      <c r="D20" s="23" t="inlineStr">
        <is>
          <t>Brasil</t>
        </is>
      </c>
      <c r="E20" s="23" t="inlineStr">
        <is>
          <t>gzh.com.br</t>
        </is>
      </c>
      <c r="F20" s="23" t="inlineStr">
        <is>
          <t>https://news.google.com/rss/articles/CBMigAJBVV95cUxPTTR3bEYwT3h5cGhYWlpUMzVHcmNXSzN1ajNqdGxKTjhKVHRldk9aSEFiVlE2aVRud0lGMVlEWEtUT1BfU3ZtMTZ0Q1Bpd3R4cjc2bzdlTVhkamhQc2prTXpsSDhxZk15MDNiTzBReGNiLXhnY1gwOXg1ZjBXWlJPa2dPVnNXbXhQQlVYUUdRU05fX3hOUWJrMzYzS21UNVJPb1M2Rmpia2hnZlZYaGVqdjdaTzRIV1RiQ0QtckhEVWp6NmY4M0pFNVoyU1RXLXBTeXpRQ21xMEphX2tuSTV2RDVzOGlrUzI5eXhrd0FoejZmeHdXX2xxZklGbXFaZmtt?oc=5</t>
        </is>
      </c>
      <c r="G20" s="23" t="inlineStr">
        <is>
          <t>Neutro</t>
        </is>
      </c>
      <c r="H20" s="23" t="inlineStr">
        <is>
          <t>Médio</t>
        </is>
      </c>
      <c r="I20" s="23" t="inlineStr">
        <is>
          <t>Fonte: gzh.com.br. Descoberta via Google News; URL editorial direta não resolvida automaticamente.</t>
        </is>
      </c>
    </row>
    <row r="21">
      <c r="A21" s="32" t="n">
        <v>46303</v>
      </c>
      <c r="B21" s="23" t="inlineStr">
        <is>
          <t>Deputadas articulam mudança de férias escolares na copa feminina de 2027 - CNN Brasil</t>
        </is>
      </c>
      <c r="C21" s="23" t="inlineStr">
        <is>
          <t>Copa Feminina 2027</t>
        </is>
      </c>
      <c r="D21" s="23" t="inlineStr">
        <is>
          <t>Brasil</t>
        </is>
      </c>
      <c r="E21" s="23" t="inlineStr">
        <is>
          <t>cnnbrasil.com.br</t>
        </is>
      </c>
      <c r="F21" s="23" t="inlineStr">
        <is>
          <t>https://news.google.com/rss/articles/CBMitAFBVV95cUxONnYyTEllbzJFR2s4cXN1aFprLVNCcDdGQ1dvQmJOSWtqdmFULUdkTl8taUdHRUJOcmM5eWI2S2xSU245MGI2ZXlhYzF2eGNfUXhSNzRUdER0bUFsdHV0Vjc3b1FHRWJONzVtc29TOUhWYVY4N3ZsR3FYZE1xbkMyT2ljeFpmTlF6ZlBaN3Fha1lJS2pzXzBfajZGenFsQTdiZ1RxN1RteWs0QjBvbUw4RTIxNVk?oc=5</t>
        </is>
      </c>
      <c r="G21" s="23" t="inlineStr">
        <is>
          <t>Neutro</t>
        </is>
      </c>
      <c r="H21" s="23" t="inlineStr">
        <is>
          <t>Médio</t>
        </is>
      </c>
      <c r="I21" s="23" t="inlineStr">
        <is>
          <t>Fonte: cnnbrasil.com.br. Descoberta via Google News; URL editorial direta não resolvida automaticamente.</t>
        </is>
      </c>
    </row>
    <row r="22">
      <c r="A22" s="32" t="n">
        <v>46305</v>
      </c>
      <c r="B22" s="23" t="inlineStr">
        <is>
          <t>Arthur Elias afunila testes na seleção brasileira feminina, que recebe a Argentina no Beira-Rio - O GLOBO</t>
        </is>
      </c>
      <c r="C22" s="23" t="inlineStr">
        <is>
          <t>Copa Feminina 2027</t>
        </is>
      </c>
      <c r="D22" s="23" t="inlineStr">
        <is>
          <t>Brasil</t>
        </is>
      </c>
      <c r="E22" s="23" t="inlineStr">
        <is>
          <t>oglobo.globo.com</t>
        </is>
      </c>
      <c r="F22" s="23" t="inlineStr">
        <is>
          <t>https://news.google.com/rss/articles/CBMi8wFBVV95cUxPY2NjQTRtQ2U4TGdlYTFVVHBLX0ZIMUI3cjgzcVp3NWdQS0swWHFUck5NZURxY1Jwc1NDWHhVeEhOLWU0N0NIVGFQNUt4ZnEyYi1hSjB4SFY3MnowZktYTWdCWDlWMWFGSkdyOFZaeVFlbnJ5aS1VRWNCZWFSdXpVbFI2SjNRSGtfV0htakk3ZW5WRzJReFFxRUtyempLeVg1cGNiR0lCWnphMjZUVHpGTENxaGY5b29iUjA5aGFRZ2V6ZnhhNzAwWTFfNzRVV2pxb2E0OU9idDRkNmJfWElDT1hHdTYyZWllRnA0bVlnVHJuMUnSAYICQVVfeXFMT1pRNERoYVl6NjJvRHluWWxDT2Z6d3VtMDZ0Z1dZUEZTdGlpRHpLalFQdUlxVm5Kc3VQbkJHWnlRS0VhNk44UnJ0T0dyVkFjb2ZkYzNVTmhvOWktUFYwYmw1ZnlrWndSSjR0c0QtRVlPc19tRXRQdEVNazlvMWUwejF4R181R0JHVEZMcFVQRWJLVnV4RDhYSEdhR0RyNkNDZmJVZ0hXR1JmRHBnY2NQeUtlQ1REWlJlRHV6VmluVm5vcUgwdEdiVXp2Q0ZiNlljZy1yZkhhdTBlVGtxY25hZkduM1BJZm5lWG9NTTFEZ1RBODlmS0VVVXdKbnlzQjNwMlFB?oc=5</t>
        </is>
      </c>
      <c r="G22" s="23" t="inlineStr">
        <is>
          <t>Neutro</t>
        </is>
      </c>
      <c r="H22" s="23" t="inlineStr">
        <is>
          <t>Médio</t>
        </is>
      </c>
      <c r="I22" s="23" t="inlineStr">
        <is>
          <t>Fonte: oglobo.globo.com. Descoberta via Google News; URL editorial direta não resolvida automaticamente.</t>
        </is>
      </c>
    </row>
    <row r="23">
      <c r="A23" s="32" t="n">
        <v>46305</v>
      </c>
      <c r="B23" s="23" t="inlineStr">
        <is>
          <t>Brasil e Argentina se enfrentam em amistoso preparatório para Copa Feminina - CNN Brasil</t>
        </is>
      </c>
      <c r="C23" s="23" t="inlineStr">
        <is>
          <t>Copa Feminina 2027</t>
        </is>
      </c>
      <c r="D23" s="23" t="inlineStr">
        <is>
          <t>Brasil</t>
        </is>
      </c>
      <c r="E23" s="23" t="inlineStr">
        <is>
          <t>cnnbrasil.com.br</t>
        </is>
      </c>
      <c r="F23" s="23" t="inlineStr">
        <is>
          <t>https://news.google.com/rss/articles/CBMi2AFBVV95cUxPN294cldlX1R3RU9jQUhuaVZ3MlRRaWhmbmV2RENDOGtsbFRZcXkySzFxa25wQ3dtYlctdmNRaTIxekhvVTJEOVV1X0dHSG5JWVc0ckxwaEhQSWF0eFNpb09JaXFHeExFVmR2MEk2WXRTZkhZOWF5ck5RZWg3RG84eWpvQWxqUDdHaEhaaEtwUGFVQTNSZFFzbFVzUkw0ODVPRUp3WjNhSXFoMGI2VVBXMnUxT1prU0I5WVo2MTFGYjhYNk94Q0xjNW42X1RTdU42Y1pWTTB4VUQ?oc=5</t>
        </is>
      </c>
      <c r="G23" s="23" t="inlineStr">
        <is>
          <t>Neutro</t>
        </is>
      </c>
      <c r="H23" s="23" t="inlineStr">
        <is>
          <t>Médio</t>
        </is>
      </c>
      <c r="I23" s="23" t="inlineStr">
        <is>
          <t>Fonte: cnnbrasil.com.br. Descoberta via Google News; URL editorial direta não resolvida automaticamente.</t>
        </is>
      </c>
    </row>
    <row r="24">
      <c r="A24" s="32" t="n">
        <v>46305</v>
      </c>
      <c r="B24" s="23" t="inlineStr">
        <is>
          <t>Cara a cara da Seleção Brasileira Feminina: quem são e onde jogam - LANCE!</t>
        </is>
      </c>
      <c r="C24" s="23" t="inlineStr">
        <is>
          <t>Copa Feminina 2027</t>
        </is>
      </c>
      <c r="D24" s="23" t="inlineStr">
        <is>
          <t>Brasil</t>
        </is>
      </c>
      <c r="E24" s="23" t="inlineStr">
        <is>
          <t>lance.com.br</t>
        </is>
      </c>
      <c r="F24" s="23" t="inlineStr">
        <is>
          <t>https://news.google.com/rss/articles/CBMirAFBVV95cUxPMngtZUk4UDA4dXFieDNQOWZMajFsQWQyN0V5TGg1YXEyYzlybUxoRXlLZ01Ga1ZkUW1HRnhtU2xkMnJsRHJQTEVqdGFNOVVjTVNmMklucmpvYWFkMU5jN2ZKcm00X29DeDRfYWI4QTFKX1dycWk2bDktR05JdEM0cFFfM2hJSjg3Tm1CODVMVjNvY1UwZU9XMnpfNVJoSHdId2hUUlVBSzBQTGJ0?oc=5</t>
        </is>
      </c>
      <c r="G24" s="23" t="inlineStr">
        <is>
          <t>Neutro</t>
        </is>
      </c>
      <c r="H24" s="23" t="inlineStr">
        <is>
          <t>Médio</t>
        </is>
      </c>
      <c r="I24" s="23" t="inlineStr">
        <is>
          <t>Fonte: lance.com.br. Descoberta via Google News; URL editorial direta não resolvida automaticamente.</t>
        </is>
      </c>
    </row>
    <row r="25">
      <c r="A25" s="32" t="n">
        <v>46304</v>
      </c>
      <c r="B25" s="23" t="inlineStr">
        <is>
          <t>CBF confirma paralisação das quatro divisões para a Copa do Mundo Feminina - CNN Brasil</t>
        </is>
      </c>
      <c r="C25" s="23" t="inlineStr">
        <is>
          <t>Copa Feminina 2027</t>
        </is>
      </c>
      <c r="D25" s="23" t="inlineStr">
        <is>
          <t>Brasil</t>
        </is>
      </c>
      <c r="E25" s="23" t="inlineStr">
        <is>
          <t>cnnbrasil.com.br</t>
        </is>
      </c>
      <c r="F25" s="23" t="inlineStr">
        <is>
          <t>https://news.google.com/rss/articles/CBMivgFBVV95cUxPanNaamRLeDJXLUZhNUExUWRtRjNIaUNMLWdtTzk3Y25LQ1ZNNXF6UDZYaWpoMk45MW9HTlUwVzN0clhLb2xPMW1LRnRPSkRpS2tWY0FCbU14QUhQYkI1bEtJTGFIRE1GT0hnREllTEZhR3JHLXhsWFV1UmtPYjBCMmZYTVAyNTBHdWZxZXJFMEhOaUV6RHhUZl9wdm4zR0k0SngzaU5mQlVTM1JQTFljRzZXd1lWLV9WV2lEYkVB?oc=5</t>
        </is>
      </c>
      <c r="G25" s="23" t="inlineStr">
        <is>
          <t>Neutro</t>
        </is>
      </c>
      <c r="H25" s="23" t="inlineStr">
        <is>
          <t>Médio</t>
        </is>
      </c>
      <c r="I25" s="23" t="inlineStr">
        <is>
          <t>Fonte: cnnbrasil.com.br. Descoberta via Google News; URL editorial direta não resolvida automaticamente.</t>
        </is>
      </c>
    </row>
    <row r="26">
      <c r="A26" s="32" t="n">
        <v>46304</v>
      </c>
      <c r="B26" s="23" t="inlineStr">
        <is>
          <t>Lista da Copa está "74% pronta": os testes e critérios de Arthur Elias na seleção brasileira feminina - ge</t>
        </is>
      </c>
      <c r="C26" s="23" t="inlineStr">
        <is>
          <t>Copa Feminina 2027</t>
        </is>
      </c>
      <c r="D26" s="23" t="inlineStr">
        <is>
          <t>Brasil</t>
        </is>
      </c>
      <c r="E26" s="23" t="inlineStr">
        <is>
          <t>ge.globo.com</t>
        </is>
      </c>
      <c r="F26" s="23" t="inlineStr">
        <is>
          <t>https://news.google.com/rss/articles/CBMiiAJBVV95cUxNbHlNUjNtOTV5cVZlOEhCbjBQdDh5cjBpeE84eUlNSGJILWQ2c242alZ6c3VTdWY3UmhJdERuSjcybEtzZ1llZTMwSGdpREF0REgyMklpTGxKeWdlbFd4aW9rYUFIcF81b0J6dGF2QVBvandPTzBFMEhKWHRmUjVRblJjMFBqUXppVEJQNjBNY2RTWUtiNXo3LWRPNkpHSHlYeVhOT3RkSHA2Qmt1RUJlX0RsS2k4V3JoQ1J1WTc0cEF0OHpXU3dfZmcza2FOdzFlYTZHdUFya2FMNHhINjBIMUVlbXVzVFU3M1lsSE5PbFR0djNtUzVNX0hkRDdJUEg4a1FBTDVrUUfSAZcCQVVfeXFMT0hqaGN6dzFHdFhzd05HOVNCbHpXWldfSEwwa09HNG9JRkxwS2FlaWhlbTEtZWZReHhHSGxNMndiTHZIUjg1d3R3WjgwVHRVekZSY2Y4OXBLYXBFY2pvdEk4OGctdGhSckN4TUNxaHdNODlxT29UeFFVY2JCOFFLaHRjQzdyaU9oRzhtRG9fR192S200RU1mV3FqNFFRVXB0Zm1Ial9ZMl9vNGNVbFJQcjBYZ2JKdmp4M281SmxwNXRiYkV6Y0lJVWxLTnpuQl9oMmNQSkx2cThVUzJYeVRfVHdjdkxiOHVJaVZYRFZ6S2piR1NKRDU3bl8zTHNFVEs3Zms5TWZLc3Z2Q0Ywek16LU1sOTM5em5R?oc=5</t>
        </is>
      </c>
      <c r="G26" s="23" t="inlineStr">
        <is>
          <t>Neutro</t>
        </is>
      </c>
      <c r="H26" s="23" t="inlineStr">
        <is>
          <t>Médio</t>
        </is>
      </c>
      <c r="I26" s="23" t="inlineStr">
        <is>
          <t>Fonte: ge.globo.com. Descoberta via Google News; URL editorial direta não resolvida automaticamente.</t>
        </is>
      </c>
    </row>
    <row r="27">
      <c r="A27" s="32" t="n">
        <v>46303</v>
      </c>
      <c r="B27" s="23" t="inlineStr">
        <is>
          <t>Brasil dobra recorde de voluntários para Copa do Mundo Feminina - Agência Brasil</t>
        </is>
      </c>
      <c r="C27" s="23" t="inlineStr">
        <is>
          <t>Copa Feminina 2027</t>
        </is>
      </c>
      <c r="D27" s="23" t="inlineStr">
        <is>
          <t>Brasil</t>
        </is>
      </c>
      <c r="E27" s="23" t="inlineStr">
        <is>
          <t>agenciabrasil.ebc.com.br</t>
        </is>
      </c>
      <c r="F27" s="23" t="inlineStr">
        <is>
          <t>https://news.google.com/rss/articles/CBMivgFBVV95cUxNd3hLTGJoTF9RMVhMRzJjaVowaFJ3M2FjMkkyd19wdklON0d2ZXhiTm5SVlJWclBZSkM1OGNIdTBQTUREdHY0dEROcE5zaXM2TkV1MjhhRFJTdXZQdnJvZGpTc0gyR1Q5ZWJma3VTNnZVYzRaS3VodTdJRk85amUyLVdySjZMeUNfc3doRTJNM0JFaUZvVWtKWDRWQ212N3R0Ym95RDFuNU9SN2Z1bGpfT0JHV2pRZkVSdHBXRTNB?oc=5</t>
        </is>
      </c>
      <c r="G27" s="23" t="inlineStr">
        <is>
          <t>Neutro</t>
        </is>
      </c>
      <c r="H27" s="23" t="inlineStr">
        <is>
          <t>Médio</t>
        </is>
      </c>
      <c r="I27" s="23" t="inlineStr">
        <is>
          <t>Fonte: agenciabrasil.ebc.com.br. Descoberta via Google News; URL editorial direta não resolvida automaticamente.</t>
        </is>
      </c>
    </row>
    <row r="28">
      <c r="A28" s="32" t="n">
        <v>46303</v>
      </c>
      <c r="B28" s="23" t="inlineStr">
        <is>
          <t>CBF lança projeto para descobrir e formar novas goleiras até a Copa de 2027 - CNN Brasil</t>
        </is>
      </c>
      <c r="C28" s="23" t="inlineStr">
        <is>
          <t>Copa Feminina 2027</t>
        </is>
      </c>
      <c r="D28" s="23" t="inlineStr">
        <is>
          <t>Brasil</t>
        </is>
      </c>
      <c r="E28" s="23" t="inlineStr">
        <is>
          <t>cnnbrasil.com.br</t>
        </is>
      </c>
      <c r="F28" s="23" t="inlineStr">
        <is>
          <t>https://news.google.com/rss/articles/CBMivwFBVV95cUxOTlo2czJCLVZVTDBxOWM5dll6SVh6S0dsNlhWemVoSzlDdkJkU2lGanlLNk5wczg0LXNBMjNYbXRlakdoUnRBX2tmWFNLanBHUFJpLTlfY2Y1ZTlCZWVQdHhTellKVG1jOHRLUDgwLTlncEh1S2liUEZRTEVFT1Z4eDJ3QnRHa2RLY2FMeUtrVjl6ZC1nbFotd2ZKUEdiRzRick9rcWw2Z3R5WDhKWS1aMVhCU2hhYkhibnZ5djlKdw?oc=5</t>
        </is>
      </c>
      <c r="G28" s="23" t="inlineStr">
        <is>
          <t>Neutro</t>
        </is>
      </c>
      <c r="H28" s="23" t="inlineStr">
        <is>
          <t>Médio</t>
        </is>
      </c>
      <c r="I28" s="23" t="inlineStr">
        <is>
          <t>Fonte: cnnbrasil.com.br. Descoberta via Google News; URL editorial direta não resolvida automaticamente.</t>
        </is>
      </c>
    </row>
    <row r="29">
      <c r="A29" s="32" t="n">
        <v>46303</v>
      </c>
      <c r="B29" s="23" t="inlineStr">
        <is>
          <t>Copa do Mundo Feminina registra recorde de candidaturas para ser voluntário - LANCE!</t>
        </is>
      </c>
      <c r="C29" s="23" t="inlineStr">
        <is>
          <t>Copa Feminina 2027</t>
        </is>
      </c>
      <c r="D29" s="23" t="inlineStr">
        <is>
          <t>Brasil</t>
        </is>
      </c>
      <c r="E29" s="23" t="inlineStr">
        <is>
          <t>lance.com.br</t>
        </is>
      </c>
      <c r="F29" s="23" t="inlineStr">
        <is>
          <t>https://news.google.com/rss/articles/CBMivwFBVV95cUxQeVBvWVFxOHFhaVdndm9vY2xqWEx1SUZQeHk1azVDV3p1YmVyV2UtVzBCbmhWVVo2MjM1ZWh2bkI0dWRzb0VNa0kwNmdiUEpsZXlyMS1oUUp0QWtTYVdoS0RlOFRPc1hvRm5kQzhvQVRwUktVZWZjLUtuekp2ZXlfY05MMFZPcVUxV0xadHlHc04tTVBmZDhHQ3JVYksyR0Z0Mm5IdjgwSWRuVmc1N0lGN01heTJSX3Y3NF80ckhVMA?oc=5</t>
        </is>
      </c>
      <c r="G29" s="23" t="inlineStr">
        <is>
          <t>Neutro</t>
        </is>
      </c>
      <c r="H29" s="23" t="inlineStr">
        <is>
          <t>Médio</t>
        </is>
      </c>
      <c r="I29" s="23" t="inlineStr">
        <is>
          <t>Fonte: lance.com.br. Descoberta via Google News; URL editorial direta não resolvida automaticamente.</t>
        </is>
      </c>
    </row>
    <row r="30">
      <c r="A30" s="32" t="n">
        <v>46303</v>
      </c>
      <c r="B30" s="23" t="inlineStr">
        <is>
          <t>Netflix anuncia documentário sobre Marta de olho na Copa do Mundo Feminina - CNN Brasil</t>
        </is>
      </c>
      <c r="C30" s="23" t="inlineStr">
        <is>
          <t>Copa Feminina 2027</t>
        </is>
      </c>
      <c r="D30" s="23" t="inlineStr">
        <is>
          <t>Brasil</t>
        </is>
      </c>
      <c r="E30" s="23" t="inlineStr">
        <is>
          <t>cnnbrasil.com.br</t>
        </is>
      </c>
      <c r="F30" s="23" t="inlineStr">
        <is>
          <t>https://news.google.com/rss/articles/CBMivgFBVV95cUxPd253YlNOS2l6b1c2Nk5YOEgwRnJ3SGJFMEh1LUZkamJ0RFM4TXF2MHpQTFdhWDNLd2p2OTZka1UzZGxVRmVlQ3hxUUJaYjJ6QWUtcktRb0hKMW5aMTluWndwQjBwdWp1Mk9EaXlmdnU5UWItSXk4dl9haXgxSE93S1NtbDg5YW5EN0hERVI4SlVteF9lSXNvOGVfYlZ2UENLaGVuUUMtWWlwaFJGM3VLbTFkYVR4RE1QcVhKRzhB?oc=5</t>
        </is>
      </c>
      <c r="G30" s="23" t="inlineStr">
        <is>
          <t>Neutro</t>
        </is>
      </c>
      <c r="H30" s="23" t="inlineStr">
        <is>
          <t>Médio</t>
        </is>
      </c>
      <c r="I30" s="23" t="inlineStr">
        <is>
          <t>Fonte: cnnbrasil.com.br. Descoberta via Google News; URL editorial direta não resolvida automaticamente.</t>
        </is>
      </c>
    </row>
    <row r="31">
      <c r="A31" s="32" t="n">
        <v>46303</v>
      </c>
      <c r="B31" s="23" t="inlineStr">
        <is>
          <t>Seleção Brasileira Feminina terá convocação só de goleiras e projeto inédito de captação - ge</t>
        </is>
      </c>
      <c r="C31" s="23" t="inlineStr">
        <is>
          <t>Copa Feminina 2027</t>
        </is>
      </c>
      <c r="D31" s="23" t="inlineStr">
        <is>
          <t>Brasil</t>
        </is>
      </c>
      <c r="E31" s="23" t="inlineStr">
        <is>
          <t>ge.globo.com</t>
        </is>
      </c>
      <c r="F31" s="23" t="inlineStr">
        <is>
          <t>https://news.google.com/rss/articles/CBMiygFBVV95cUxQMVNDbW1VWXMxNHFHX21VOXZTWS1ycTVVNmFjUDBpM2xhbzRReEFIY2lxLThRajhEd2pSOGgxdEFQS2FlbnhxWWNYYUgwcGlIbjBZbk9aX0pHZEQwenB5QUhYSzdMLVB2N0FQN283OXFsSm9Da0docXhNaU5pS0Ztd1djNFdPSGVpZVc1ekxhcHpKNFN2NHZMMERTUkJPdTlYQ0k3Wlc2Y050VWYxek01eGxkYUhQRElmZGtSVE90VnZRMGd1ZkxYRlhn0gHYAUFVX3lxTE5IbXMyZE5aXzZRQ2NiSXUwaDZfN0pycUZ0czRoSGFZQnFmeWY1R0FRcGpTMmVmdUZUbm9hT1dnaW16MkY1Z0JtOVRsT2RxeUlGZXc1c1VaQms5RHdqU3VXYnlaRjZIVXV4Ui05eXlWdnpFRlA3WDVpSHlTVlRhNEN3WF9xekNybFVjemlIV1c5bEdaMDcxUE1Fc19SYzVuTF9PbDBRMTZWN1pidEQ3YWtUeDRGcWZfMk1LMDBuVktKSWJBNnF1cnhqcVZ2Z0ljRnNZUEZOMWl5MQ?oc=5</t>
        </is>
      </c>
      <c r="G31" s="23" t="inlineStr">
        <is>
          <t>Neutro</t>
        </is>
      </c>
      <c r="H31" s="23" t="inlineStr">
        <is>
          <t>Médio</t>
        </is>
      </c>
      <c r="I31" s="23" t="inlineStr">
        <is>
          <t>Fonte: ge.globo.com. Descoberta via Google News; URL editorial direta não resolvida automaticamente.</t>
        </is>
      </c>
    </row>
    <row r="32">
      <c r="A32" s="32" t="n">
        <v>46303</v>
      </c>
      <c r="B32" s="23" t="inlineStr">
        <is>
          <t>Isa Haas valoriza amistoso da Seleção em Porto Alegre: "Momento muito especial, não só para o futebol feminino" - GZH</t>
        </is>
      </c>
      <c r="C32" s="23" t="inlineStr">
        <is>
          <t>Copa Feminina 2027</t>
        </is>
      </c>
      <c r="D32" s="23" t="inlineStr">
        <is>
          <t>Brasil</t>
        </is>
      </c>
      <c r="E32" s="23" t="inlineStr">
        <is>
          <t>gzh.com.br</t>
        </is>
      </c>
      <c r="F32" s="23" t="inlineStr">
        <is>
          <t>https://news.google.com/rss/articles/CBMitwJBVV95cUxQUUw4SmJ5UlVEOUNHMklEUWdnSUxvQzZtSW9QYmNDeHBvbGMtV1l4d1JmQXEwbHJFanctR2RDSXZXVUJPclFpYUFBSVhBTC1ITXNNTk11TlRobkkxMGwxckszWnN0ZmhQanVWVEZraFRTaEItaXlxc1YtQzktWWcwTkNhenk1b19FS3RDcV83RmQwSmdHT2pqZ01aQjQ4Mk5rd3RFRi03ckJMY2xrR21sdUN0RnV1OW44QnlxbXRjcEhTZnhnUXB0bDlmeE5EX1ZZZS1tZ0V6QkM2MDVXYlBMOG9tNkNla3hPUEs4VHAzOENQbU1idTRUSVVsTUtkTURNbDh3V0dUdDROSVdsb1JsaXVraEo5TTVpTmN4Nnc3VmxEeUgyM3pKLV9KWWM0YzFKT3g4dlFPcw?oc=5</t>
        </is>
      </c>
      <c r="G32" s="23" t="inlineStr">
        <is>
          <t>Neutro</t>
        </is>
      </c>
      <c r="H32" s="23" t="inlineStr">
        <is>
          <t>Médio</t>
        </is>
      </c>
      <c r="I32" s="23" t="inlineStr">
        <is>
          <t>Fonte: gzh.com.br. Descoberta via Google News; URL editorial direta não resolvida automaticamente.</t>
        </is>
      </c>
    </row>
    <row r="33">
      <c r="A33" s="32" t="n">
        <v>46302</v>
      </c>
      <c r="B33" s="23" t="inlineStr">
        <is>
          <t>Seleção Brasileira Feminina realiza treino aberto à imprensa em Porto Alegre - Prefeitura de Porto Alegre</t>
        </is>
      </c>
      <c r="C33" s="23" t="inlineStr">
        <is>
          <t>Copa Feminina 2027</t>
        </is>
      </c>
      <c r="D33" s="23" t="inlineStr">
        <is>
          <t>Brasil</t>
        </is>
      </c>
      <c r="E33" s="23" t="inlineStr">
        <is>
          <t>prefeitura.poa.br</t>
        </is>
      </c>
      <c r="F33" s="23" t="inlineStr">
        <is>
          <t>https://news.google.com/rss/articles/CBMivAFBVV95cUxPSjNPQW5ZanpqcU1GSnoxNzM0VkloUWNFZ0xmYzNacjFvMzliTG9tcUg2VFZsZU5tU2hFMzAxQW15RDFVejlwU2V5YTgxZVFiWDU4cHYzMVpHNXNlbEFaNTFXQlRVbC1xM1V5dHc2ejNGZ0l4UFdZR2htZXNVLVNYa2V1RWJHOEpCcHg4b05WWG54QmM4Y1FEcmhudFlVaU9PeVEtM3ZxbjNEdDV6TDkwMTZ3NjdJNUFfZm1vYQ?oc=5</t>
        </is>
      </c>
      <c r="G33" s="23" t="inlineStr">
        <is>
          <t>Neutro</t>
        </is>
      </c>
      <c r="H33" s="23" t="inlineStr">
        <is>
          <t>Médio</t>
        </is>
      </c>
      <c r="I33" s="23" t="inlineStr">
        <is>
          <t>Fonte: prefeitura.poa.br. Descoberta via Google News; URL editorial direta não resolvida automaticamente.</t>
        </is>
      </c>
    </row>
    <row r="34">
      <c r="A34" s="32" t="n">
        <v>46302</v>
      </c>
      <c r="B34" s="23" t="inlineStr">
        <is>
          <t>Porto Alegre articula oportunidades econômicas e legado regional para a Copa Feminina FIFA 2027 - Prefeitura de Porto Alegre</t>
        </is>
      </c>
      <c r="C34" s="23" t="inlineStr">
        <is>
          <t>Copa Feminina 2027</t>
        </is>
      </c>
      <c r="D34" s="23" t="inlineStr">
        <is>
          <t>Brasil</t>
        </is>
      </c>
      <c r="E34" s="23" t="inlineStr">
        <is>
          <t>prefeitura.poa.br</t>
        </is>
      </c>
      <c r="F34" s="23" t="inlineStr">
        <is>
          <t>https://news.google.com/rss/articles/CBMivAFBVV95cUxOMFBLalVrR2hkRndrMHE0d21LQlFZbHhPRGxJbnlYNjd1UWRkVFlELTlGd2VTb2EwMmI1eGJBMUQ4SWhMNGxhaXFwT1NvREJqVUxjRVdVWG8yVmNwNFI2M25IUWQ4d1FhaTkxclJtRFR6WGdvWEkybDNQZ1hSU2Jvblk0enFDOVhQZzVtek5kZTNoTlJNM3RpSVBDR1ZRdkVGbUlUalYzWi15YlJJYmd3SFB2Nk93NDdmeDBEUg?oc=5</t>
        </is>
      </c>
      <c r="G34" s="23" t="inlineStr">
        <is>
          <t>Neutro</t>
        </is>
      </c>
      <c r="H34" s="23" t="inlineStr">
        <is>
          <t>Médio</t>
        </is>
      </c>
      <c r="I34" s="23" t="inlineStr">
        <is>
          <t>Fonte: prefeitura.poa.br. Descoberta via Google News; URL editorial direta não resolvida automaticamente.</t>
        </is>
      </c>
    </row>
    <row r="35">
      <c r="A35" s="32" t="n">
        <v>46302</v>
      </c>
      <c r="B35" s="23" t="inlineStr">
        <is>
          <t>Copa do Mundo Feminina: prazo para ser voluntário termina nesta quarta (7) - CNN Brasil</t>
        </is>
      </c>
      <c r="C35" s="23" t="inlineStr">
        <is>
          <t>Copa Feminina 2027</t>
        </is>
      </c>
      <c r="D35" s="23" t="inlineStr">
        <is>
          <t>Brasil</t>
        </is>
      </c>
      <c r="E35" s="23" t="inlineStr">
        <is>
          <t>cnnbrasil.com.br</t>
        </is>
      </c>
      <c r="F35" s="23" t="inlineStr">
        <is>
          <t>https://news.google.com/rss/articles/CBMizAFBVV95cUxOUG4xVHVKUGJyMTRtOWpxYXRqTUZNbi1jSGhwcTVHWnROZXpnUk43Y2MxeTFjT3c5VGpwcnVKWHVyVFFSdy1Gc2VtM3FZTmFaMV9uNVd6Q1c4OE5uRVZINmhVXzhqSEluTVpjTkowTHF2NnR1RHZsenJlbDdQMnJOVjRPYlNhclZ3eEJpdnpNNGJzMzc0SU9kcXoxRGZnTGVlM1BWSnFkeWZUUENpd24za19mT3V2S2hlTFdLcWFwUEJBblJfVEdGRk5Rck4?oc=5</t>
        </is>
      </c>
      <c r="G35" s="23" t="inlineStr">
        <is>
          <t>Neutro</t>
        </is>
      </c>
      <c r="H35" s="23" t="inlineStr">
        <is>
          <t>Médio</t>
        </is>
      </c>
      <c r="I35" s="23" t="inlineStr">
        <is>
          <t>Fonte: cnnbrasil.com.br. Descoberta via Google News; URL editorial direta não resolvida automaticamente.</t>
        </is>
      </c>
    </row>
    <row r="36">
      <c r="A36" s="32" t="n">
        <v>46302</v>
      </c>
      <c r="B36" s="23" t="inlineStr">
        <is>
          <t>Netflix define IMG como parceira de produção para transmissões da Copa Feminina 2027 - Máquina do Esporte</t>
        </is>
      </c>
      <c r="C36" s="23" t="inlineStr">
        <is>
          <t>Copa Feminina 2027</t>
        </is>
      </c>
      <c r="D36" s="23" t="inlineStr">
        <is>
          <t>Brasil</t>
        </is>
      </c>
      <c r="E36" s="23" t="inlineStr">
        <is>
          <t>machinadoesporte.com.br</t>
        </is>
      </c>
      <c r="F36" s="23" t="inlineStr">
        <is>
          <t>https://news.google.com/rss/articles/CBMiwAFBVV95cUxOTl9mUXNpZUFLbGd5TDNXYWwxeVJPYzRXTmlhcFlEa2g3M2EyeGxpTE1mZzlvS1BwbjhhSkJDNE1wbjZ1MnZfc3N5QnV1TzZWQTFBUTcyOFJZb0plVjNzN2hZNVhKUVNsZm54T0lqYnhBYmkxem81WlM3QUx6ZHV6M2VweDZreDJYZDJfLWd2TUZqVEIyLXhyV1NvSGIxcDlJZTg4ZThhZGxHVWlfNWlEY2Y3OTBDM3J3Wm1YY3VyTlQ?oc=5</t>
        </is>
      </c>
      <c r="G36" s="23" t="inlineStr">
        <is>
          <t>Neutro</t>
        </is>
      </c>
      <c r="H36" s="23" t="inlineStr">
        <is>
          <t>Médio</t>
        </is>
      </c>
      <c r="I36" s="23" t="inlineStr">
        <is>
          <t>Fonte: machinadoesporte.com.br. Descoberta via Google News; URL editorial direta não resolvida automaticamente.</t>
        </is>
      </c>
    </row>
    <row r="37">
      <c r="A37" s="32" t="n">
        <v>46302</v>
      </c>
      <c r="B37" s="23" t="inlineStr">
        <is>
          <t>Arthur Elias reforça desejo de contar com Marta na Copa de 2027: "Muito otimista" - ge</t>
        </is>
      </c>
      <c r="C37" s="23" t="inlineStr">
        <is>
          <t>Copa Feminina 2027</t>
        </is>
      </c>
      <c r="D37" s="23" t="inlineStr">
        <is>
          <t>Brasil</t>
        </is>
      </c>
      <c r="E37" s="23" t="inlineStr">
        <is>
          <t>ge.globo.com</t>
        </is>
      </c>
      <c r="F37" s="23" t="inlineStr">
        <is>
          <t>https://news.google.com/rss/articles/CBMi5wFBVV95cUxNR2JIckxuMWlvOXBXSXJscE5yQjFyeUQ5SFRIUlEyX0FLNUJmdEJLU3Nla3lQQnJOQ3pkSS1zRUhVTGVuaFh5YjZqNVhhUzgwT0hPTTZPYUpWVE56bFFNTnFuM25TelVtdlR4WWpBWUVDanMyMGp0RWtTY3Bmd3BGdm05MkdLN0tNYXdQV3l1SEdKT090WkJvMm5DSElzYzJYaHczcFNhLVBkS29MSnhYbVd5SDRHcVJKS3FlcVN0cC1reVYyVUZpSnJIR0NZSVYtWURwOHdwM2VYb29uWURGWWxtcXFHZFXSAfYBQVVfeXFMT01aSlQ5YlZyLWZlTWxrTEkwajNJdDByWTVIY3RBV015RGlhUzExX0V1cVlOa1ROUU1rMGJPc0NLT3NqVVZjQUFOTU9PdFlsNE1uczdPM3V4T1drb2RfOHVFSnZpOUxwdmFXOG4zQ21uV3ZESUYzdHpiNjZMVFBnd3owa1ZDV2RKLUJZMm13LWlOSE5JZ0ZMdGZDTHU5OU16MWVGVXVyYldreGY1bk1CcU9BUndmMmZwNDk5RVBHQkwzQklxdTgzUC1kUmhYdU1jVTJoamZNQ0V3SkRaZHBhNXhKOFdGMTAwdEFGTExPM1pMLUNUQ2h3?oc=5</t>
        </is>
      </c>
      <c r="G37" s="23" t="inlineStr">
        <is>
          <t>Neutro</t>
        </is>
      </c>
      <c r="H37" s="23" t="inlineStr">
        <is>
          <t>Médio</t>
        </is>
      </c>
      <c r="I37" s="23" t="inlineStr">
        <is>
          <t>Fonte: ge.globo.com. Descoberta via Google News; URL editorial direta não resolvida automaticamente.</t>
        </is>
      </c>
    </row>
    <row r="38">
      <c r="A38" s="32" t="n">
        <v>46302</v>
      </c>
      <c r="B38" s="23" t="inlineStr">
        <is>
          <t>Brasil joga em palcos da Copa de 2027 em reta final antes do Mundial - LANCE!</t>
        </is>
      </c>
      <c r="C38" s="23" t="inlineStr">
        <is>
          <t>Copa Feminina 2027</t>
        </is>
      </c>
      <c r="D38" s="23" t="inlineStr">
        <is>
          <t>Brasil</t>
        </is>
      </c>
      <c r="E38" s="23" t="inlineStr">
        <is>
          <t>lance.com.br</t>
        </is>
      </c>
      <c r="F38" s="23" t="inlineStr">
        <is>
          <t>https://news.google.com/rss/articles/CBMitgFBVV95cUxNbFVjZnl0RU1mQ1hsUkppc3ZVX0dOS1M1MjRISFhZaXRVY3ZnaEZLSDlJeUtPMllmcmVnbHdEa3ZKUW55SExKR0didU1Gay0tcWlONHhZMFNhRGdSaTNNT3Z2TWYxM1NtNG1qMHVmQ093V3ZjR1BONnkxWXpROHhfNjdNQlVWdWtyTzJTMnNqZ2E4MzlIVkhWTlhQZEs0V1QxLUZZcTNqcnlRUm1IeW9OUXZUYTYyQQ?oc=5</t>
        </is>
      </c>
      <c r="G38" s="23" t="inlineStr">
        <is>
          <t>Neutro</t>
        </is>
      </c>
      <c r="H38" s="23" t="inlineStr">
        <is>
          <t>Médio</t>
        </is>
      </c>
      <c r="I38" s="23" t="inlineStr">
        <is>
          <t>Fonte: lance.com.br. Descoberta via Google News; URL editorial direta não resolvida automaticamente.</t>
        </is>
      </c>
    </row>
    <row r="39">
      <c r="A39" s="32" t="n">
        <v>46302</v>
      </c>
      <c r="B39" s="23" t="inlineStr">
        <is>
          <t>Patrocínio de bet para a Copa do Mundo feminina trava após MP - Estadão</t>
        </is>
      </c>
      <c r="C39" s="23" t="inlineStr">
        <is>
          <t>Copa Feminina 2027</t>
        </is>
      </c>
      <c r="D39" s="23" t="inlineStr">
        <is>
          <t>Brasil</t>
        </is>
      </c>
      <c r="E39" s="23" t="inlineStr">
        <is>
          <t>estadao.com.br</t>
        </is>
      </c>
      <c r="F39" s="23" t="inlineStr">
        <is>
          <t>https://news.google.com/rss/articles/CBMisAFBVV95cUxNZ25pWVYwVEotWDF6UU9IRERLSXQ1V2hNVmI1TGk5WnlRUHNjdkdIWGdITDI3ME9DY0JIbmgwWkhURTVLU05ITWxidHFnXzBleHJLemdxaUlCTFQ3cVpCLS1MVHI3Q0hOaWtiOEZlZXFmQ2hGei1Dbk8zaS1nbG1JemtYbkVnX1dGMUsxWmFDSmJwOXFBVlVXTDdtNGxwZXYxWFJpMUxESDVfbDVKdktJYtIBtgFBVV95cUxQdGpCb1hGQWFYMWt4NzdDamZNNVRKQ19oVlh5eHpTVmM0b1B3UkFNUGVUc1p5NmxrYzJPYnRpcXFZdmlOQW9KZDg1el9PU1FCR0V1cmpXaWduamNuM2Z5bm96LXJVcURSSFlmalFGVlVhWEF2UnBCSGczNWp2Ymx4c3h5cXhsZUZBUlRwbHlYUUpWVWthUnFBUjNmZ2JrTnBicFEwMmRhanFBVWliT3BfdG5kdVZHdw?oc=5</t>
        </is>
      </c>
      <c r="G39" s="23" t="inlineStr">
        <is>
          <t>Neutro</t>
        </is>
      </c>
      <c r="H39" s="23" t="inlineStr">
        <is>
          <t>Médio</t>
        </is>
      </c>
      <c r="I39" s="23" t="inlineStr">
        <is>
          <t>Fonte: estadao.com.br. Descoberta via Google News; URL editorial direta não resolvida automaticamente.</t>
        </is>
      </c>
    </row>
    <row r="40">
      <c r="A40" s="32" t="n">
        <v>46300</v>
      </c>
      <c r="B40" s="23" t="inlineStr">
        <is>
          <t>Brasil busca título inédito da Copa do Mundo feminina de vôlei; veja equipes - LANCE!</t>
        </is>
      </c>
      <c r="C40" s="23" t="inlineStr">
        <is>
          <t>Copa Feminina 2027</t>
        </is>
      </c>
      <c r="D40" s="23" t="inlineStr">
        <is>
          <t>Brasil</t>
        </is>
      </c>
      <c r="E40" s="23" t="inlineStr">
        <is>
          <t>lance.com.br</t>
        </is>
      </c>
      <c r="F40" s="23" t="inlineStr">
        <is>
          <t>https://news.google.com/rss/articles/CBMisAFBVV95cUxOcW8wWE9aODFJMkhSVHJrUUhpY0hSQ3hoeUVLX0h6VURlZW1vYnE3RWJyNlYtV1VUc09VNmpUMlBzczBER1Y2MjBWMkFlT2pvQkMwYkFPTFpPWlBFX2pTS2xhX3NLb2NpcjhkeU5rMlRORmVWeDVuRVpQR0l3cXdvTWJldW5wWmtxWnljRGcwVmE5NVJTemsydkJnTTFZTVdZcF9ESjlTd2FrbzhDaHZOTA?oc=5</t>
        </is>
      </c>
      <c r="G40" s="23" t="inlineStr">
        <is>
          <t>Neutro</t>
        </is>
      </c>
      <c r="H40" s="23" t="inlineStr">
        <is>
          <t>Médio</t>
        </is>
      </c>
      <c r="I40" s="23" t="inlineStr">
        <is>
          <t>Fonte: lance.com.br. Descoberta via Google News; URL editorial direta não resolvida automaticamente.</t>
        </is>
      </c>
    </row>
    <row r="41">
      <c r="A41" s="32" t="n">
        <v>46301</v>
      </c>
      <c r="B41" s="23" t="inlineStr">
        <is>
          <t>Prefeitura de Belo Horizonte faz reunião de planejamento para Copa do Mundo Feminina 2027 - O TEMPO</t>
        </is>
      </c>
      <c r="C41" s="23" t="inlineStr">
        <is>
          <t>Copa Feminina 2027</t>
        </is>
      </c>
      <c r="D41" s="23" t="inlineStr">
        <is>
          <t>Brasil</t>
        </is>
      </c>
      <c r="E41" s="23" t="inlineStr">
        <is>
          <t>otempo.com.br</t>
        </is>
      </c>
      <c r="F41" s="23" t="inlineStr">
        <is>
          <t>https://news.google.com/rss/articles/CBMi4wFBVV95cUxNN0tQcmdqRFNsb2xrUjNMTFJqVlM1djV6dWJVR2N5b0YtdnJFUkRGREoyeElLdzV2bTZlejR2Z0QxNjF4bk01NUJyd1Z1TUJVV1BaMjVpanFWVDVsVVFRUl93S3BJSXFEQ2ZuUjAxb0xqcV8zNm5lMWswZnZOV29EZHZhM2FLTWxWcDFzN0xxR2IyMVNTLW1ac243N3FVRDQzT1RHLXFtODVyUGRxOHFFV1dBYTY1VDhJazZ3UGdMQkRIckJ4OFZYanViX2xaY0R4dW11VWZ3SDRfOWhiMzV5TkJsVQ?oc=5</t>
        </is>
      </c>
      <c r="G41" s="23" t="inlineStr">
        <is>
          <t>Neutro</t>
        </is>
      </c>
      <c r="H41" s="23" t="inlineStr">
        <is>
          <t>Médio</t>
        </is>
      </c>
      <c r="I41" s="23" t="inlineStr">
        <is>
          <t>Fonte: otempo.com.br. Descoberta via Google News; URL editorial direta não resolvida automaticamente.</t>
        </is>
      </c>
    </row>
    <row r="42">
      <c r="A42" s="32" t="n">
        <v>46301</v>
      </c>
      <c r="B42" s="23" t="inlineStr">
        <is>
          <t>Zagueira formada pelo Inter é convocada para amistoso da Seleção Brasileira Feminina - GZH</t>
        </is>
      </c>
      <c r="C42" s="23" t="inlineStr">
        <is>
          <t>Copa Feminina 2027</t>
        </is>
      </c>
      <c r="D42" s="23" t="inlineStr">
        <is>
          <t>Brasil</t>
        </is>
      </c>
      <c r="E42" s="23" t="inlineStr">
        <is>
          <t>gzh.com.br</t>
        </is>
      </c>
      <c r="F42" s="23" t="inlineStr">
        <is>
          <t>https://news.google.com/rss/articles/CBMimAJBVV95cUxNRGRfVXVmaXRRZ29ueE42V0wtYUN0TmVOTTRqTk1EVXlvU01SYzc5VGxTWlFJbUNzQUl0NllVZzlOaTA5ZHBuX25qakptUnZ3N1puTFNOOXh4SE5RcnAwbXBad2JqVjFkcXp4bWNDTXp5MlZxMlcxeEJDRXpMWk1Wdms1OVRvV3F3dlQ0YVNXMEo5V3VjZnNRZXhkX3dNaDByYlRzRGVhT1JLcncydGxDT2t2NXhWR3pMVWlndUNzejlXOXFSRHNLWTZhT1Z2STZSQmt3WE16RU5Hd3dSZlRSX0xNdjVTTEM5REZZSndQQWFQbWNvYy1oWjd4a3lvelZfQVdhQkpXeFNaS0prNGFRM3J3NUdUMFls?oc=5</t>
        </is>
      </c>
      <c r="G42" s="23" t="inlineStr">
        <is>
          <t>Neutro</t>
        </is>
      </c>
      <c r="H42" s="23" t="inlineStr">
        <is>
          <t>Médio</t>
        </is>
      </c>
      <c r="I42" s="23" t="inlineStr">
        <is>
          <t>Fonte: gzh.com.br. Descoberta via Google News; URL editorial direta não resolvida automaticamente.</t>
        </is>
      </c>
    </row>
    <row r="43">
      <c r="A43" s="32" t="n">
        <v>46300</v>
      </c>
      <c r="B43" s="23" t="inlineStr">
        <is>
          <t>Brasil x Argentina: datas, horários e onde assistir os amistosos do futebol feminino - Exame</t>
        </is>
      </c>
      <c r="C43" s="23" t="inlineStr">
        <is>
          <t>Copa Feminina 2027</t>
        </is>
      </c>
      <c r="D43" s="23" t="inlineStr">
        <is>
          <t>Brasil</t>
        </is>
      </c>
      <c r="E43" s="23" t="inlineStr">
        <is>
          <t>exame.com</t>
        </is>
      </c>
      <c r="F43" s="23" t="inlineStr">
        <is>
          <t>https://news.google.com/rss/articles/CBMirgFBVV95cUxOMXJUWjZOa25pNU9QSGlBdkxmYlFyQW1YM1c1Z215ODRfUldzd0FwNHY0VC1ZVXVWb0FJOWMybTY0X1lHS1lVUjViemtsSzRCSmJfMzl6dTNIcFBiT3d1OFBNR0xwUklLZEZ5WC1QbnV4OWladTJlaXFwcENrcGVTT2hIUGFBT3hlTFhaeHZVcDQtY2tYQU9sUUR6TVJ6cnRwU0RBR2V3aFZXQTJCVVE?oc=5</t>
        </is>
      </c>
      <c r="G43" s="23" t="inlineStr">
        <is>
          <t>Neutro</t>
        </is>
      </c>
      <c r="H43" s="23" t="inlineStr">
        <is>
          <t>Médio</t>
        </is>
      </c>
      <c r="I43" s="23" t="inlineStr">
        <is>
          <t>Fonte: exame.com. Descoberta via Google News; URL editorial direta não resolvida automaticamente.</t>
        </is>
      </c>
    </row>
    <row r="44">
      <c r="A44" s="32" t="n">
        <v>46287</v>
      </c>
      <c r="B44" s="23" t="inlineStr">
        <is>
          <t>CBF convoca 28 jogadoras para amistosos contra a Argentina de olho na Copa do Mundo Feminina 2027 - www.gov.br</t>
        </is>
      </c>
      <c r="C44" s="23" t="inlineStr">
        <is>
          <t>Copa Feminina 2027</t>
        </is>
      </c>
      <c r="D44" s="23" t="inlineStr">
        <is>
          <t>Brasil</t>
        </is>
      </c>
      <c r="E44" s="23" t="inlineStr">
        <is>
          <t>gov.br</t>
        </is>
      </c>
      <c r="F44" s="23" t="inlineStr">
        <is>
          <t>https://news.google.com/rss/articles/CBMi6AFBVV95cUxOdXVLNnB0UzJyTFNQdzFRUmpWX191Zk55VXBmRWNieDZqdEVmeTV4eXhIc0lYVm9JSG1kNF8ta3YyWXJkbllYcTBwaXpnS1o4V19MWldfaHVZZ0g1THNSelM1bTQ4TXY0UVRJbmNiWlp5QlhaM1BYbFRhMnJXR0dLSGJaUGtzY0FFd2RhS0d5SE1BcnlRbTNGMTUxcnUzZThGeUxDSGZIaklYSXd6ZFFoc0hKeTRDLXlJVlloOXM5MGdXbFlqM3VyVi13VWJ5NW80QjQ5a2VEcXJ4SW1sQXhuM0lmM19CNGJ3?oc=5</t>
        </is>
      </c>
      <c r="G44" s="23" t="inlineStr">
        <is>
          <t>Neutro</t>
        </is>
      </c>
      <c r="H44" s="23" t="inlineStr">
        <is>
          <t>Médio</t>
        </is>
      </c>
      <c r="I44" s="23" t="inlineStr">
        <is>
          <t>Fonte: gov.br. Descoberta via Google News; URL editorial direta não resolvida automaticamente.</t>
        </is>
      </c>
    </row>
    <row r="45">
      <c r="A45" s="32" t="n">
        <v>46301</v>
      </c>
      <c r="B45" s="23" t="inlineStr">
        <is>
          <t>Amazonas volta a ter transfer ban da Fifa e fica impedido de registrar jogadores para 2027 - ge</t>
        </is>
      </c>
      <c r="C45" s="23" t="inlineStr">
        <is>
          <t>Copa Feminina 2027</t>
        </is>
      </c>
      <c r="D45" s="23" t="inlineStr">
        <is>
          <t>Brasil</t>
        </is>
      </c>
      <c r="E45" s="23" t="inlineStr">
        <is>
          <t>ge.globo.com</t>
        </is>
      </c>
      <c r="F45" s="23" t="inlineStr">
        <is>
          <t>https://news.google.com/rss/articles/CBMi-AFBVV95cUxQNWFhdDE1NWlyRjZXa09oNTVLbUItUnAzRDc2YW9HTk05ZkloOHg1TWVJQS1JOElQWVBuTXZhajk0MExRdmlnY09HYU1WU2pMV0dXM0pXZVB2TzF0U1pMTUhHTzN1eUhlNkpfT0I2YTV2OV80WXVJQklZbm0tU1FlcUZFeDQwbEx2bk50bzZfbkRlZHVuSDViQzI2dDlVbDJiZlplYUZxNnlMWG5TaTRwYTBHbGtHZ29CY2tSSWxJb0RkSEM0SDRGRVN5MlVrTHNEUUdTaDNVLWhXeTd3OEZaZ1o2TFlHQUtRQzlHMnpaVmpDZkZ3MnJOcdIBhwJBVV95cUxPblZHc29Qd3l3bnhfdWJpSUdncG5ycGFsdXhTR0gyczE3VkZDZEhoYlMxdkNiXzZjT1Zrc2c4TXJsdFlYWGRPY2N4cHFZN1pETk5xME9UR2E4TTZNTUdSdEoySUVVNXh5UHJDQ3prQkVGcEZqbHBNaTAxYmZQUGEzTzlJZWlkNlVMYTFLLThEZmdrZjlocTM5NEM5X2tweWhyVzZyR2JKYjl1NXpfSlpNTWIxZUNDOEM4R09XVG9fVGNMR2F1Zk54QW5zX0FtUmZBcERtVVpGMnhCME50VGVlRWFPNFJzOERWSXJtUTBORUQ0bXlUeUNHdmpzNFloSExnSnRDWll1TQ?oc=5</t>
        </is>
      </c>
      <c r="G45" s="23" t="inlineStr">
        <is>
          <t>Neutro</t>
        </is>
      </c>
      <c r="H45" s="23" t="inlineStr">
        <is>
          <t>Médio</t>
        </is>
      </c>
      <c r="I45" s="23" t="inlineStr">
        <is>
          <t>Fonte: ge.globo.com. Descoberta via Google News; URL editorial direta não resolvida automaticamente.</t>
        </is>
      </c>
    </row>
    <row r="46">
      <c r="A46" s="32" t="n">
        <v>46300</v>
      </c>
      <c r="B46" s="23" t="inlineStr">
        <is>
          <t>Como será a passagem da Seleção Brasileira Feminina por Porto Alegre; veja a programação - GZH</t>
        </is>
      </c>
      <c r="C46" s="23" t="inlineStr">
        <is>
          <t>Copa Feminina 2027</t>
        </is>
      </c>
      <c r="D46" s="23" t="inlineStr">
        <is>
          <t>Brasil</t>
        </is>
      </c>
      <c r="E46" s="23" t="inlineStr">
        <is>
          <t>gzh.com.br</t>
        </is>
      </c>
      <c r="F46" s="23" t="inlineStr">
        <is>
          <t>https://news.google.com/rss/articles/CBMinAJBVV95cUxPSm1BNFE0YlBOcDJZOWFOWEJPMy1yWFFOLTFTOFN6TnZqSWp3ZGY4X1NIeWJicEd0T1J4MDF3WFptME5hVllKbnZDZmMySUZlQzkwQ045d0FpTF9HMFNkT2d3Y2taNTM4X2RpY25qa252Y2lHYUVNZTczMnpOa2RXeE5qRnZfbDVEcnZBNFZTUllmVVh3eENIMk90am1HZGtGMWNfWV9SVllxdkRBVVVmSnFoaWlxOFpYcm1fRkJ1SFlHcjJUVXAwdTlUWmwyM1c4U2V4RzZEREIzMlp2eHZwdTd0UU5ZZ0Z2ME93OGQ0bE9iWFRqUnlzbkNPS1pGV0ZxUE5mYXl5QU93dXdjbVdCQXJDd1NyczNieV8waw?oc=5</t>
        </is>
      </c>
      <c r="G46" s="23" t="inlineStr">
        <is>
          <t>Neutro</t>
        </is>
      </c>
      <c r="H46" s="23" t="inlineStr">
        <is>
          <t>Médio</t>
        </is>
      </c>
      <c r="I46" s="23" t="inlineStr">
        <is>
          <t>Fonte: gzh.com.br. Descoberta via Google News; URL editorial direta não resolvida automaticamente.</t>
        </is>
      </c>
    </row>
    <row r="47">
      <c r="A47" s="32" t="n">
        <v>46300</v>
      </c>
      <c r="B47" s="23" t="inlineStr">
        <is>
          <t>Porto Alegre recepciona Seleção Argentina e confirma 18,7 mil ingressos vendidos</t>
        </is>
      </c>
      <c r="C47" s="23" t="inlineStr">
        <is>
          <t>Cidades-sede e Seleções</t>
        </is>
      </c>
      <c r="D47" s="23" t="inlineStr">
        <is>
          <t>Porto Alegre/RS</t>
        </is>
      </c>
      <c r="E47" s="23" t="inlineStr">
        <is>
          <t>prefeitura.poa.br</t>
        </is>
      </c>
      <c r="F47" s="23" t="inlineStr">
        <is>
          <t>https://prefeitura.poa.br/secopa2027/noticias/prefeitura-recepciona-jogadoras-da-selecao-argentina-na-capital</t>
        </is>
      </c>
      <c r="G47" s="23" t="inlineStr">
        <is>
          <t>Positivo</t>
        </is>
      </c>
      <c r="H47" s="23" t="inlineStr">
        <is>
          <t>Médio</t>
        </is>
      </c>
      <c r="I47" s="23" t="inlineStr">
        <is>
          <t>A Prefeitura de Porto Alegre recepcionou a Seleção Argentina para o amistoso contra o Brasil. A delegação realizou atividade na Orla do Guaíba e utilizará o CT Hélio Dourado; o município também confirmou 18,7 mil ingressos vendidos para o jogo de 10 de outubro no Beira-Rio, estádio-sede da Copa Feminina 2027.</t>
        </is>
      </c>
    </row>
    <row r="48">
      <c r="A48" s="32" t="n">
        <v>46300</v>
      </c>
      <c r="B48" s="23" t="inlineStr">
        <is>
          <t>Presidente da Federação Gaúcha de Futebol visita Seleção Feminina em Porto Alegre</t>
        </is>
      </c>
      <c r="C48" s="23" t="inlineStr">
        <is>
          <t>Seleção Brasileira Feminina</t>
        </is>
      </c>
      <c r="D48" s="23" t="inlineStr">
        <is>
          <t>Porto Alegre/RS</t>
        </is>
      </c>
      <c r="E48" s="23" t="inlineStr">
        <is>
          <t>cbf.com.br</t>
        </is>
      </c>
      <c r="F48" s="23" t="inlineStr">
        <is>
          <t>https://www.cbf.com.br/selecao-brasileira/noticias/noticias/selecao-feminina-principal/presidente-da-federacao-gaucha-de-futebol-visita-selecao-feminina-em-porto-alegre</t>
        </is>
      </c>
      <c r="G48" s="23" t="inlineStr">
        <is>
          <t>Positivo</t>
        </is>
      </c>
      <c r="H48" s="23" t="inlineStr">
        <is>
          <t>Médio</t>
        </is>
      </c>
      <c r="I48" s="23" t="inlineStr">
        <is>
          <t>Luciano Hoscman, presidente da Federação Gaúcha de Futebol, visitou a Seleção Brasileira Feminina em Porto Alegre antes do amistoso contra a Argentina. O encontro destacou o marco histórico da retomada do futebol feminino no Rio Grande do Sul e a conexão da equipe com a torcida no ciclo da Copa de 2027.</t>
        </is>
      </c>
    </row>
    <row r="49">
      <c r="A49" s="32" t="n">
        <v>46300</v>
      </c>
      <c r="B49" s="23" t="inlineStr">
        <is>
          <t>Seleção Feminina reúne atletas das cinco regiões do Brasil na Data FIFA de outubro</t>
        </is>
      </c>
      <c r="C49" s="23" t="inlineStr">
        <is>
          <t>Seleção Brasileira Feminina</t>
        </is>
      </c>
      <c r="D49" s="23" t="inlineStr">
        <is>
          <t>Brasil</t>
        </is>
      </c>
      <c r="E49" s="23" t="inlineStr">
        <is>
          <t>cbf.com.br</t>
        </is>
      </c>
      <c r="F49" s="23" t="inlineStr">
        <is>
          <t>https://www.cbf.com.br/selecao-brasileira/noticias/selecao-feminina-principal/a/de-norte-a-sul-selecao-feminina-reune-diferentes-regioes-do-brasil-na-data-fifa-de-outubro</t>
        </is>
      </c>
      <c r="G49" s="23" t="inlineStr">
        <is>
          <t>Positivo</t>
        </is>
      </c>
      <c r="H49" s="23" t="inlineStr">
        <is>
          <t>Médio</t>
        </is>
      </c>
      <c r="I49" s="23" t="inlineStr">
        <is>
          <t>A lista da Seleção Brasileira Feminina principal para os amistosos contra a Argentina reúne jogadoras das cinco regiões do país. Os jogos serão disputados em 10 de outubro, em Porto Alegre, e 13 de outubro, na Arena Pernambuco, dentro da preparação para a Copa Feminina 2027.</t>
        </is>
      </c>
    </row>
    <row r="50">
      <c r="A50" s="32" t="n">
        <v>46300</v>
      </c>
      <c r="B50" s="23" t="inlineStr">
        <is>
          <t>Com Copa do Mundo, Ge TV fará transmissões de 110 jogos de futebol feminino em 2027 - Máquina do Esporte</t>
        </is>
      </c>
      <c r="C50" s="23" t="inlineStr">
        <is>
          <t>Copa Feminina 2027</t>
        </is>
      </c>
      <c r="D50" s="23" t="inlineStr">
        <is>
          <t>Brasil</t>
        </is>
      </c>
      <c r="E50" s="23" t="inlineStr">
        <is>
          <t>machinadoesporte.com.br</t>
        </is>
      </c>
      <c r="F50" s="23" t="inlineStr">
        <is>
          <t>https://news.google.com/rss/articles/CBMizAFBVV95cUxPZmg2TnYySlNDd2hnWlM4OU85NVhMSFVRUEJ1VURlazVtNml5RnBzbV9yWVpJN0c3VjBULWlQWEg0RGUxdlZUX21JN2pjV24zbnB2WGxCS05JLWItRHZVY0dfbmtBb1JpY3RSblRoQ0dwak5oVWc5NVBreWx6aGtqNldFS0NxMC1ITGRlckR5Ymw4RG15ei1RNnJRV2dEY2M0Tm8zNW1xOURRWEkzTjZvcUlFQVlUOW55QjdrYUU3eVkzdm1QNGxBQkRoZEQ?oc=5</t>
        </is>
      </c>
      <c r="G50" s="23" t="inlineStr">
        <is>
          <t>Neutro</t>
        </is>
      </c>
      <c r="H50" s="23" t="inlineStr">
        <is>
          <t>Médio</t>
        </is>
      </c>
      <c r="I50" s="23" t="inlineStr">
        <is>
          <t>Fonte: machinadoesporte.com.br. Descoberta via Google News; URL editorial direta não resolvida automaticamente.</t>
        </is>
      </c>
    </row>
    <row r="51">
      <c r="A51" s="32" t="n">
        <v>46300</v>
      </c>
      <c r="B51" s="23" t="inlineStr">
        <is>
          <t>Carol Gil é convocada para amistosos da Seleção Feminina contra a Argentina</t>
        </is>
      </c>
      <c r="C51" s="23" t="inlineStr">
        <is>
          <t>Seleção Brasileira principal / convocação / amistosos</t>
        </is>
      </c>
      <c r="D51" s="23" t="inlineStr">
        <is>
          <t>Porto Alegre/RS e Recife/PE</t>
        </is>
      </c>
      <c r="E51" s="23" t="inlineStr">
        <is>
          <t>CBF</t>
        </is>
      </c>
      <c r="F51" s="23" t="inlineStr">
        <is>
          <t>https://www.cbf.com.br/selecao-brasileira/noticias/selecao-feminina-principal/a/carol-gil-e-cconvocada-para-a-amistosos-da-selecao-feminina</t>
        </is>
      </c>
      <c r="G51" s="23" t="inlineStr">
        <is>
          <t>Neutro</t>
        </is>
      </c>
      <c r="H51" s="23" t="inlineStr">
        <is>
          <t>Médio</t>
        </is>
      </c>
      <c r="I51" s="23" t="inlineStr">
        <is>
          <t>Arthur Elias convocou a zagueira Carol Gil, do São Paulo, para substituir Thais Ferreira, afastada por desconforto no joelho esquerdo. A mudança ocorre durante a concentração da Seleção Brasileira Feminina principal para os amistosos contra a Argentina em 10 de outubro, no Beira-Rio, e 13 de outubro, na Arena de Pernambuco, dentro da preparação para a Copa de 2027.</t>
        </is>
      </c>
    </row>
    <row r="52">
      <c r="A52" s="32" t="n">
        <v>46293</v>
      </c>
      <c r="B52" s="23" t="inlineStr">
        <is>
          <t>Arena Fonte Nova adapta naming rights após proibição de patrocínios de bets</t>
        </is>
      </c>
      <c r="C52" s="23" t="inlineStr">
        <is>
          <t>Estádio / patrocínio / marcas</t>
        </is>
      </c>
      <c r="D52" s="23" t="inlineStr">
        <is>
          <t>Salvador/BA</t>
        </is>
      </c>
      <c r="E52" s="23" t="inlineStr">
        <is>
          <t>Acorda Cidade</t>
        </is>
      </c>
      <c r="F52" s="23" t="inlineStr">
        <is>
          <t>https://www.acordacidade.com.br/esportes/nova-regra-sobre-bets-obriga-arena-fonte-nova-a-retirar-casa-de-apostas-do-nome/</t>
        </is>
      </c>
      <c r="G52" s="23" t="inlineStr">
        <is>
          <t>Neutro</t>
        </is>
      </c>
      <c r="H52" s="23" t="inlineStr">
        <is>
          <t>Médio</t>
        </is>
      </c>
      <c r="I52" s="23" t="inlineStr">
        <is>
          <t>Em nota encaminhada ao Bahia Notícias , parceiro do Acorda Cidade, a administração da praça esportiva afirmou que a medida já está sendo observada desde a entrada em vigor da MP. “A Arena Fonte Nova irá atender às determinações da Medida Provisória nº 1.394, de 25 de setembro de 2026 (MP 1.394/2026), e já em vigor desde a publicação”, informou. A determinação afeta diretamente o atual naming rights da Fonte Nova.</t>
        </is>
      </c>
    </row>
    <row r="53">
      <c r="A53" s="32" t="n">
        <v>46297</v>
      </c>
      <c r="B53" s="23" t="inlineStr">
        <is>
          <t>TV Brasil fecha acordo com a FPF para exibir 41 partidas de futebol feminino em 2026 e 2027</t>
        </is>
      </c>
      <c r="C53" s="23" t="inlineStr">
        <is>
          <t>Mídia / transmissão / federação</t>
        </is>
      </c>
      <c r="D53" s="23" t="inlineStr">
        <is>
          <t>Brasil</t>
        </is>
      </c>
      <c r="E53" s="23" t="inlineStr">
        <is>
          <t>Agência Brasil</t>
        </is>
      </c>
      <c r="F53" s="23" t="inlineStr">
        <is>
          <t>https://agenciabrasil.ebc.com.br/esportes/noticia/2026-10/sp-tv-brasil-fecha-acordo-para-exibir-41-partidas-de-futebol-feminino</t>
        </is>
      </c>
      <c r="G53" s="23" t="inlineStr">
        <is>
          <t>Positivo</t>
        </is>
      </c>
      <c r="H53" s="23" t="inlineStr">
        <is>
          <t>Médio</t>
        </is>
      </c>
      <c r="I53" s="23" t="inlineStr">
        <is>
          <t>A TV Brasil firmou acordo com a Federação Paulista de Futebol para transmitir 41 partidas em 2026 e 2027, incluindo competições profissionais e de formação. A EBC relaciona a parceria à preparação para a Copa do Mundo Feminina de 2027 e à continuidade da modalidade na televisão pública.</t>
        </is>
      </c>
    </row>
    <row r="54">
      <c r="A54" s="32" t="n">
        <v>46300</v>
      </c>
      <c r="B54" s="23" t="inlineStr">
        <is>
          <t>TV Brasil exibe especial sobre desafios e futuro do futebol feminino antes da Copa 2027</t>
        </is>
      </c>
      <c r="C54" s="23" t="inlineStr">
        <is>
          <t>Mídia / legado / visibilidade</t>
        </is>
      </c>
      <c r="D54" s="23" t="inlineStr">
        <is>
          <t>Brasil</t>
        </is>
      </c>
      <c r="E54" s="23" t="inlineStr">
        <is>
          <t>TV Brasil</t>
        </is>
      </c>
      <c r="F54" s="23" t="inlineStr">
        <is>
          <t>https://tvbrasil.ebc.com.br/caminhos-da-reportagem/2026/10/elas-em-campo-futebol-paixao-e-resiliencia?page=1</t>
        </is>
      </c>
      <c r="G54" s="23" t="inlineStr">
        <is>
          <t>Positivo</t>
        </is>
      </c>
      <c r="H54" s="23" t="inlineStr">
        <is>
          <t>Médio</t>
        </is>
      </c>
      <c r="I54" s="23" t="inlineStr">
        <is>
          <t>O Caminhos da Reportagem exibe em 5 de outubro, às 23h, o especial “Elas em campo: futebol, paixão e resiliência”. O programa reúne atletas, especialistas, gestoras e mulheres da modalidade para discutir avanços e desafios do futebol feminino a menos de um ano da Copa de 2027 no Brasil.</t>
        </is>
      </c>
    </row>
    <row r="55">
      <c r="A55" s="32" t="n">
        <v>46300</v>
      </c>
      <c r="B55" s="23" t="inlineStr">
        <is>
          <t>Copa do Mundo Feminina 2027: quem já está classificado, onde serão os jogos e quando ocorre o sorteio dos grupos - GZH</t>
        </is>
      </c>
      <c r="C55" s="23" t="inlineStr">
        <is>
          <t>Copa Feminina 2027</t>
        </is>
      </c>
      <c r="D55" s="23" t="inlineStr">
        <is>
          <t>Brasil</t>
        </is>
      </c>
      <c r="E55" s="23" t="inlineStr">
        <is>
          <t>gzh.com.br</t>
        </is>
      </c>
      <c r="F55" s="23" t="inlineStr">
        <is>
          <t>https://news.google.com/rss/articles/CBMiuwJBVV95cUxQV2ktOWpWQ0xWcHBUTGJlWGZvMG5xNEdWUXcxeVFjZzZ0enhZbnQ3YkNPMkpPU1BycHVlb1hxbk1xeUxfVVJTdXJPcUlnV19CTXFCOGwxc0NjVUhOTExVLXM5T2txTkdyZmVpMjBZTUpmSk9fc1diSVU2SFNxSjF6bHRoYTVBNkhXTDMzTW1qVENMbGhaZTE5aVU4WDl4T2NDd1lULUQtaWFjWXQ5Skk1Ny1SNU5lcTV0bHFnTXpNWG42Yk1IVTV6VWxrZ1hSSURJb19YY1djS3JzdHpFUGtHaHU1OGV0TFZtMDBWYW9XUlc0UFNQeWF6WlJsTTRPOTJVMjQ2UWhtUDFDcnNQVFdYMzRsdkEzRVIwc0JGX2FtN0puZ1hYOWloM213RXoxbzlQVkEzX3VkVWhhck0?oc=5</t>
        </is>
      </c>
      <c r="G55" s="23" t="inlineStr">
        <is>
          <t>Neutro</t>
        </is>
      </c>
      <c r="H55" s="23" t="inlineStr">
        <is>
          <t>Médio</t>
        </is>
      </c>
      <c r="I55" s="23" t="inlineStr">
        <is>
          <t>Fonte: gzh.com.br. Descoberta via Google News; URL editorial direta não resolvida automaticamente.</t>
        </is>
      </c>
    </row>
    <row r="56">
      <c r="A56" s="32" t="n">
        <v>46299</v>
      </c>
      <c r="B56" s="23" t="inlineStr">
        <is>
          <t>A um ano da Copa Feminina, Mônica Esperidião assume como diretora de estratégia da FSports - Máquina do Esporte</t>
        </is>
      </c>
      <c r="C56" s="23" t="inlineStr">
        <is>
          <t>Copa Feminina 2027</t>
        </is>
      </c>
      <c r="D56" s="23" t="inlineStr">
        <is>
          <t>Brasil</t>
        </is>
      </c>
      <c r="E56" s="23" t="inlineStr">
        <is>
          <t>machinadoesporte.com.br</t>
        </is>
      </c>
      <c r="F56" s="23" t="inlineStr">
        <is>
          <t>https://news.google.com/rss/articles/CBMi1gFBVV95cUxNbndPYlNkZ281TldDVl9yQ182SzJkRGxTR0I2ZTBpVzI5cDkzLWYtQjFCaGRvdmdJUjVZV1RqeF9vWk9nckJjbjFDSWtGeXV0SnpLNU5td0ZMcm43eGcyUmpVNGFRTGVOUDBBdE9oLVVneUxWMldjMkQ5Rlo1d3N5NC13NnU2QVVCcFd4Vl9wX2JTN0lIa3NGd1h6UnI1RGFsVlpIVm9KdUljWVM1VHI4a2JQeHVwSU83WWxiM3R6cDNqMjdNTXZsY0J0b3FEeXZxeGJwRlJ3?oc=5</t>
        </is>
      </c>
      <c r="G56" s="23" t="inlineStr">
        <is>
          <t>Neutro</t>
        </is>
      </c>
      <c r="H56" s="23" t="inlineStr">
        <is>
          <t>Médio</t>
        </is>
      </c>
      <c r="I56" s="23" t="inlineStr">
        <is>
          <t>Fonte: machinadoesporte.com.br. Descoberta via Google News; URL editorial direta não resolvida automaticamente.</t>
        </is>
      </c>
    </row>
    <row r="57">
      <c r="A57" s="32" t="n">
        <v>46295</v>
      </c>
      <c r="B57" s="23" t="inlineStr">
        <is>
          <t>Lei permite criação de SAF dedicada apenas ao futebol feminino</t>
        </is>
      </c>
      <c r="C57" s="23" t="inlineStr">
        <is>
          <t>Legislação / investimento / profissionalização</t>
        </is>
      </c>
      <c r="D57" s="23" t="inlineStr">
        <is>
          <t>Brasil</t>
        </is>
      </c>
      <c r="E57" s="23" t="inlineStr">
        <is>
          <t>Câmara dos Deputados</t>
        </is>
      </c>
      <c r="F57" s="23" t="inlineStr">
        <is>
          <t>https://www2.camara.leg.br/atividade-legislativa/comissoes/comissoes-permanentes/cespo/noticias/lei-torna-futebol-feminino-prioridade-na-politica-de-esporte</t>
        </is>
      </c>
      <c r="G57" s="23" t="inlineStr">
        <is>
          <t>Positivo</t>
        </is>
      </c>
      <c r="H57" s="23" t="inlineStr">
        <is>
          <t>Alto</t>
        </is>
      </c>
      <c r="I57" s="23" t="inlineStr">
        <is>
          <t>A Lei nº 15.522 alterou a Lei da Sociedade Anônima do Futebol para permitir a formação de atletas nas modalidades masculina e feminina ou apenas feminina. A mudança abre espaço para SAFs voltadas exclusivamente ao futebol feminino, reduzindo uma barreira estrutural a novos investimentos e à profissionalização da modalidade no ciclo da Copa Feminina 2027.</t>
        </is>
      </c>
    </row>
    <row r="58">
      <c r="A58" s="32" t="n">
        <v>46294</v>
      </c>
      <c r="B58" s="23" t="inlineStr">
        <is>
          <t>Lei torna futebol feminino prioridade na política de esporte - senado.leg.br</t>
        </is>
      </c>
      <c r="C58" s="23" t="inlineStr">
        <is>
          <t>Copa Feminina 2027</t>
        </is>
      </c>
      <c r="D58" s="23" t="inlineStr">
        <is>
          <t>Brasil</t>
        </is>
      </c>
      <c r="E58" s="23" t="inlineStr">
        <is>
          <t>senado.leg.br</t>
        </is>
      </c>
      <c r="F58" s="23" t="inlineStr">
        <is>
          <t>https://news.google.com/rss/articles/CBMiuwFBVV95cUxOV2tobFE1VC1VNEowRGxMck1pWEF2Tlkwa3BRM3JXWWFzQ0M4am1LaEZBM3dNcUdKS3lQaHZaUnBCR01LY3o4alF0RjlpTFJSM3d0MWN0ME9nRHduOGUydDBTT1oxcXJkLVhncnM2XzAyUGUwY0VGeHkxOXZJRy1pV25FbHltSExCVGtKYlZUN3JNRUdnaTU1XzJQUG55SDNiLXR6X0JmRVdOcFl5eFBfLWZKMUdFN3lmaUZz?oc=5</t>
        </is>
      </c>
      <c r="G58" s="23" t="inlineStr">
        <is>
          <t>Neutro</t>
        </is>
      </c>
      <c r="H58" s="23" t="inlineStr">
        <is>
          <t>Médio</t>
        </is>
      </c>
      <c r="I58" s="23" t="inlineStr">
        <is>
          <t>Fonte: senado.leg.br. Descoberta via Google News; URL editorial direta não resolvida automaticamente.</t>
        </is>
      </c>
    </row>
    <row r="59">
      <c r="A59" s="33" t="n">
        <v>46297</v>
      </c>
      <c r="B59" s="23" t="inlineStr">
        <is>
          <t>Futebol feminino diversifica patrocinadores com avanço da Petrobras e de grandes marcas</t>
        </is>
      </c>
      <c r="C59" s="23" t="inlineStr">
        <is>
          <t>Patrocínios / marcas / competições nacionais</t>
        </is>
      </c>
      <c r="D59" s="23" t="inlineStr">
        <is>
          <t>Brasil</t>
        </is>
      </c>
      <c r="E59" s="23" t="inlineStr">
        <is>
          <t>Veja</t>
        </is>
      </c>
      <c r="F59" s="23" t="inlineStr">
        <is>
          <t>https://veja.abril.com.br/coluna/linha-de-frente/sem-bets-competicoes-de-futebol-feminino-diversificam-patrocinios/</t>
        </is>
      </c>
      <c r="G59" s="23" t="inlineStr">
        <is>
          <t>Positivo</t>
        </is>
      </c>
      <c r="H59" s="23" t="inlineStr">
        <is>
          <t>Médio</t>
        </is>
      </c>
      <c r="I59" s="23" t="inlineStr">
        <is>
          <t>Com competições femininas sem dependência concentrada de casas de apostas, a Petrobras assumiu posições de destaque na Brasil Ladies Cup, na Copa Maria Bonita e no Paulistão Feminino. As competições da CBF também reúnem marcas de sete setores, em contratos médios de três anos, reforçando a diversificação comercial da modalidade no ciclo da Copa Feminina 2027.</t>
        </is>
      </c>
    </row>
    <row r="60">
      <c r="A60" s="33" t="n">
        <v>46299</v>
      </c>
      <c r="B60" s="23" t="inlineStr">
        <is>
          <t>Seleção Feminina inicia concentração em Porto Alegre para amistosos contra a Argentina</t>
        </is>
      </c>
      <c r="C60" s="23" t="inlineStr">
        <is>
          <t>Seleção Brasileira principal / preparação / Data FIFA</t>
        </is>
      </c>
      <c r="D60" s="23" t="inlineStr">
        <is>
          <t>Porto Alegre/RS</t>
        </is>
      </c>
      <c r="E60" s="23" t="inlineStr">
        <is>
          <t>CBF</t>
        </is>
      </c>
      <c r="F60" s="23" t="inlineStr">
        <is>
          <t>https://www.cbf.com.br/selecao-brasileira/noticias/selecao-feminina-principal/a/selecao-feminina-comeca-a-se-apresentar-para-amistosos-com-a-argentina</t>
        </is>
      </c>
      <c r="G60" s="23" t="inlineStr">
        <is>
          <t>Positivo</t>
        </is>
      </c>
      <c r="H60" s="23" t="inlineStr">
        <is>
          <t>Médio</t>
        </is>
      </c>
      <c r="I60" s="23" t="inlineStr">
        <is>
          <t>A Seleção Brasileira Feminina principal começou a se apresentar em Porto Alegre para os amistosos contra a Argentina. A delegação ficará concentrada na capital gaúcha durante a preparação para os jogos de 10 de outubro, no Beira-Rio, e 13 de outubro, na Arena de Pernambuco, dentro do ciclo para a Copa Feminina 2027.</t>
        </is>
      </c>
    </row>
    <row r="61">
      <c r="A61" s="33" t="n">
        <v>46290</v>
      </c>
      <c r="B61" s="23" t="inlineStr">
        <is>
          <t>Amistosos Brasil x Argentina se aproximam de 28 mil ingressos vendidos</t>
        </is>
      </c>
      <c r="C61" s="23" t="inlineStr">
        <is>
          <t>Seleção Brasileira principal / ingressos / engajamento de torcedores</t>
        </is>
      </c>
      <c r="D61" s="23" t="inlineStr">
        <is>
          <t>Porto Alegre/RS e Recife/PE</t>
        </is>
      </c>
      <c r="E61" s="23" t="inlineStr">
        <is>
          <t>GZH</t>
        </is>
      </c>
      <c r="F61" s="23" t="inlineStr">
        <is>
          <t>https://gauchazh.clicrbs.com.br/esportes/futebol-feminino/noticia/2026/09/mais-de-13-mil-ingressos-ja-foram-vendidos-para-amistoso-da-selecao-feminina-contra-a-argentina-o-beira-rio-cmugw1ffk01mr013erkpyob08.html</t>
        </is>
      </c>
      <c r="G61" s="23" t="inlineStr">
        <is>
          <t>Positivo</t>
        </is>
      </c>
      <c r="H61" s="23" t="inlineStr">
        <is>
          <t>Médio</t>
        </is>
      </c>
      <c r="I61" s="23" t="inlineStr">
        <is>
          <t>Os amistosos da Seleção Brasileira Feminina principal contra a Argentina já somavam 27.976 ingressos vendidos em 25/09/2026: 13.265 para o jogo no Beira-Rio, em 10 de outubro, e 14.711 para a partida na Arena de Pernambuco, em 13 de outubro. O volume indica forte mobilização de torcedores no ciclo de preparação para a Copa Feminina 2027.</t>
        </is>
      </c>
    </row>
    <row r="62">
      <c r="A62" s="33" t="n">
        <v>46298</v>
      </c>
      <c r="B62" s="23" t="inlineStr">
        <is>
          <t>Cruzeiro fecha patrocínio da Mili para a equipe feminina até 2027</t>
        </is>
      </c>
      <c r="C62" s="23" t="inlineStr">
        <is>
          <t>Patrocínio / marcas / futebol feminino</t>
        </is>
      </c>
      <c r="D62" s="23" t="inlineStr">
        <is>
          <t>Belo Horizonte/MG</t>
        </is>
      </c>
      <c r="E62" s="23" t="inlineStr">
        <is>
          <t>O Tempo</t>
        </is>
      </c>
      <c r="F62" s="23" t="inlineStr">
        <is>
          <t>https://www.otempo.com.br/sports/cruzeiro/2026/10/3/cruzeiro-anuncia-novo-patrocinador-e-ja-antecipa-estreia-no-uniforme-do-time-feminino</t>
        </is>
      </c>
      <c r="G62" s="23" t="inlineStr">
        <is>
          <t>Positivo</t>
        </is>
      </c>
      <c r="H62" s="23" t="inlineStr">
        <is>
          <t>Médio</t>
        </is>
      </c>
      <c r="I62" s="23" t="inlineStr">
        <is>
          <t>O Cruzeiro anunciou a Mili como nova patrocinadora da equipe feminina, com marca na parte frontal da camisa e vínculo válido até dezembro de 2027. O acordo amplia a presença de empresas de bens de consumo no futebol feminino durante o ciclo da Copa do Mundo de 2027.</t>
        </is>
      </c>
    </row>
    <row r="63">
      <c r="A63" s="33" t="n">
        <v>46283</v>
      </c>
      <c r="B63" s="23" t="inlineStr">
        <is>
          <t>Copa do Mundo Feminina 2027 ganha regras específicas para trabalhadores estrangeiros no Brasil - gov.br</t>
        </is>
      </c>
      <c r="C63" s="23" t="inlineStr">
        <is>
          <t>Copa Feminina 2027</t>
        </is>
      </c>
      <c r="D63" s="23" t="inlineStr">
        <is>
          <t>Brasil</t>
        </is>
      </c>
      <c r="E63" s="23" t="inlineStr">
        <is>
          <t>gov.br</t>
        </is>
      </c>
      <c r="F63" s="23" t="inlineStr">
        <is>
          <t>https://news.google.com/rss/articles/CBMi0gFBVV95cUxNREVfNVAyRU15dnVVNHhQXzdtcjNJTHhzSXhzOE1kdFJSeDVGWFlQM2NPMGlGWnNJTjVFbjZfd293SGF2enhkZ09tMUNoSVRNU09YWWM2dmJ4aEtiS1dXaGhVd2c1dkdTMFdMbi11QWFxZDF1Q2FvMEZTeTBJU1Y3dy1XSW5RNE5PZERicXJ4bVFBaUZEUV9fanZUNnhnbl94OVJHN0xtQU5CbXl1QkFCb0hzS3NYSFVKSWN2RjhCcUN1Q2JkbU1QNGVfdWduUnNZOWc?oc=5</t>
        </is>
      </c>
      <c r="G63" s="23" t="inlineStr">
        <is>
          <t>Neutro</t>
        </is>
      </c>
      <c r="H63" s="23" t="inlineStr">
        <is>
          <t>Médio</t>
        </is>
      </c>
      <c r="I63" s="23" t="inlineStr">
        <is>
          <t>Fonte: gov.br. Descoberta via Google News; URL editorial direta não resolvida automaticamente.</t>
        </is>
      </c>
    </row>
    <row r="64">
      <c r="A64" s="33" t="n">
        <v>46298</v>
      </c>
      <c r="B64" s="23" t="inlineStr">
        <is>
          <t>COB Expo debate visibilidade e legado da Copa Feminina 2027</t>
        </is>
      </c>
      <c r="C64" s="23" t="inlineStr">
        <is>
          <t>Legado / comunicação / engajamento de público</t>
        </is>
      </c>
      <c r="D64" s="23" t="inlineStr">
        <is>
          <t>São Paulo/SP</t>
        </is>
      </c>
      <c r="E64" s="23" t="inlineStr">
        <is>
          <t>Comitê Olímpico do Brasil</t>
        </is>
      </c>
      <c r="F64" s="23" t="inlineStr">
        <is>
          <t>https://www.cob.org.br/comunicacao/noticias/copa-do-mundo-de-2027-coloca-visibilidade-e-legado-do-futebol-feminino-no-centro-do-debate</t>
        </is>
      </c>
      <c r="G64" s="23" t="inlineStr">
        <is>
          <t>Positivo</t>
        </is>
      </c>
      <c r="H64" s="23" t="inlineStr">
        <is>
          <t>Médio</t>
        </is>
      </c>
      <c r="I64" s="23" t="inlineStr">
        <is>
          <t>Painel realizado na COB Expo 2026 reuniu organização da Copa, governo, imprensa e ex-atletas para discutir como comunicação, cultura de consumo e aproximação do público podem ampliar a visibilidade do futebol feminino, estimular a presença nos estádios e construir legado duradouro para a Copa do Mundo Feminina FIFA 2027.</t>
        </is>
      </c>
    </row>
    <row r="65">
      <c r="A65" s="33" t="n">
        <v>46298</v>
      </c>
      <c r="B65" s="23" t="inlineStr">
        <is>
          <t>CBF eleva cotas e paga premiação recorde de R$ 2 milhões no Brasileirão Feminino</t>
        </is>
      </c>
      <c r="C65" s="23" t="inlineStr">
        <is>
          <t>Investimento / premiação / futebol feminino</t>
        </is>
      </c>
      <c r="D65" s="23" t="inlineStr">
        <is>
          <t>Brasil</t>
        </is>
      </c>
      <c r="E65" s="23" t="inlineStr">
        <is>
          <t>ge</t>
        </is>
      </c>
      <c r="F65" s="23" t="inlineStr">
        <is>
          <t>https://ge.globo.com/sp/campinas-e-regiao/futebol/futebol-feminino/brasileiro-feminino/noticia/2026/10/03/sao-paulo-fatura-premiacao-recorde-do-brasileirao-feminino-veja-valor.ghtml</t>
        </is>
      </c>
      <c r="G65" s="23" t="inlineStr">
        <is>
          <t>Positivo</t>
        </is>
      </c>
      <c r="H65" s="23" t="inlineStr">
        <is>
          <t>Alto</t>
        </is>
      </c>
      <c r="I65" s="23" t="inlineStr">
        <is>
          <t>O São Paulo recebeu R$ 2 milhões pelo título do Brasileirão Feminino 2026, R$ 200 mil a mais que na edição anterior. O Corinthians ficou com R$ 1 milhão pelo vice, e cada um dos 18 clubes recebeu R$ 720 mil pela participação, além de R$ 20 mil por partida transmitida em rede nacional. A CBF elevou todas as cotas, reforçando o investimento na modalidade no ciclo da Copa Feminina 2027.</t>
        </is>
      </c>
    </row>
    <row r="66">
      <c r="A66" s="33" t="n">
        <v>46295</v>
      </c>
      <c r="B66" s="23" t="inlineStr">
        <is>
          <t>Flamengo aprova parceria de R$ 10 milhões com Maricá para fortalecer o futebol feminino no ciclo da Copa 2027</t>
        </is>
      </c>
      <c r="C66" s="23" t="inlineStr">
        <is>
          <t>Patrocínio / investimento / legado da Copa 2027</t>
        </is>
      </c>
      <c r="D66" s="23" t="inlineStr">
        <is>
          <t>Maricá/RJ</t>
        </is>
      </c>
      <c r="E66" s="23" t="inlineStr">
        <is>
          <t>UOL</t>
        </is>
      </c>
      <c r="F66" s="23" t="inlineStr">
        <is>
          <t>https://www.uol.com.br/esporte/futebol/colunas/rodrigo-mattos/2026/09/30/flamengo-fecha-patrocinio-de-r-10-mi-com-marica-para-time-feminino.ghtm</t>
        </is>
      </c>
      <c r="G66" s="23" t="inlineStr">
        <is>
          <t>Positivo</t>
        </is>
      </c>
      <c r="H66" s="23" t="inlineStr">
        <is>
          <t>Alto</t>
        </is>
      </c>
      <c r="I66" s="23" t="inlineStr">
        <is>
          <t>O Conselho Deliberativo do Flamengo aprovou parceria com a Prefeitura de Maricá para investir R$ 10 milhões por ano no futebol feminino. O projeto Flamengo Maricá prevê patrocínio oficial, jogos no município quando o regulamento permitir e estrutura de formação; a contratação pública divulgada em 02/10/2026 enquadra a iniciativa como legado socioeducativo no ciclo da Copa do Mundo Feminina FIFA 2027.</t>
        </is>
      </c>
    </row>
    <row r="67">
      <c r="A67" s="33" t="n">
        <v>46296</v>
      </c>
      <c r="B67" s="23" t="inlineStr">
        <is>
          <t>Hyundai premia melhor jogadora da final do Brasileirão Feminino com carro zero</t>
        </is>
      </c>
      <c r="C67" s="23" t="inlineStr">
        <is>
          <t>Patrocínio / ativação de marca / Copa 2027</t>
        </is>
      </c>
      <c r="D67" s="23" t="inlineStr">
        <is>
          <t>São Paulo/SP</t>
        </is>
      </c>
      <c r="E67" s="23" t="inlineStr">
        <is>
          <t>Hyundai CSA News</t>
        </is>
      </c>
      <c r="F67" s="23" t="inlineStr">
        <is>
          <t>https://hyundai-csa-news.com/hyundai-vai-dar-um-veiculo-zero-quilometro-para-a-melhor-jogadora-da-final-do-brasileirao-feminino/</t>
        </is>
      </c>
      <c r="G67" s="23" t="inlineStr">
        <is>
          <t>Positivo</t>
        </is>
      </c>
      <c r="H67" s="23" t="inlineStr">
        <is>
          <t>Médio</t>
        </is>
      </c>
      <c r="I67" s="23" t="inlineStr">
        <is>
          <t>Patrocinadora das principais competições nacionais de futebol feminino e da Copa do Mundo Feminina da FIFA Brasil 2027, a Hyundai premiou a melhor jogadora da final do Brasileirão Feminino com um veículo zero-quilômetro. A ação reforça a estratégia da marca de valorizar atletas e prevê novas iniciativas ao longo de 2026 e 2027 rumo ao Mundial no Brasil.</t>
        </is>
      </c>
    </row>
    <row r="68">
      <c r="A68" s="33" t="n">
        <v>46296</v>
      </c>
      <c r="B68" s="23" t="inlineStr">
        <is>
          <t>Ge TV contrata Bianca Molina para reforçar cobertura rumo à Copa Feminina 2027</t>
        </is>
      </c>
      <c r="C68" s="23" t="inlineStr">
        <is>
          <t>Mídia / transmissão / Copa 2027</t>
        </is>
      </c>
      <c r="D68" s="23" t="inlineStr">
        <is>
          <t>São Paulo/SP</t>
        </is>
      </c>
      <c r="E68" s="23" t="inlineStr">
        <is>
          <t>MKT Esportivo</t>
        </is>
      </c>
      <c r="F68" s="23" t="inlineStr">
        <is>
          <t>https://www.mktesportivo.com/2026/10/bianca-molina-e-o-novo-reforco-da-ge-tv/</t>
        </is>
      </c>
      <c r="G68" s="23" t="inlineStr">
        <is>
          <t>Positivo</t>
        </is>
      </c>
      <c r="H68" s="23" t="inlineStr">
        <is>
          <t>Médio</t>
        </is>
      </c>
      <c r="I68" s="23" t="inlineStr">
        <is>
          <t>A Ge TV contratou a jornalista Bianca Molina, profissional com experiência em Libertadores, Brasileirão e Paulistão Feminino. A chegada ocorre enquanto o Grupo Globo amplia sua estrutura para a cobertura da Copa do Mundo Feminina de 2027 no Brasil, que terá transmissão também pelo canal digital gratuito.</t>
        </is>
      </c>
    </row>
    <row r="69">
      <c r="A69" s="33" t="n">
        <v>46296</v>
      </c>
      <c r="B69" s="23" t="inlineStr">
        <is>
          <t>Belo Horizonte promove ações ligadas à Copa Feminina 2027 na FIT de Buenos Aires</t>
        </is>
      </c>
      <c r="C69" s="23" t="inlineStr">
        <is>
          <t>Turismo / cidade-sede / promoção internacional</t>
        </is>
      </c>
      <c r="D69" s="23" t="inlineStr">
        <is>
          <t>Belo Horizonte/MG</t>
        </is>
      </c>
      <c r="E69" s="23" t="inlineStr">
        <is>
          <t>Prefeitura de Belo Horizonte</t>
        </is>
      </c>
      <c r="F69" s="23" t="inlineStr">
        <is>
          <t>https://prefeitura.pbh.gov.br/noticias/bh-promove-internacionalizacao-do-menuuh-em-evento-de-turismo-na-argentina</t>
        </is>
      </c>
      <c r="G69" s="23" t="inlineStr">
        <is>
          <t>Positivo</t>
        </is>
      </c>
      <c r="H69" s="23" t="inlineStr">
        <is>
          <t>Médio</t>
        </is>
      </c>
      <c r="I69" s="23" t="inlineStr">
        <is>
          <t>A Belotur apresentou os ativos turísticos de Belo Horizonte na Feira Internacional de Turismo, realizada de 26 a 29 de setembro em Buenos Aires, e incluiu na promoção internacional as ações relacionadas à Copa do Mundo Feminina FIFA 2027. A iniciativa posiciona a cidade-sede diante do mercado turístico regional antes do torneio.</t>
        </is>
      </c>
    </row>
    <row r="70">
      <c r="A70" s="33" t="n">
        <v>46298</v>
      </c>
      <c r="B70" s="23" t="inlineStr">
        <is>
          <t>São Paulo conquista o Brasileirão Feminino diante de público recorde no MorumBIS</t>
        </is>
      </c>
      <c r="C70" s="23" t="inlineStr">
        <is>
          <t>Brasileirão Feminino / Seleção Brasileira / público</t>
        </is>
      </c>
      <c r="D70" s="23" t="inlineStr">
        <is>
          <t>São Paulo/SP</t>
        </is>
      </c>
      <c r="E70" s="23" t="inlineStr">
        <is>
          <t>CBF</t>
        </is>
      </c>
      <c r="F70" s="23" t="inlineStr">
        <is>
          <t>https://www.cbf.com.br/futebol-brasileiro/noticias/campeonato-brasileiro-feminino-a1/a/final-brasileirao-feminino-a-1-2026</t>
        </is>
      </c>
      <c r="G70" s="23" t="inlineStr">
        <is>
          <t>Positivo</t>
        </is>
      </c>
      <c r="H70" s="23" t="inlineStr">
        <is>
          <t>Alto</t>
        </is>
      </c>
      <c r="I70" s="23" t="inlineStr">
        <is>
          <t>O São Paulo empatou por 1 a 1 com o Corinthians, venceu a final por 3 a 2 no placar agregado e conquistou seu primeiro Brasileirão Feminino oficial diante de 49.405 torcedores no MorumBIS, novo recorde sul-americano de público em uma partida de clubes femininos.</t>
        </is>
      </c>
    </row>
    <row r="71">
      <c r="A71" s="33" t="n">
        <v>46298</v>
      </c>
      <c r="B71" s="23" t="inlineStr">
        <is>
          <t>Ticketmaster distribui ingressos gratuitos para a final do Brasileirão Feminino</t>
        </is>
      </c>
      <c r="C71" s="23" t="inlineStr">
        <is>
          <t>Ativação de marca / ingressos / futebol feminino</t>
        </is>
      </c>
      <c r="D71" s="23" t="inlineStr">
        <is>
          <t>São Paulo/SP</t>
        </is>
      </c>
      <c r="E71" s="23" t="inlineStr">
        <is>
          <t>Ticketmaster</t>
        </is>
      </c>
      <c r="F71" s="23" t="inlineStr">
        <is>
          <t>https://www.ticketmaster.com.br/event/campeonato-brasileiro-de-futebol-feminino-sao-paulo-x-corinthians</t>
        </is>
      </c>
      <c r="G71" s="23" t="inlineStr">
        <is>
          <t>Positivo</t>
        </is>
      </c>
      <c r="H71" s="23" t="inlineStr">
        <is>
          <t>Médio</t>
        </is>
      </c>
      <c r="I71" s="23" t="inlineStr">
        <is>
          <t>Em uma ação inédita de apoio ao futebol feminino, a Ticketmaster adquiriu uma cota de ingressos para a final entre São Paulo e Corinthians no MorumBIS e disponibilizou cortesias aos torcedores, ampliando o acesso e a mobilização de público em torno da modalidade.</t>
        </is>
      </c>
    </row>
    <row r="72">
      <c r="A72" s="33" t="n">
        <v>46298</v>
      </c>
      <c r="B72" s="23" t="inlineStr">
        <is>
          <t>Final do Brasileirão Feminino supera 44,5 mil ingressos vendidos e projeta recorde sul-americano</t>
        </is>
      </c>
      <c r="C72" s="23" t="inlineStr">
        <is>
          <t>Futebol feminino / público / legado</t>
        </is>
      </c>
      <c r="D72" s="23" t="inlineStr">
        <is>
          <t>São Paulo/SP</t>
        </is>
      </c>
      <c r="E72" s="23" t="inlineStr">
        <is>
          <t>UOL</t>
        </is>
      </c>
      <c r="F72" s="23" t="inlineStr">
        <is>
          <t>https://www.uol.com.br/esporte/futebol/ultimas-noticias/2026/10/03/sao-paulo-divulga-ingressos-vendidos-e-final-feminina-deve-bater-recorde.ghtm</t>
        </is>
      </c>
      <c r="G72" s="23" t="inlineStr">
        <is>
          <t>Positivo</t>
        </is>
      </c>
      <c r="H72" s="23" t="inlineStr">
        <is>
          <t>Alto</t>
        </is>
      </c>
      <c r="I72" s="23" t="inlineStr">
        <is>
          <t>O São Paulo anunciou 44.530 ingressos vendidos para a final do Brasileirão Feminino contra o Corinthians, no MorumBIS. A marca supera o recorde anterior de público do futebol feminino de clubes na América do Sul e reforça a mobilização nacional da modalidade às vésperas da Copa Feminina FIFA 2027.</t>
        </is>
      </c>
    </row>
    <row r="73">
      <c r="A73" s="33" t="n">
        <v>46296</v>
      </c>
      <c r="B73" s="23" t="inlineStr">
        <is>
          <t>Final do Brasileirão coloca jogadoras no radar da Seleção para a Copa de 2027</t>
        </is>
      </c>
      <c r="C73" s="23" t="inlineStr">
        <is>
          <t>Seleção Brasileira / observação de atletas / Copa 2027</t>
        </is>
      </c>
      <c r="D73" s="23" t="inlineStr">
        <is>
          <t>São Paulo/SP</t>
        </is>
      </c>
      <c r="E73" s="23" t="inlineStr">
        <is>
          <t>UOL</t>
        </is>
      </c>
      <c r="F73" s="23" t="inlineStr">
        <is>
          <t>https://www.uol.com.br/esporte/futebol/ultimas-noticias/2026/10/01/corinthians-sao-paulo-radar-selecao-brasileira-feminina.ghtm</t>
        </is>
      </c>
      <c r="G73" s="23" t="inlineStr">
        <is>
          <t>Positivo</t>
        </is>
      </c>
      <c r="H73" s="23" t="inlineStr">
        <is>
          <t>Médio</t>
        </is>
      </c>
      <c r="I73" s="23" t="inlineStr">
        <is>
          <t>A final do Brasileirão Feminino entre São Paulo e Corinthians funciona como vitrine para atletas que buscam espaço na Seleção Brasileira principal rumo à Copa de 2027. O Corinthians teve 13 jogadoras convocadas em 2026, enquanto Tayla e Carlinha representam o São Paulo nas listas recentes; Arthur Elias acompanha a competição como parâmetro técnico.</t>
        </is>
      </c>
    </row>
    <row r="74">
      <c r="A74" s="33" t="n">
        <v>46297</v>
      </c>
      <c r="B74" s="23" t="inlineStr">
        <is>
          <t>USP lança plataforma colaborativa PermeÖ Copa 2027 sobre o futuro do futebol feminino</t>
        </is>
      </c>
      <c r="C74" s="23" t="inlineStr">
        <is>
          <t>Pesquisa / participação social / legado da Copa 2027</t>
        </is>
      </c>
      <c r="D74" s="23" t="inlineStr">
        <is>
          <t>São Paulo/SP</t>
        </is>
      </c>
      <c r="E74" s="23" t="inlineStr">
        <is>
          <t>Jornal da USP</t>
        </is>
      </c>
      <c r="F74" s="23" t="inlineStr">
        <is>
          <t>https://jornal.usp.br/diversidade/plataforma-criada-na-usp-reune-experiencias-para-ajudar-a-pensar-o-futuro-do-futebol-feminino/</t>
        </is>
      </c>
      <c r="G74" s="23" t="inlineStr">
        <is>
          <t>Positivo</t>
        </is>
      </c>
      <c r="H74" s="23" t="inlineStr">
        <is>
          <t>Médio</t>
        </is>
      </c>
      <c r="I74" s="23" t="inlineStr">
        <is>
          <t>A plataforma digital PermeÖ Copa 2027, desenvolvida em pesquisa de doutorado na EACH-USP, abriu participação a atletas, profissionais, pesquisadores e torcedores para reunir experiências e conhecimentos sobre o futebol feminino antes da Copa do Mundo de 2027 no Brasil.</t>
        </is>
      </c>
    </row>
    <row r="75">
      <c r="A75" s="33" t="n">
        <v>46296</v>
      </c>
      <c r="B75" s="23" t="inlineStr">
        <is>
          <t>Embratur promove cidades-sede da Copa Feminina 2027 na ABAV Expo</t>
        </is>
      </c>
      <c r="C75" s="23" t="inlineStr">
        <is>
          <t>Turismo / promoção das cidades-sede / ativação</t>
        </is>
      </c>
      <c r="D75" s="23" t="inlineStr">
        <is>
          <t>São Paulo/SP</t>
        </is>
      </c>
      <c r="E75" s="23" t="inlineStr">
        <is>
          <t>Circuito Mundo</t>
        </is>
      </c>
      <c r="F75" s="23" t="inlineStr">
        <is>
          <t>https://circuitomundo.com/2026/10/01/embratur-chega-a-abav-expo-com-operadores-internacionais-geracao-de-negocios-e-ativacoes-do-desbrava-e-da-promocao-das-cidades-sedes-da-copa-do-mundo-feminina-de-futebol/</t>
        </is>
      </c>
      <c r="G75" s="23" t="inlineStr">
        <is>
          <t>Positivo</t>
        </is>
      </c>
      <c r="H75" s="23" t="inlineStr">
        <is>
          <t>Alto</t>
        </is>
      </c>
      <c r="I75" s="23" t="inlineStr">
        <is>
          <t>Na ABAV Expo, realizada de 30 de setembro a 2 de outubro em São Paulo, a Embratur promoveu as oito cidades-sede da Copa Feminina 2027 por meio de totens interativos e levou 41 operadores internacionais para rodadas de negócios com o turismo brasileiro.</t>
        </is>
      </c>
    </row>
    <row r="76">
      <c r="A76" s="33" t="n">
        <v>46297</v>
      </c>
      <c r="B76" s="23" t="inlineStr">
        <is>
          <t>Final do Brasileirão Feminino supera 38 mil ingressos vendidos no MorumBIS</t>
        </is>
      </c>
      <c r="C76" s="23" t="inlineStr">
        <is>
          <t>Futebol feminino / público / engajamento de torcedores</t>
        </is>
      </c>
      <c r="D76" s="23" t="inlineStr">
        <is>
          <t>São Paulo/SP</t>
        </is>
      </c>
      <c r="E76" s="23" t="inlineStr">
        <is>
          <t>CBF</t>
        </is>
      </c>
      <c r="F76" s="23" t="inlineStr">
        <is>
          <t>https://www.cbf.com.br/futebol-brasileiro/noticias/campeonato-brasileiro-feminino-a1/a/mais-de-38-mil-ingressos-vendidos-para-a-final-do-brasileirao-feminino-a-1-no-morum-bis</t>
        </is>
      </c>
      <c r="G76" s="23" t="inlineStr">
        <is>
          <t>Positivo</t>
        </is>
      </c>
      <c r="H76" s="23" t="inlineStr">
        <is>
          <t>Alto</t>
        </is>
      </c>
      <c r="I76" s="23" t="inlineStr">
        <is>
          <t>Mais de 38 mil ingressos foram vendidos para a final do Brasileirão Feminino A1 entre São Paulo e Corinthians, marcada para 03/10/2026, às 16h30, no MorumBIS. A mobilização reforça o crescimento de público da modalidade às vésperas da Copa de 2027.</t>
        </is>
      </c>
    </row>
    <row r="77">
      <c r="A77" s="33" t="n">
        <v>46295</v>
      </c>
      <c r="B77" s="23" t="inlineStr">
        <is>
          <t>FIFA e CBF visitam o CEFAN, centro de treinamento oficial da Copa Feminina 2027</t>
        </is>
      </c>
      <c r="C77" s="23" t="inlineStr">
        <is>
          <t>Infraestrutura / centro de treinamento / estratégia do futebol feminino</t>
        </is>
      </c>
      <c r="D77" s="23" t="inlineStr">
        <is>
          <t>Rio de Janeiro/RJ</t>
        </is>
      </c>
      <c r="E77" s="23" t="inlineStr">
        <is>
          <t>Fluminense / CBF</t>
        </is>
      </c>
      <c r="F77" s="23" t="inlineStr">
        <is>
          <t>https://www.fluminense.com.br/noticia/departamento-de-futebol-feminino-do-fluminense-recebe-visita-da-fifa-e-cbf-no-cefan</t>
        </is>
      </c>
      <c r="G77" s="23" t="inlineStr">
        <is>
          <t>Positivo</t>
        </is>
      </c>
      <c r="H77" s="23" t="inlineStr">
        <is>
          <t>Alto</t>
        </is>
      </c>
      <c r="I77" s="23" t="inlineStr">
        <is>
          <t>Comitiva da FIFA e da CBF visitou em 30/09/2026 o CEFAN, onde treinam as equipes femininas do Fluminense, como parte da construção da Estratégia do Futebol Feminino. O clube confirmou que o complexo será um dos centros de treinamento oficiais da Copa do Mundo Feminina FIFA 2027.</t>
        </is>
      </c>
    </row>
    <row r="78">
      <c r="A78" s="33" t="n">
        <v>46297</v>
      </c>
      <c r="B78" s="23" t="inlineStr">
        <is>
          <t>Copa do Mundo Feminina acelera disputa da mídia por audiência e marcas no Brasil - MKT Esportivo</t>
        </is>
      </c>
      <c r="C78" s="23" t="inlineStr">
        <is>
          <t>Copa Feminina 2027</t>
        </is>
      </c>
      <c r="D78" s="23" t="inlineStr">
        <is>
          <t>Brasil</t>
        </is>
      </c>
      <c r="E78" s="23" t="inlineStr">
        <is>
          <t>mktesportivo.com</t>
        </is>
      </c>
      <c r="F78" s="23" t="inlineStr">
        <is>
          <t>https://news.google.com/rss/articles/CBMiugFBVV95cUxPbUluU0Z1dUVJOFNNelhIMWE5V21Yd0M5Tzh6cWZIV2p4S0dDU3hXQ1VPa2tkdmhaelkycE9QMDlTVjZzMUU5aTJpMGtZYW4wWUtjbkc4NWsyRzV6a3RaYXNpTHh2b0x1TGMwRmRtOHFJZFIxdzd1NjQ3TVZBR3UyQk9DbThQcFpXeW9Fc0gwTlMyWk9ac0k3a3RsSTg3TXVXVlRXOFZXd3k3QjdXSFJVei1vVjhwUmxVMkE?oc=5</t>
        </is>
      </c>
      <c r="G78" s="23" t="inlineStr">
        <is>
          <t>Neutro</t>
        </is>
      </c>
      <c r="H78" s="23" t="inlineStr">
        <is>
          <t>Médio</t>
        </is>
      </c>
      <c r="I78" s="23" t="inlineStr">
        <is>
          <t>Fonte: mktesportivo.com. Descoberta via Google News; URL editorial direta não resolvida automaticamente.</t>
        </is>
      </c>
    </row>
    <row r="79">
      <c r="A79" s="33" t="n">
        <v>46295</v>
      </c>
      <c r="B79" s="23" t="inlineStr">
        <is>
          <t>A Copa é Delas: novo programa do Lance!TV aborda a Copa do Mundo Feminina de 2027 - LANCE!</t>
        </is>
      </c>
      <c r="C79" s="23" t="inlineStr">
        <is>
          <t>Copa Feminina 2027</t>
        </is>
      </c>
      <c r="D79" s="23" t="inlineStr">
        <is>
          <t>Brasil</t>
        </is>
      </c>
      <c r="E79" s="23" t="inlineStr">
        <is>
          <t>lance.com.br</t>
        </is>
      </c>
      <c r="F79" s="23" t="inlineStr">
        <is>
          <t>https://news.google.com/rss/articles/CBMixAFBVV95cUxPcU01M0RwOGZFU29NLXM5cmlpQUpzblVwb1lLeF9wYklMc3M2dEYzbjFHTTI3d0VVdnJXSFZDUFVyLXlEcXc3bTdFaS15V0lHOFJPRzJmT0pjOHBveThZbHVweWIyV0gtdHQ3UDF6ck5uLTE0VHVMYTlSYkNkaTZ6c2IxeXZXSWNQZFMyeTNIUGM2UHBOalJTWnJyc2Q0VzVNbUpCbEpIZ1pKdGliU3BvaE45LXJNcWJHVHFwejlzTzBlY3JE?oc=5</t>
        </is>
      </c>
      <c r="G79" s="23" t="inlineStr">
        <is>
          <t>Neutro</t>
        </is>
      </c>
      <c r="H79" s="23" t="inlineStr">
        <is>
          <t>Médio</t>
        </is>
      </c>
      <c r="I79" s="23" t="inlineStr">
        <is>
          <t>Fonte: lance.com.br. Descoberta via Google News; URL editorial direta não resolvida automaticamente.</t>
        </is>
      </c>
    </row>
    <row r="80">
      <c r="A80" s="33" t="n">
        <v>46295</v>
      </c>
      <c r="B80" s="23" t="inlineStr">
        <is>
          <t>Credenciamento de imprensa para sorteio final da Copa do Mundo Feminina 2027 está aberto - CBF</t>
        </is>
      </c>
      <c r="C80" s="23" t="inlineStr">
        <is>
          <t>Copa Feminina 2027</t>
        </is>
      </c>
      <c r="D80" s="23" t="inlineStr">
        <is>
          <t>Brasil</t>
        </is>
      </c>
      <c r="E80" s="23" t="inlineStr">
        <is>
          <t>cbf.com.br</t>
        </is>
      </c>
      <c r="F80" s="23" t="inlineStr">
        <is>
          <t>https://news.google.com/rss/articles/CBMiiAJBVV95cUxONk0yWmN5OUVLczlwMTBZaHFwVENQSEJ0dmhhZ2tCaHJjYnJRY0IwTDRmcFMxdFlDay1scThQS1NVT1gzUDlmS1pPLWxyUUdlUF9fRGtuM2NQMFEtTUk3UXNDdjlXZGNPenJ2bnNRMEZQeXo1OUs3RUZYa21MLVItUnltajZaZzRPNTBqUS1pTU1DQU9fT19WNzlhbFBJRml0MTg2bEhld01MQVZLV09CQmZpWDczRmN5N01zUVUxaEhDQXVUWTRESmxaaE1pYXdkbWFWQ1UydEM5UzZ1VzFSUGpSaEV3LTNCUmNMMWlSSVk1dDVBWlNsaHUtUmlDdVBpQWtDM0FTWHU?oc=5</t>
        </is>
      </c>
      <c r="G80" s="23" t="inlineStr">
        <is>
          <t>Neutro</t>
        </is>
      </c>
      <c r="H80" s="23" t="inlineStr">
        <is>
          <t>Médio</t>
        </is>
      </c>
      <c r="I80" s="23" t="inlineStr">
        <is>
          <t>Fonte: cbf.com.br. Descoberta via Google News; URL editorial direta não resolvida automaticamente.</t>
        </is>
      </c>
    </row>
    <row r="81">
      <c r="A81" s="33" t="n">
        <v>46293</v>
      </c>
      <c r="B81" s="23" t="inlineStr">
        <is>
          <t>Lei sancionada torna obrigatório o plano de legado da Copa Feminina 2027</t>
        </is>
      </c>
      <c r="C81" s="23" t="inlineStr">
        <is>
          <t>Legislação federal / legado / futebol feminino</t>
        </is>
      </c>
      <c r="D81" s="23" t="inlineStr">
        <is>
          <t>Brasil</t>
        </is>
      </c>
      <c r="E81" s="23" t="inlineStr">
        <is>
          <t>Normas.leg / Câmara dos Deputados</t>
        </is>
      </c>
      <c r="F81" s="23" t="inlineStr">
        <is>
          <t>https://normas.leg.br/?urn=urn%3Alex%3Abr%3Afederal%3Alei%3A2026-09-28%3B15522</t>
        </is>
      </c>
      <c r="G81" s="23" t="inlineStr">
        <is>
          <t>Positivo</t>
        </is>
      </c>
      <c r="H81" s="23" t="inlineStr">
        <is>
          <t>Alto</t>
        </is>
      </c>
      <c r="I81" s="23" t="inlineStr">
        <is>
          <t>A Lei nº 15.522, sancionada em 28/09/2026, passou a priorizar o futebol feminino na política esportiva nacional e alterou a Lei Geral da Copa Feminina 2027 para exigir a elaboração, avaliação e consolidação de um plano de legado social, esportivo e financeiro do torneio. A sanção transforma em norma vigente o projeto anteriormente aprovado pelo Senado.</t>
        </is>
      </c>
    </row>
    <row r="82">
      <c r="A82" s="33" t="n">
        <v>46294</v>
      </c>
      <c r="B82" s="23" t="inlineStr">
        <is>
          <t>MCom contrata Telebras por R$ 230,5 milhões para infraestrutura digital da Copa Feminina 2027</t>
        </is>
      </c>
      <c r="C82" s="23" t="inlineStr">
        <is>
          <t>Infraestrutura digital / Copa Feminina 2027</t>
        </is>
      </c>
      <c r="D82" s="23" t="inlineStr">
        <is>
          <t>Brasil</t>
        </is>
      </c>
      <c r="E82" s="23" t="inlineStr">
        <is>
          <t>Convergência Digital</t>
        </is>
      </c>
      <c r="F82" s="23" t="inlineStr">
        <is>
          <t>https://convergenciadigital.com.br/governo/mcom-contrata-telebras-por-r-230-milhoes-para-fornecer-infraestrutura-para-copa-do-mundo-feminina-2027/</t>
        </is>
      </c>
      <c r="G82" s="23" t="inlineStr">
        <is>
          <t>Positivo</t>
        </is>
      </c>
      <c r="H82" s="23" t="inlineStr">
        <is>
          <t>Alto</t>
        </is>
      </c>
      <c r="I82" s="23" t="inlineStr">
        <is>
          <t>O Ministério das Comunicações contratou a Telebras por R$ 230.525.371,93 para fornecer conectividade óptica dedicada à rede de contribuição de transmissão e acesso gerenciado à internet durante a Copa do Mundo Feminina da FIFA 2027. O contrato tem vigência inicial de 12 meses e atende à transmissão de áudio, vídeo, sincronismo e dados do torneio.</t>
        </is>
      </c>
    </row>
    <row r="83">
      <c r="A83" s="33" t="n">
        <v>46293</v>
      </c>
      <c r="B83" s="23" t="inlineStr">
        <is>
          <t>Grêmio inaugura novo centro de treinamento para o futebol feminino</t>
        </is>
      </c>
      <c r="C83" s="23" t="inlineStr">
        <is>
          <t>Infraestrutura / clubes / futebol feminino</t>
        </is>
      </c>
      <c r="D83" s="23" t="inlineStr">
        <is>
          <t>Gravataí/RS</t>
        </is>
      </c>
      <c r="E83" s="23" t="inlineStr">
        <is>
          <t>ge</t>
        </is>
      </c>
      <c r="F83" s="23" t="inlineStr">
        <is>
          <t>https://ge.globo.com/rs/futebol/times/gremio/noticia/2026/09/28/gremio-inaugura-ct-para-o-futebol-feminino-em-parceria-com-marcelo-grohe-e-galatto.ghtml</t>
        </is>
      </c>
      <c r="G83" s="23" t="inlineStr">
        <is>
          <t>Positivo</t>
        </is>
      </c>
      <c r="H83" s="23" t="inlineStr">
        <is>
          <t>Médio</t>
        </is>
      </c>
      <c r="I83" s="23" t="inlineStr">
        <is>
          <t>O Grêmio inaugurou em Gravataí a nova sede do futebol feminino em parceria com a RGM Academy. O clube investiu cerca de R$ 1 milhão em equipamentos e mobiliário; a estrutura reúne campos, alojamentos, vestiários, departamento médico, nutrição, psicologia, academia, fisioterapia, restaurante e auditório.</t>
        </is>
      </c>
    </row>
    <row r="84">
      <c r="A84" s="33" t="n">
        <v>46294</v>
      </c>
      <c r="B84" s="23" t="inlineStr">
        <is>
          <t>Gio Garbelini fala sobre escolha pelo Brasil e caminho para a Copa de 2027</t>
        </is>
      </c>
      <c r="C84" s="23" t="inlineStr">
        <is>
          <t>Seleção Brasileira / atletas / Copa Feminina 2027</t>
        </is>
      </c>
      <c r="D84" s="23" t="inlineStr">
        <is>
          <t>Brasil</t>
        </is>
      </c>
      <c r="E84" s="23" t="inlineStr">
        <is>
          <t>365Scores</t>
        </is>
      </c>
      <c r="F84" s="23" t="inlineStr">
        <is>
          <t>https://www.365scores.com/pt-br/news/magazine/entrevista-gio-garbelini-brasil-copa-2027/</t>
        </is>
      </c>
      <c r="G84" s="23" t="inlineStr">
        <is>
          <t>Positivo</t>
        </is>
      </c>
      <c r="H84" s="23" t="inlineStr">
        <is>
          <t>Médio</t>
        </is>
      </c>
      <c r="I84" s="23" t="inlineStr">
        <is>
          <t>Em entrevista publicada em 29 de setembro, a atacante Gio Garbelini falou sobre a escolha de defender o Brasil, a concorrência na Seleção principal e o objetivo de disputar a Copa do Mundo Feminina de 2027 em casa.</t>
        </is>
      </c>
    </row>
    <row r="85">
      <c r="A85" s="33" t="n">
        <v>46294</v>
      </c>
      <c r="B85" s="23" t="inlineStr">
        <is>
          <t>Pioneira da preparação de goleiras da CBF destaca evolução de Lorena</t>
        </is>
      </c>
      <c r="C85" s="23" t="inlineStr">
        <is>
          <t>Seleção Brasileira / goleiras / futebol feminino</t>
        </is>
      </c>
      <c r="D85" s="23" t="inlineStr">
        <is>
          <t>Brasil/RS</t>
        </is>
      </c>
      <c r="E85" s="23" t="inlineStr">
        <is>
          <t>ge</t>
        </is>
      </c>
      <c r="F85" s="23" t="inlineStr">
        <is>
          <t>https://ge.globo.com/google/amp/rs/copa-do-mundo/noticia/2026/09/29/primeira-preparadora-de-goleiras-da-cbf-elogia-lorena-e-avalia-mudancas-da-posicao.ghtml</t>
        </is>
      </c>
      <c r="G85" s="23" t="inlineStr">
        <is>
          <t>Positivo</t>
        </is>
      </c>
      <c r="H85" s="23" t="inlineStr">
        <is>
          <t>Médio</t>
        </is>
      </c>
      <c r="I85" s="23" t="inlineStr">
        <is>
          <t>A primeira preparadora de goleiras da CBF analisou a evolução da posição no futebol feminino e destacou Lorena, titular da Seleção Brasileira principal e indicada a prêmio internacional, como referência do novo momento da função.</t>
        </is>
      </c>
    </row>
    <row r="86">
      <c r="A86" s="33" t="n">
        <v>46294</v>
      </c>
      <c r="B86" s="23" t="inlineStr">
        <is>
          <t>Copa do Mundo Feminina no Brasil muda grade da mídia esportiva com novos programas exclusivos para a modalidade - Máquina do Esporte</t>
        </is>
      </c>
      <c r="C86" s="23" t="inlineStr">
        <is>
          <t>Copa Feminina 2027</t>
        </is>
      </c>
      <c r="D86" s="23" t="inlineStr">
        <is>
          <t>Brasil</t>
        </is>
      </c>
      <c r="E86" s="23" t="inlineStr">
        <is>
          <t>machinadoesporte.com.br</t>
        </is>
      </c>
      <c r="F86" s="23" t="inlineStr">
        <is>
          <t>https://news.google.com/rss/articles/CBMi8wFBVV95cUxPQTh2ak5QeDd3ZzNqY3I2TFBSc2d4ZnFDMExDRk9xZHRHV0c0THd3cDNOT01xSHNzZDU1MGV3T0RablNxZEU2cHVwVWZaS21xUFBqTnBFcjBDamRjWWZZVGUyQlVieFNDaDNZNVlmRzRkZW9EMHhtekRpdnJwQTVGbGEtbVFlR0RrckNfc1BkdHRXaWh3U0xrVDg2eFUwWEltTE5LQ3JQMXE3cG8tdkJRVzlCNG92YzVJODhBbFF5RkNxYzM3UWhPdWFhZWtBQXJQaGJZV1l4aU5QUlFCZVR6WGNQamItNDdqM05jSkRCMnZucDA?oc=5</t>
        </is>
      </c>
      <c r="G86" s="23" t="inlineStr">
        <is>
          <t>Neutro</t>
        </is>
      </c>
      <c r="H86" s="23" t="inlineStr">
        <is>
          <t>Médio</t>
        </is>
      </c>
      <c r="I86" s="23" t="inlineStr">
        <is>
          <t>Fonte: machinadoesporte.com.br. Descoberta via Google News; URL editorial direta não resolvida automaticamente.</t>
        </is>
      </c>
    </row>
    <row r="87">
      <c r="A87" s="33" t="n">
        <v>46293</v>
      </c>
      <c r="B87" s="23" t="inlineStr">
        <is>
          <t>Porto Alegre leva Copa do Mundo Feminina 2027 e experiências turísticas à FIT Argentina - Prefeitura de Porto Alegre</t>
        </is>
      </c>
      <c r="C87" s="23" t="inlineStr">
        <is>
          <t>Copa Feminina 2027</t>
        </is>
      </c>
      <c r="D87" s="23" t="inlineStr">
        <is>
          <t>Brasil</t>
        </is>
      </c>
      <c r="E87" s="23" t="inlineStr">
        <is>
          <t>prefeitura.poa.br</t>
        </is>
      </c>
      <c r="F87" s="23" t="inlineStr">
        <is>
          <t>https://news.google.com/rss/articles/CBMiuAFBVV95cUxQaUlMLUkwWTVqZXhSaEZzNy1CQUQxelJwV3UxRFY5cEhPSUFLVEdLdmptMHh4WnVWNjcwUXd3Z1R1UW5TVHpPa1pHaUMycU5oSDEzQ1JTaFhxS0g0bVJlWkdkeHJqbHYxTks1Qm9XNXNmZTV3Nm53dW1KQXVadG1GeFYxQU1VbDRSQ3lNenFLeDBRQjRCV2lFTW1DUGM4Xy1qQnAtSkhITUlxdnNuR3VkU21VWkZyQjVq?oc=5</t>
        </is>
      </c>
      <c r="G87" s="23" t="inlineStr">
        <is>
          <t>Neutro</t>
        </is>
      </c>
      <c r="H87" s="23" t="inlineStr">
        <is>
          <t>Médio</t>
        </is>
      </c>
      <c r="I87" s="23" t="inlineStr">
        <is>
          <t>Fonte: prefeitura.poa.br. Descoberta via Google News; URL editorial direta não resolvida automaticamente.</t>
        </is>
      </c>
    </row>
    <row r="88">
      <c r="A88" s="33" t="n">
        <v>46294</v>
      </c>
      <c r="B88" s="23" t="inlineStr">
        <is>
          <t>Saiba as diretrizes para desenvolvimento do futebol feminino no Brasil - Agência Brasil</t>
        </is>
      </c>
      <c r="C88" s="23" t="inlineStr">
        <is>
          <t>Copa Feminina 2027</t>
        </is>
      </c>
      <c r="D88" s="23" t="inlineStr">
        <is>
          <t>Brasil</t>
        </is>
      </c>
      <c r="E88" s="23" t="inlineStr">
        <is>
          <t>agenciabrasil.ebc.com.br</t>
        </is>
      </c>
      <c r="F88" s="23" t="inlineStr">
        <is>
          <t>https://news.google.com/rss/articles/CBMiwwFBVV95cUxNLWJMSk5CZzBFU2syX2E4dGM1WUd2cDNWRlVzbWRWVGhqZVRCMUctRW1FRTZpVE5QdUt6TzZLWnVXVU53TTU1SVQ4TnF2cGNUbDV1UkZWekN6V2IwWEZwajFrMWtUenA4UWI5RVpLeFpsdWNSOEZSZTRMbG94Wi1Ha054amZfUXA3eVhNN2VtamtqV2J3R09ZYVkzODJXMHF4d2ZtUC1UMV80YW1yUFVZdVdGcVdPRzJDQUJVcmwyNy14S0k?oc=5</t>
        </is>
      </c>
      <c r="G88" s="23" t="inlineStr">
        <is>
          <t>Neutro</t>
        </is>
      </c>
      <c r="H88" s="23" t="inlineStr">
        <is>
          <t>Médio</t>
        </is>
      </c>
      <c r="I88" s="23" t="inlineStr">
        <is>
          <t>Fonte: agenciabrasil.ebc.com.br. Descoberta via Google News; URL editorial direta não resolvida automaticamente.</t>
        </is>
      </c>
    </row>
    <row r="89">
      <c r="A89" s="33" t="n">
        <v>46293</v>
      </c>
      <c r="B89" s="23" t="inlineStr">
        <is>
          <t>Brasil promove Copa Feminina 2027 na FIT Latin America em Buenos Aires</t>
        </is>
      </c>
      <c r="C89" s="23" t="inlineStr">
        <is>
          <t>Turismo / promoção internacional / Copa Feminina 2027</t>
        </is>
      </c>
      <c r="D89" s="23" t="inlineStr">
        <is>
          <t>Buenos Aires/Argentina</t>
        </is>
      </c>
      <c r="E89" s="23" t="inlineStr">
        <is>
          <t>Travel2Latam</t>
        </is>
      </c>
      <c r="F89" s="23" t="inlineStr">
        <is>
          <t>https://en.travel2latam.com/news-110195-brazil-brings-the-world-cup-atmosphere-to-buenos-aires-and-invites-argentinians-to-experience-the-2027-womens-world-cup.html</t>
        </is>
      </c>
      <c r="G89" s="23" t="inlineStr">
        <is>
          <t>Positivo</t>
        </is>
      </c>
      <c r="H89" s="23" t="inlineStr">
        <is>
          <t>Médio</t>
        </is>
      </c>
      <c r="I89" s="23" t="inlineStr">
        <is>
          <t>O Brasil levou a atmosfera da Copa do Mundo Feminina de 2027 à FIT Latin America 2026, realizada em Buenos Aires de 26 a 29 de setembro, promovendo o torneio e convidando o público argentino a viajar ao país-sede. A ação conecta turismo internacional, experiência do torcedor e divulgação antecipada do Mundial.</t>
        </is>
      </c>
    </row>
    <row r="90">
      <c r="A90" s="33" t="n">
        <v>46279</v>
      </c>
      <c r="B90" s="23" t="inlineStr">
        <is>
          <t>Motorola prepara estratégia para a Copa Feminina 2027 no Brasil</t>
        </is>
      </c>
      <c r="C90" s="23" t="inlineStr">
        <is>
          <t>Patrocínio / marcas / Copa Feminina 2027</t>
        </is>
      </c>
      <c r="D90" s="23" t="inlineStr">
        <is>
          <t>Brasil</t>
        </is>
      </c>
      <c r="E90" s="23" t="inlineStr">
        <is>
          <t>UOL</t>
        </is>
      </c>
      <c r="F90" s="23" t="inlineStr">
        <is>
          <t>https://economia.uol.com.br/noticias/redacao/2026/09/14/midia-e-marketing-246-stella-colucci-diretora-de-marketing-da-motorola.ghtm</t>
        </is>
      </c>
      <c r="G90" s="23" t="inlineStr">
        <is>
          <t>Positivo</t>
        </is>
      </c>
      <c r="H90" s="23" t="inlineStr">
        <is>
          <t>Médio</t>
        </is>
      </c>
      <c r="I90" s="23" t="inlineStr">
        <is>
          <t>A diretora de marketing da Motorola no Brasil afirmou que a marca usa os aprendizados de seu primeiro ano de patrocínio à Copa do Mundo para planejar a atuação na Copa Feminina de 2027, que será realizada no país. A estratégia reforça esporte e lifestyle como pilares da comunicação da empresa.</t>
        </is>
      </c>
    </row>
    <row r="91">
      <c r="A91" s="33" t="n">
        <v>46292</v>
      </c>
      <c r="B91" s="23" t="inlineStr">
        <is>
          <t>Corinthians chega à final do Brasileirão Feminino com premiações atrasadas</t>
        </is>
      </c>
      <c r="C91" s="23" t="inlineStr">
        <is>
          <t>Clubes / gestão / futebol feminino</t>
        </is>
      </c>
      <c r="D91" s="23" t="inlineStr">
        <is>
          <t>São Paulo/SP</t>
        </is>
      </c>
      <c r="E91" s="23" t="inlineStr">
        <is>
          <t>UOL</t>
        </is>
      </c>
      <c r="F91" s="23" t="inlineStr">
        <is>
          <t>https://www.uol.com.br/esporte/futebol/ultimas-noticias/2026/09/27/corinthians-chega-a-final-com-premiacoes-de-2025-atrasadas-ha-um-ano.ghtm</t>
        </is>
      </c>
      <c r="G91" s="23" t="inlineStr">
        <is>
          <t>Negativo</t>
        </is>
      </c>
      <c r="H91" s="23" t="inlineStr">
        <is>
          <t>Médio</t>
        </is>
      </c>
      <c r="I91" s="23" t="inlineStr">
        <is>
          <t>As jogadoras do Corinthians chegaram à decisão do Brasileirão Feminino de 2026 com premiações da Libertadores de 2025, do vice no Mundial de Clubes e da Supercopa de 2026 ainda em atraso. O clube pretende usar recursos da venda de Letícia Teles para quitar os valores.</t>
        </is>
      </c>
    </row>
    <row r="92">
      <c r="A92" s="33" t="n">
        <v>46293</v>
      </c>
      <c r="B92" s="23" t="inlineStr">
        <is>
          <t>CBF desenvolve, com apoio da FIFA, estratégia para impulsionar o futebol feminino no país</t>
        </is>
      </c>
      <c r="C92" s="23" t="inlineStr">
        <is>
          <t>Desenvolvimento / estratégia / CBF e FIFA</t>
        </is>
      </c>
      <c r="D92" s="23" t="inlineStr">
        <is>
          <t>Brasil</t>
        </is>
      </c>
      <c r="E92" s="23" t="inlineStr">
        <is>
          <t>CBF</t>
        </is>
      </c>
      <c r="F92" s="23" t="inlineStr">
        <is>
          <t>https://cbf.media/</t>
        </is>
      </c>
      <c r="G92" s="23" t="inlineStr">
        <is>
          <t>Positivo</t>
        </is>
      </c>
      <c r="H92" s="23" t="inlineStr">
        <is>
          <t>Alto</t>
        </is>
      </c>
      <c r="I92" s="23" t="inlineStr">
        <is>
          <t>A CBF registrou um workshop realizado com apoio da FIFA para desenvolver uma estratégia de fortalecimento do futebol feminino no Brasil. A iniciativa integra o trabalho institucional de expansão e estruturação da modalidade no ciclo da Copa do Mundo Feminina de 2027.</t>
        </is>
      </c>
    </row>
    <row r="93">
      <c r="A93" s="33" t="n">
        <v>46293</v>
      </c>
      <c r="B93" s="23" t="inlineStr">
        <is>
          <t>Marta é homenageada em exposição do Museu da Fifa sobre camisas 10</t>
        </is>
      </c>
      <c r="C93" s="23" t="inlineStr">
        <is>
          <t>Marta / memória / futebol feminino</t>
        </is>
      </c>
      <c r="D93" s="23" t="inlineStr">
        <is>
          <t>Zurique/Suíça</t>
        </is>
      </c>
      <c r="E93" s="23" t="inlineStr">
        <is>
          <t>VEJA</t>
        </is>
      </c>
      <c r="F93" s="23" t="inlineStr">
        <is>
          <t>https://veja.abril.com.br/coluna/linha-de-frente/marta-e-homenageada-em-exposicao-do-museu-da-fifa-sobre-camisas-10/</t>
        </is>
      </c>
      <c r="G93" s="23" t="inlineStr">
        <is>
          <t>Positivo</t>
        </is>
      </c>
      <c r="H93" s="23" t="inlineStr">
        <is>
          <t>Médio</t>
        </is>
      </c>
      <c r="I93" s="23" t="inlineStr">
        <is>
          <t>Marta integra a exposição virtual “The Magic 10: Legends of the Beautiful Game”, criada pelo Museu da Fifa. A mostra celebra dez camisas 10 das Copas masculina e feminina e reúne momentos da carreira e peças do acervo oficial ligadas à brasileira.</t>
        </is>
      </c>
    </row>
    <row r="94">
      <c r="A94" s="33" t="n">
        <v>46293</v>
      </c>
      <c r="B94" s="23" t="inlineStr">
        <is>
          <t>São Paulo abre venda geral de ingressos para a final do Brasileirão Feminino</t>
        </is>
      </c>
      <c r="C94" s="23" t="inlineStr">
        <is>
          <t>Brasileirão Feminino / ingressos / final</t>
        </is>
      </c>
      <c r="D94" s="23" t="inlineStr">
        <is>
          <t>São Paulo/SP</t>
        </is>
      </c>
      <c r="E94" s="23" t="inlineStr">
        <is>
          <t>ge</t>
        </is>
      </c>
      <c r="F94" s="23" t="inlineStr">
        <is>
          <t>https://ge.globo.com/futebol/times/sao-paulo/noticia/2026/09/28/sao-paulo-abre-venda-geral-de-ingressos-para-final-do-brasileirao-feminino-veja-valores.ghtml</t>
        </is>
      </c>
      <c r="G94" s="23" t="inlineStr">
        <is>
          <t>Positivo</t>
        </is>
      </c>
      <c r="H94" s="23" t="inlineStr">
        <is>
          <t>Médio</t>
        </is>
      </c>
      <c r="I94" s="23" t="inlineStr">
        <is>
          <t>O São Paulo abriu a venda geral de ingressos para a decisão do Brasileirão Feminino contra o Corinthians, marcada para sábado, às 16h30, no Morumbis. As entradas custam de R$ 20 a R$ 40, e a torcida se mobiliza para buscar um novo recorde de público entre clubes no futebol feminino brasileiro.</t>
        </is>
      </c>
    </row>
    <row r="95">
      <c r="A95" s="33" t="n">
        <v>46293</v>
      </c>
      <c r="B95" s="23" t="inlineStr">
        <is>
          <t>Copa do Mundo Feminina abre últimas vagas para voluntários - LANCE!</t>
        </is>
      </c>
      <c r="C95" s="23" t="inlineStr">
        <is>
          <t>Copa Feminina 2027</t>
        </is>
      </c>
      <c r="D95" s="23" t="inlineStr">
        <is>
          <t>Brasil</t>
        </is>
      </c>
      <c r="E95" s="23" t="inlineStr">
        <is>
          <t>lance.com.br</t>
        </is>
      </c>
      <c r="F95" s="23" t="inlineStr">
        <is>
          <t>https://news.google.com/rss/articles/CBMixwFBVV95cUxOQ3ZOQzk4N1RXOEFSMkFyQXZqVzNJcmV5NFhmYnNLRXhzQVB0bGNZcnh3WkdDQVN5eU1oalhMNk5uSlVFTzJ3bEdSTVZ0Z1BKa1M0QVlXQXdicnhxZ0ZQWE05QVpzX3djOWJxTUpWMWVWME40a2FGcDhMRnlsdDJVRFVBR2JEMFgzdWM1ZTVnTG9WdmpHbER1Z2VpTVFVMjgzMHgya1lHY3dNODBJTHcyTUNRTzNBRmZRMGdPWnpQWFY3ZzVpbUVn?oc=5</t>
        </is>
      </c>
      <c r="G95" s="23" t="inlineStr">
        <is>
          <t>Neutro</t>
        </is>
      </c>
      <c r="H95" s="23" t="inlineStr">
        <is>
          <t>Médio</t>
        </is>
      </c>
      <c r="I95" s="23" t="inlineStr">
        <is>
          <t>Fonte: lance.com.br. Descoberta via Google News; URL editorial direta não resolvida automaticamente.</t>
        </is>
      </c>
    </row>
    <row r="96">
      <c r="A96" s="33" t="n">
        <v>46293</v>
      </c>
      <c r="B96" s="23" t="inlineStr">
        <is>
          <t>Lei cria diretrizes permanentes para o futebol feminino no Brasil - Agência Brasil</t>
        </is>
      </c>
      <c r="C96" s="23" t="inlineStr">
        <is>
          <t>Copa Feminina 2027</t>
        </is>
      </c>
      <c r="D96" s="23" t="inlineStr">
        <is>
          <t>Brasil</t>
        </is>
      </c>
      <c r="E96" s="23" t="inlineStr">
        <is>
          <t>agenciabrasil.ebc.com.br</t>
        </is>
      </c>
      <c r="F96" s="23" t="inlineStr">
        <is>
          <t>https://news.google.com/rss/articles/CBMixgFBVV95cUxNY2JxWHJVa0NiVWE2SFI4MHQ2T0x2blV5UGdmNkpwTjE2cl8xNUt4dGF4eGctUnliczNhdWtQSU5ZUXJhQXhNNkdRSUs4RWVzTkc2QnNybFpKYWpZSGQyQ1pMSjF1dHctbHpiaWtLWmpCWGdCR0YtSC1KczhQM2hLQnNmR1VaZUJMSkh3cWl2cktLbEtHRmtHZnQzdjh0NTNpUFhTbFpXZU03VnltU01DeW01VW1uOXVmcW1JeEdpMXJKRXJsNnc?oc=5</t>
        </is>
      </c>
      <c r="G96" s="23" t="inlineStr">
        <is>
          <t>Neutro</t>
        </is>
      </c>
      <c r="H96" s="23" t="inlineStr">
        <is>
          <t>Médio</t>
        </is>
      </c>
      <c r="I96" s="23" t="inlineStr">
        <is>
          <t>Fonte: agenciabrasil.ebc.com.br. Descoberta via Google News; URL editorial direta não resolvida automaticamente.</t>
        </is>
      </c>
    </row>
    <row r="97">
      <c r="A97" s="33" t="n">
        <v>46293</v>
      </c>
      <c r="B97" s="23" t="inlineStr">
        <is>
          <t>Lei do futebol feminino prevê equipes em clubes formadores e redução da desigualdade salarial - Diário do Nordeste</t>
        </is>
      </c>
      <c r="C97" s="23" t="inlineStr">
        <is>
          <t>Copa Feminina 2027</t>
        </is>
      </c>
      <c r="D97" s="23" t="inlineStr">
        <is>
          <t>Brasil</t>
        </is>
      </c>
      <c r="E97" s="23" t="inlineStr">
        <is>
          <t>diariodonordeste.verdesmares.com.br</t>
        </is>
      </c>
      <c r="F97" s="23" t="inlineStr">
        <is>
          <t>https://news.google.com/rss/articles/CBMi6gFBVV95cUxNOERjZmZ2aTFUb3EtSWdoa3AzMjBLTEdNMVVFZElsTGs3NFR4S0x0WmNELTdQWk1LUGdqaHpUT0NwWUtfYWJrTXA1eFBmanZ1SG1YV0NVbkxLU3VoSVpDemw1TnNpSEFuNnFPZUhYMENaTUx1M3RwWlVUTm04S1BibmNVTncxQjVNdWRUTVlDRUJFUU44VUFSVkQ0NEtNN1RvV3kyZmpZd3NrN1N6TU5kTW5VRnVlXzFvR1VzZ19ZaHBvdmMzN3JxS3BldnBjRXZfdVljNjNVVEhxVkZGd05KcjVWb2luVzlmNnc?oc=5</t>
        </is>
      </c>
      <c r="G97" s="23" t="inlineStr">
        <is>
          <t>Neutro</t>
        </is>
      </c>
      <c r="H97" s="23" t="inlineStr">
        <is>
          <t>Médio</t>
        </is>
      </c>
      <c r="I97" s="23" t="inlineStr">
        <is>
          <t>Fonte: diariodonordeste.verdesmares.com.br. Descoberta via Google News; URL editorial direta não resolvida automaticamente.</t>
        </is>
      </c>
    </row>
    <row r="98">
      <c r="A98" s="33" t="n">
        <v>46290</v>
      </c>
      <c r="B98" s="23" t="inlineStr">
        <is>
          <t>Futebol feminino pode perder milhões com restrições a patrocínios de bets</t>
        </is>
      </c>
      <c r="C98" s="23" t="inlineStr">
        <is>
          <t>Patrocínio / finanças / regulação</t>
        </is>
      </c>
      <c r="D98" s="23" t="inlineStr">
        <is>
          <t>Brasil</t>
        </is>
      </c>
      <c r="E98" s="23" t="inlineStr">
        <is>
          <t>Terra / RTI Esporte</t>
        </is>
      </c>
      <c r="F98" s="23" t="inlineStr">
        <is>
          <t>https://www.terra.com.br/esportes/futebol/futebol-feminino/futebol-feminino-pode-perder-milhoes-com-fim-das-bets,747bdd72e851a246c066f226267496145wgry9cd.html</t>
        </is>
      </c>
      <c r="G98" s="23" t="inlineStr">
        <is>
          <t>Negativo</t>
        </is>
      </c>
      <c r="H98" s="23" t="inlineStr">
        <is>
          <t>Alto</t>
        </is>
      </c>
      <c r="I98" s="23" t="inlineStr">
        <is>
          <t>O avanço de restrições a patrocínios de casas de apostas pode afetar de forma relevante as receitas do futebol feminino brasileiro. Em 2026, metade dos clubes da Série A1 tinha uma bet como patrocinadora máster, e a substituição desses contratos tende a ser mais difícil em uma modalidade com mercado comercial ainda menor que o masculino.</t>
        </is>
      </c>
    </row>
    <row r="99">
      <c r="A99" s="33" t="n">
        <v>46282</v>
      </c>
      <c r="B99" s="23" t="inlineStr">
        <is>
          <t>MPCE articula com CBF e FIFA protocolos de segurança para a Copa Feminina 2027</t>
        </is>
      </c>
      <c r="C99" s="23" t="inlineStr">
        <is>
          <t>Segurança / infraestrutura / Copa Feminina 2027</t>
        </is>
      </c>
      <c r="D99" s="23" t="inlineStr">
        <is>
          <t>Fortaleza/CE e Brasil</t>
        </is>
      </c>
      <c r="E99" s="23" t="inlineStr">
        <is>
          <t>Ministério Público do Estado do Ceará</t>
        </is>
      </c>
      <c r="F99" s="23" t="inlineStr">
        <is>
          <t>https://mpce.mp.br/mp-do-ceara-discute-seguranca-no-futebol-e-copa-do-mundo-feminina-de-2027-em-reunioes-com-cbf-e-fifa/</t>
        </is>
      </c>
      <c r="G99" s="23" t="inlineStr">
        <is>
          <t>Positivo</t>
        </is>
      </c>
      <c r="H99" s="23" t="inlineStr">
        <is>
          <t>Médio</t>
        </is>
      </c>
      <c r="I99" s="23" t="inlineStr">
        <is>
          <t>Representantes do MPCE e do Grupo Nacional de Prevenção e Combate à Violência nos Estádios se reuniram com CBF e FIFA para discutir protocolos, estratégias de segurança e articulação institucional para a Copa do Mundo Feminina de 2027, com foco em um ambiente seguro para atletas, torcedores e profissionais.</t>
        </is>
      </c>
    </row>
    <row r="100">
      <c r="A100" s="33" t="n">
        <v>46278</v>
      </c>
      <c r="B100" s="23" t="inlineStr">
        <is>
          <t>Sicoob fecha patrocínio de três anos com as principais competições do futebol feminino brasileiro</t>
        </is>
      </c>
      <c r="C100" s="23" t="inlineStr">
        <is>
          <t>Patrocínio / marcas / futebol feminino</t>
        </is>
      </c>
      <c r="D100" s="23" t="inlineStr">
        <is>
          <t>Brasil</t>
        </is>
      </c>
      <c r="E100" s="23" t="inlineStr">
        <is>
          <t>Sicoob</t>
        </is>
      </c>
      <c r="F100" s="23" t="inlineStr">
        <is>
          <t>https://www.sicoob.com.br/web/sicoobcredivar/noticias/-/asset_publisher/xAioIawpOI5S/content/id/322906091</t>
        </is>
      </c>
      <c r="G100" s="23" t="inlineStr">
        <is>
          <t>Positivo</t>
        </is>
      </c>
      <c r="H100" s="23" t="inlineStr">
        <is>
          <t>Alto</t>
        </is>
      </c>
      <c r="I100" s="23" t="inlineStr">
        <is>
          <t>O Sicoob passou a patrocinar o Campeonato Brasileiro Feminino, a Copa do Brasil Feminina e a Supercopa Feminina em um acordo de três anos. A marca se junta a Amazon, Hyundai, Itambé e Uber e reforça o crescimento comercial da modalidade no ciclo da Copa do Mundo Feminina de 2027.</t>
        </is>
      </c>
    </row>
    <row r="101">
      <c r="A101" s="33" t="n">
        <v>46290</v>
      </c>
      <c r="B101" s="23" t="inlineStr">
        <is>
          <t>Inscrições para voluntariado da Copa Feminina 2027 terminam em 7 de outubro</t>
        </is>
      </c>
      <c r="C101" s="23" t="inlineStr">
        <is>
          <t>Voluntariado / oportunidade / Copa Feminina 2027</t>
        </is>
      </c>
      <c r="D101" s="23" t="inlineStr">
        <is>
          <t>Oito cidades-sede/Brasil</t>
        </is>
      </c>
      <c r="E101" s="23" t="inlineStr">
        <is>
          <t>ge</t>
        </is>
      </c>
      <c r="F101" s="23" t="inlineStr">
        <is>
          <t>https://ge.globo.com/futebol/futebol-internacional/noticia/2026/09/25/selecao-de-voluntarios-para-a-copa-feminina-2027-entra-na-reta-final.ghtml</t>
        </is>
      </c>
      <c r="G101" s="23" t="inlineStr">
        <is>
          <t>Positivo</t>
        </is>
      </c>
      <c r="H101" s="23" t="inlineStr">
        <is>
          <t>Alto</t>
        </is>
      </c>
      <c r="I101" s="23" t="inlineStr">
        <is>
          <t>As inscrições para o programa de voluntariado da Copa do Mundo Feminina de 2027 ficam abertas até 7 de outubro. Mais de seis mil pessoas serão selecionadas para atuar nas oito cidades-sede, em mais de 20 áreas, incluindo estádios, aeroportos, centros de treinamento, hotéis e imprensa.</t>
        </is>
      </c>
    </row>
    <row r="102">
      <c r="A102" s="33" t="n">
        <v>46292</v>
      </c>
      <c r="B102" s="23" t="inlineStr">
        <is>
          <t>Damião projeta Copa do Mundo Feminina em BH: 'Seremos a melhor sede' - O TEMPO</t>
        </is>
      </c>
      <c r="C102" s="23" t="inlineStr">
        <is>
          <t>Copa Feminina 2027</t>
        </is>
      </c>
      <c r="D102" s="23" t="inlineStr">
        <is>
          <t>Brasil</t>
        </is>
      </c>
      <c r="E102" s="23" t="inlineStr">
        <is>
          <t>otempo.com.br</t>
        </is>
      </c>
      <c r="F102" s="23" t="inlineStr">
        <is>
          <t>https://news.google.com/rss/articles/CBMiwwFBVV95cUxPSlFUTEF4VGdhOW5GZmdWcEwtR01oVWY2UnpHb29VRFBCMTVuSEs5WkV6ZHRna0NlVllGa1lCQ1MyaGxicjBhV2s0NGtwZVhCc2JrMXJkN0l1MXlwZkJjU0NuNTdoWVhoRmJvYTJIcWN5N0RUYTdqSXcwZVR0U1NuU2d6aFhHN0VUdFJUV0RNU1FlUkE0Y1ljSXVHMl9WeFdoR0hlSFY5V0xDbzVlazR6Rm9Jb0EzZEppQmlZZzBfTjVsYmc?oc=5</t>
        </is>
      </c>
      <c r="G102" s="23" t="inlineStr">
        <is>
          <t>Neutro</t>
        </is>
      </c>
      <c r="H102" s="23" t="inlineStr">
        <is>
          <t>Médio</t>
        </is>
      </c>
      <c r="I102" s="23" t="inlineStr">
        <is>
          <t>Fonte: otempo.com.br. Descoberta via Google News; URL editorial direta não resolvida automaticamente.</t>
        </is>
      </c>
    </row>
    <row r="103">
      <c r="A103" s="33" t="n">
        <v>46291</v>
      </c>
      <c r="B103" s="23" t="inlineStr">
        <is>
          <t>São Paulo vence Corinthians de virada e abre vantagem na final do Brasileiro Feminino</t>
        </is>
      </c>
      <c r="C103" s="23" t="inlineStr">
        <is>
          <t>Brasileirão Feminino / final / recorde de público</t>
        </is>
      </c>
      <c r="D103" s="23" t="inlineStr">
        <is>
          <t>São Paulo/SP</t>
        </is>
      </c>
      <c r="E103" s="23" t="inlineStr">
        <is>
          <t>CBF</t>
        </is>
      </c>
      <c r="F103" s="23" t="inlineStr">
        <is>
          <t>https://www.cbf.com.br/futebol-brasileiro/noticias/jogosdehoje-campeonato-brasileiro-feminino-a1/a/sao-paulo-vence-o-corinthians-de-virada-por-2-a-1-no-jogo-de-ida-da-final-do-feminino-a-1</t>
        </is>
      </c>
      <c r="G103" s="23" t="inlineStr">
        <is>
          <t>Positivo</t>
        </is>
      </c>
      <c r="H103" s="23" t="inlineStr">
        <is>
          <t>Alto</t>
        </is>
      </c>
      <c r="I103" s="23" t="inlineStr">
        <is>
          <t>O São Paulo venceu o Corinthians por 2 a 1, de virada, na Neo Química Arena, e abriu vantagem na decisão do Brasileiro Feminino A1. O jogo reuniu 21.871 torcedores, recorde das competições nacionais femininas em 2026. A partida de volta será em 3 de outubro, às 16h30, no MorumBIS.</t>
        </is>
      </c>
    </row>
    <row r="104">
      <c r="A104" s="33" t="n">
        <v>46291</v>
      </c>
      <c r="B104" s="23" t="inlineStr">
        <is>
          <t>Corinthians e São Paulo chegam à final do Brasileiro Feminino no topo das estatísticas</t>
        </is>
      </c>
      <c r="C104" s="23" t="inlineStr">
        <is>
          <t>Brasileirão Feminino / final / desempenho</t>
        </is>
      </c>
      <c r="D104" s="23" t="inlineStr">
        <is>
          <t>São Paulo/SP</t>
        </is>
      </c>
      <c r="E104" s="23" t="inlineStr">
        <is>
          <t>ge</t>
        </is>
      </c>
      <c r="F104" s="23" t="inlineStr">
        <is>
          <t>https://ge.globo.com/gato-mestre/noticia/2026/09/26/no-topo-das-estatisticas-corinthians-e-sao-paulo-decidem-brasileiro-feminino.ghtml</t>
        </is>
      </c>
      <c r="G104" s="23" t="inlineStr">
        <is>
          <t>Positivo</t>
        </is>
      </c>
      <c r="H104" s="23" t="inlineStr">
        <is>
          <t>Médio</t>
        </is>
      </c>
      <c r="I104" s="23" t="inlineStr">
        <is>
          <t>Corinthians e São Paulo, os dois times que mais pontuaram no Brasileiro Feminino de 2026, se enfrentam na decisão após disputarem a liderança até a última rodada da primeira fase. O confronto reúne os melhores desempenhos estatísticos da competição e reforça a visibilidade do futebol feminino nacional no ciclo rumo à Copa de 2027.</t>
        </is>
      </c>
    </row>
    <row r="105">
      <c r="A105" s="33" t="n">
        <v>46290</v>
      </c>
      <c r="B105" s="23" t="inlineStr">
        <is>
          <t>Clarinha ganha oportunidade na Seleção principal de olho na Copa do Mundo 2027</t>
        </is>
      </c>
      <c r="C105" s="23" t="inlineStr">
        <is>
          <t>Seleção Brasileira / convocação / ciclo 2027</t>
        </is>
      </c>
      <c r="D105" s="23" t="inlineStr">
        <is>
          <t>Brasil/GO</t>
        </is>
      </c>
      <c r="E105" s="23" t="inlineStr">
        <is>
          <t>O Popular</t>
        </is>
      </c>
      <c r="F105" s="23" t="inlineStr">
        <is>
          <t>https://opopular.com.br/esporte/como-jogadora-goiana-pode-aproveitar-amistosos-e-entrar-na-briga-por-vaga-na-copa-do-mundo-2027-1.3460564</t>
        </is>
      </c>
      <c r="G105" s="23" t="inlineStr">
        <is>
          <t>Positivo</t>
        </is>
      </c>
      <c r="H105" s="23" t="inlineStr">
        <is>
          <t>Médio</t>
        </is>
      </c>
      <c r="I105" s="23" t="inlineStr">
        <is>
          <t>A meia Clarinha, de 20 anos, foi convocada por Arthur Elias para os amistosos da Seleção Brasileira Feminina principal contra a Argentina. A oportunidade coloca a jogadora goiana na disputa por espaço no grupo que se prepara para a Copa do Mundo de 2027 no Brasil.</t>
        </is>
      </c>
    </row>
    <row r="106">
      <c r="A106" s="33" t="n">
        <v>46286</v>
      </c>
      <c r="B106" s="23" t="inlineStr">
        <is>
          <t>Ingressos para Brasil x Argentina na Arena de Pernambuco custam de R$ 20 a R$ 60</t>
        </is>
      </c>
      <c r="C106" s="23" t="inlineStr">
        <is>
          <t>Seleção Brasileira / ingressos / amistoso</t>
        </is>
      </c>
      <c r="D106" s="23" t="inlineStr">
        <is>
          <t>São Lourenço da Mata/PE</t>
        </is>
      </c>
      <c r="E106" s="23" t="inlineStr">
        <is>
          <t>ge</t>
        </is>
      </c>
      <c r="F106" s="23" t="inlineStr">
        <is>
          <t>https://ge.globo.com/pe/futebol/noticia/2026/09/21/brasil-x-argentina-ingressos-para-amistoso-na-arena-de-pernambuco-comecam-a-ser-vendidos.ghtml</t>
        </is>
      </c>
      <c r="G106" s="23" t="inlineStr">
        <is>
          <t>Positivo</t>
        </is>
      </c>
      <c r="H106" s="23" t="inlineStr">
        <is>
          <t>Médio</t>
        </is>
      </c>
      <c r="I106" s="23" t="inlineStr">
        <is>
          <t>Começou a venda de ingressos para o amistoso da Seleção Brasileira Feminina principal contra a Argentina, marcado para 13 de outubro de 2026, às 20h30, na Arena de Pernambuco. Os preços variam de R$ 20 a R$ 60 e os portões abrirão às 18h30.</t>
        </is>
      </c>
    </row>
    <row r="107">
      <c r="A107" s="33" t="n">
        <v>46269</v>
      </c>
      <c r="B107" s="23" t="inlineStr">
        <is>
          <t>Salvador aposta em turismo, conectividade e mobilidade para a Copa Feminina 2027</t>
        </is>
      </c>
      <c r="C107" s="23" t="inlineStr">
        <is>
          <t>Cidade-sede / turismo / infraestrutura / mobilidade</t>
        </is>
      </c>
      <c r="D107" s="23" t="inlineStr">
        <is>
          <t>Salvador/BA</t>
        </is>
      </c>
      <c r="E107" s="23" t="inlineStr">
        <is>
          <t>Portal do Casé</t>
        </is>
      </c>
      <c r="F107" s="23" t="inlineStr">
        <is>
          <t>https://portaldocase.com.br/categoria/salvador/noticias/salvador-aposta-em-turismo-e-conectividade-para-receber-copa-do-mundo-feminina-de-2027</t>
        </is>
      </c>
      <c r="G107" s="23" t="inlineStr">
        <is>
          <t>Positivo</t>
        </is>
      </c>
      <c r="H107" s="23" t="inlineStr">
        <is>
          <t>Alto</t>
        </is>
      </c>
      <c r="I107" s="23" t="inlineStr">
        <is>
          <t>Salvador prepara a recepção da Copa Feminina 2027 com mais de R$ 400 milhões em intervenções aeroportuárias, promoção de roteiros turísticos e uso do BRT e do metrô para o deslocamento de torcedores e delegações. A Arena Fonte Nova receberá sete partidas.</t>
        </is>
      </c>
    </row>
    <row r="108">
      <c r="A108" s="33" t="n">
        <v>46263</v>
      </c>
      <c r="B108" s="23" t="inlineStr">
        <is>
          <t>Por que o futebol feminino virou o novo queridinho das marcas</t>
        </is>
      </c>
      <c r="C108" s="23" t="inlineStr">
        <is>
          <t>Marcas / mídia / direitos de transmissão / Copa Feminina 2027</t>
        </is>
      </c>
      <c r="D108" s="23" t="inlineStr">
        <is>
          <t>Brasil</t>
        </is>
      </c>
      <c r="E108" s="23" t="inlineStr">
        <is>
          <t>Times Brasil / CNBC</t>
        </is>
      </c>
      <c r="F108" s="23" t="inlineStr">
        <is>
          <t>https://timesbrasil.com.br/colunas/fabrica-de-midia/por-que-o-futebol-feminino-virou-o-novo-queridinho-das-marcas/</t>
        </is>
      </c>
      <c r="G108" s="23" t="inlineStr">
        <is>
          <t>Positivo</t>
        </is>
      </c>
      <c r="H108" s="23" t="inlineStr">
        <is>
          <t>Médio</t>
        </is>
      </c>
      <c r="I108" s="23" t="inlineStr">
        <is>
          <t>A expansão de audiência, receitas, patrocínios e direitos de transmissão elevou o futebol feminino a um novo patamar comercial. A análise destaca a Copa Feminina 2027 no Brasil como teste estratégico desse crescimento e aborda o acordo da Netflix para os direitos do torneio nos Estados Unidos.</t>
        </is>
      </c>
    </row>
    <row r="109">
      <c r="A109" s="33" t="n">
        <v>46287</v>
      </c>
      <c r="B109" s="23" t="inlineStr">
        <is>
          <t>FIFA e FBF discutem legado permanente da Copa Feminina 2027 para o futebol baiano</t>
        </is>
      </c>
      <c r="C109" s="23" t="inlineStr">
        <is>
          <t>Legado / infraestrutura / federação</t>
        </is>
      </c>
      <c r="D109" s="23" t="inlineStr">
        <is>
          <t>Salvador/BA</t>
        </is>
      </c>
      <c r="E109" s="23" t="inlineStr">
        <is>
          <t>Federação Bahiana de Futebol</t>
        </is>
      </c>
      <c r="F109" s="23" t="inlineStr">
        <is>
          <t>https://www.fbf.org.br/noticias/detalhe/13087</t>
        </is>
      </c>
      <c r="G109" s="23" t="inlineStr">
        <is>
          <t>Positivo</t>
        </is>
      </c>
      <c r="H109" s="23" t="inlineStr">
        <is>
          <t>Médio</t>
        </is>
      </c>
      <c r="I109" s="23" t="inlineStr">
        <is>
          <t>Representantes da FIFA e da Federação Bahiana de Futebol discutiram, na Arena Fonte Nova, o legado da Copa Feminina 2027 para o futebol da Bahia, com foco em infraestrutura, formação de atletas e profissionalização. A reunião prevê novos encontros até o Mundial, e a vistoria técnica no estádio foi avaliada positivamente.</t>
        </is>
      </c>
    </row>
    <row r="110">
      <c r="A110" s="33" t="n">
        <v>46287</v>
      </c>
      <c r="B110" s="23" t="inlineStr">
        <is>
          <t>Jéssica Lima integrará comissão da Seleção Feminina nos amistosos contra a Argentina</t>
        </is>
      </c>
      <c r="C110" s="23" t="inlineStr">
        <is>
          <t>Seleção Brasileira / comissão técnica</t>
        </is>
      </c>
      <c r="D110" s="23" t="inlineStr">
        <is>
          <t>Porto Alegre/RS e Recife/PE</t>
        </is>
      </c>
      <c r="E110" s="23" t="inlineStr">
        <is>
          <t>GZH</t>
        </is>
      </c>
      <c r="F110" s="23" t="inlineStr">
        <is>
          <t>https://gauchazh.clicrbs.com.br/esportes/futebol-feminino/noticia/2026/09/tecnica-do-gremio-sera-auxiliar-de-arthur-elias-em-amistosos-da-selecao-feminina-cmud0591i003f01iellks1p98.html</t>
        </is>
      </c>
      <c r="G110" s="23" t="inlineStr">
        <is>
          <t>Positivo</t>
        </is>
      </c>
      <c r="H110" s="23" t="inlineStr">
        <is>
          <t>Médio</t>
        </is>
      </c>
      <c r="I110" s="23" t="inlineStr">
        <is>
          <t>Jéssica Lima, técnica do Grêmio, foi escolhida para atuar como auxiliar de Arthur Elias nos amistosos da Seleção Brasileira Feminina principal contra a Argentina, em 10 de outubro no Beira-Rio e em 13 de outubro na Arena de Pernambuco. A participação atende ao regulamento da FIFA e amplia a integração de treinadoras de clubes com a comissão da Seleção no ciclo da Copa de 2027.</t>
        </is>
      </c>
    </row>
    <row r="111">
      <c r="A111" s="33" t="n">
        <v>46288</v>
      </c>
      <c r="B111" s="23" t="inlineStr">
        <is>
          <t>Brasil x Argentina em Recife vende 12.418 ingressos em menos de 24 horas</t>
        </is>
      </c>
      <c r="C111" s="23" t="inlineStr">
        <is>
          <t>Seleção Brasileira / ingressos / Arena de Pernambuco</t>
        </is>
      </c>
      <c r="D111" s="23" t="inlineStr">
        <is>
          <t>São Lourenço da Mata/PE</t>
        </is>
      </c>
      <c r="E111" s="23" t="inlineStr">
        <is>
          <t>Jornal do Commercio</t>
        </is>
      </c>
      <c r="F111" s="23" t="inlineStr">
        <is>
          <t>https://jc.uol.com.br/blog-do-torcedor/futebol/selecao-brasileira/2026/09/23/brasil-x-argentina-na-arena-de-pernambuco-mais-de-12-mil-ingressos-foram-vendidos-com-setores-leste-e-oeste-esgotados.html</t>
        </is>
      </c>
      <c r="G111" s="23" t="inlineStr">
        <is>
          <t>Positivo</t>
        </is>
      </c>
      <c r="H111" s="23" t="inlineStr">
        <is>
          <t>Alto</t>
        </is>
      </c>
      <c r="I111" s="23" t="inlineStr">
        <is>
          <t>O amistoso entre Brasil e Argentina, marcado para 13/10/2026 às 20h30 na Arena de Pernambuco, vendeu 12.418 ingressos em menos de 24 horas. Os setores Leste Inferior e Oeste Inferior esgotaram, reforçando a expectativa de forte mobilização de público para a Seleção Feminina e para a preparação da sede rumo à Copa de 2027.</t>
        </is>
      </c>
    </row>
    <row r="112">
      <c r="A112" s="33" t="n">
        <v>46290</v>
      </c>
      <c r="B112" s="23" t="inlineStr">
        <is>
          <t>Fifa banca metade do gramado do Castelão para Copa do Mundo de 2027 - Terra</t>
        </is>
      </c>
      <c r="C112" s="23" t="inlineStr">
        <is>
          <t>Copa Feminina 2027</t>
        </is>
      </c>
      <c r="D112" s="23" t="inlineStr">
        <is>
          <t>Brasil</t>
        </is>
      </c>
      <c r="E112" s="23" t="inlineStr">
        <is>
          <t>terra.com.br</t>
        </is>
      </c>
      <c r="F112" s="23" t="inlineStr">
        <is>
          <t>https://news.google.com/rss/articles/CBMiggJBVV95cUxQc2paRmJyYk84Zlptc2xENUh3VW1BR043aFRERzJ4SkhQZVdRX2VHRk5IM0VIYm8wclRKRV9IZ2czdUdUUlBVckpPeXBuSS1oSFJVWTNtUFVIMUJkRjhFSkpPUlJSSVN3Q084dy1UeDVYeEhYRmoyRHgyc1ZDMGJmM0dyUUYwTlFxNHZ3MF9RTy1PUmFHMThxWUJaMmlMOWkxLV9fTG5hR0VLanRBSHByb0dSRFk0U3N0WHlhSWFXNWpxOU82OVBDT1N3dlpSclFYOGNCdkl5OTdJTnJlb1ZPcjlGTXpyUVp5Y0xpTmhBV1A4SDVVcjBsUUlQYVdYVFV1YUE?oc=5</t>
        </is>
      </c>
      <c r="G112" s="23" t="inlineStr">
        <is>
          <t>Neutro</t>
        </is>
      </c>
      <c r="H112" s="23" t="inlineStr">
        <is>
          <t>Médio</t>
        </is>
      </c>
      <c r="I112" s="23" t="inlineStr">
        <is>
          <t>Fonte: terra.com.br. Descoberta via Google News; URL editorial direta não resolvida automaticamente.</t>
        </is>
      </c>
    </row>
    <row r="113">
      <c r="A113" s="33" t="n">
        <v>46281</v>
      </c>
      <c r="B113" s="23" t="inlineStr">
        <is>
          <t>Trade turístico de Porto Alegre inicia preparação conjunta para a Copa Feminina 2027</t>
        </is>
      </c>
      <c r="C113" s="23" t="inlineStr">
        <is>
          <t>Turismo / hospitalidade / mobilidade / cidade-sede</t>
        </is>
      </c>
      <c r="D113" s="23" t="inlineStr">
        <is>
          <t>Porto Alegre/RS</t>
        </is>
      </c>
      <c r="E113" s="23" t="inlineStr">
        <is>
          <t>SINDHA</t>
        </is>
      </c>
      <c r="F113" s="23" t="inlineStr">
        <is>
          <t>https://www.sindha.org.br/noticias-home/item/copa-feminina-2027-mobiliza-trade-turistico-de-porto-alegre-para-preparacao-da-cidade</t>
        </is>
      </c>
      <c r="G113" s="23" t="inlineStr">
        <is>
          <t>Positivo</t>
        </is>
      </c>
      <c r="H113" s="23" t="inlineStr">
        <is>
          <t>Médio</t>
        </is>
      </c>
      <c r="I113" s="23" t="inlineStr">
        <is>
          <t>Representantes do poder público, hotelaria, gastronomia, comércio, agências de viagens, turismo e transporte iniciaram uma preparação conjunta para a Copa Feminina 2027 em Porto Alegre. O planejamento inclui receptivo qualificado, ambientação da cidade e dos empreendimentos, além de uma estimativa local de 700 a mil voluntários.</t>
        </is>
      </c>
    </row>
    <row r="114">
      <c r="A114" s="33" t="n">
        <v>46288</v>
      </c>
      <c r="B114" s="23" t="inlineStr">
        <is>
          <t>Venda de ingressos para Brasil x Argentina começa em Porto Alegre</t>
        </is>
      </c>
      <c r="C114" s="23" t="inlineStr">
        <is>
          <t>Seleção Brasileira principal / ingressos / engajamento de torcedores</t>
        </is>
      </c>
      <c r="D114" s="23" t="inlineStr">
        <is>
          <t>Porto Alegre/RS</t>
        </is>
      </c>
      <c r="E114" s="23" t="inlineStr">
        <is>
          <t>Prefeitura de Porto Alegre</t>
        </is>
      </c>
      <c r="F114" s="23" t="inlineStr">
        <is>
          <t>https://www.prefeitura.poa.br/secopa2027/noticias/comeca-venda-de-ingressos-para-o-amistoso-feminino-brasil-x-argentina-em-porto</t>
        </is>
      </c>
      <c r="G114" s="23" t="inlineStr">
        <is>
          <t>Positivo</t>
        </is>
      </c>
      <c r="H114" s="23" t="inlineStr">
        <is>
          <t>Médio</t>
        </is>
      </c>
      <c r="I114" s="23" t="inlineStr">
        <is>
          <t>A venda de ingressos para o amistoso entre Brasil e Argentina foi aberta. A partida será disputada em 10/10/2026, às 16h30, no Beira-Rio, marcando a primeira atuação da Seleção Brasileira Feminina principal no estádio e integrando a preparação para a Copa do Mundo Feminina 2027.</t>
        </is>
      </c>
    </row>
    <row r="115">
      <c r="A115" s="33" t="n">
        <v>46290</v>
      </c>
      <c r="B115" s="23" t="inlineStr">
        <is>
          <t>Copa do Mundo Feminina terá mais de 6 mil voluntários; veja como participar - UOL</t>
        </is>
      </c>
      <c r="C115" s="23" t="inlineStr">
        <is>
          <t>Copa Feminina 2027</t>
        </is>
      </c>
      <c r="D115" s="23" t="inlineStr">
        <is>
          <t>Brasil</t>
        </is>
      </c>
      <c r="E115" s="23" t="inlineStr">
        <is>
          <t>uol.com.br</t>
        </is>
      </c>
      <c r="F115" s="23" t="inlineStr">
        <is>
          <t>https://news.google.com/rss/articles/CBMiqwFBVV95cUxNZHJCbVBmWWxad2JUbGQ1TnZIaDVWcDV6eTZBcFRaM3pURml6ZEFRejdlV1M2anVWZUp4SzVSWkNWVEZNTnprMDN6WUVjTFd6WnVNY3JkcUZTb0g3X3I5dmMtdnFJN3pKSy1abG0wWDdUbTJXNTNZSUwwR3VuTUxMN0NNclhPWVVKMGw1S0Y1SUgxU1FGWHRVc2hyNmtxbnE2Wm9MOWRyVEQ4MDA?oc=5</t>
        </is>
      </c>
      <c r="G115" s="23" t="inlineStr">
        <is>
          <t>Neutro</t>
        </is>
      </c>
      <c r="H115" s="23" t="inlineStr">
        <is>
          <t>Médio</t>
        </is>
      </c>
      <c r="I115" s="23" t="inlineStr">
        <is>
          <t>Fonte: uol.com.br. Descoberta via Google News; URL editorial direta não resolvida automaticamente.</t>
        </is>
      </c>
    </row>
    <row r="116">
      <c r="A116" s="33" t="n">
        <v>46289</v>
      </c>
      <c r="B116" s="23" t="inlineStr">
        <is>
          <t>Copa Feminina 2027 deve criar mais de 70 mil postos de trabalho no Brasil</t>
        </is>
      </c>
      <c r="C116" s="23" t="inlineStr">
        <is>
          <t>Impacto econômico / emprego</t>
        </is>
      </c>
      <c r="D116" s="23" t="inlineStr">
        <is>
          <t>Brasil</t>
        </is>
      </c>
      <c r="E116" s="23" t="inlineStr">
        <is>
          <t>Jornal do Comércio</t>
        </is>
      </c>
      <c r="F116" s="23" t="inlineStr">
        <is>
          <t>https://www.jornaldocomercio.com/economia/2026/09/1264550-copa-do-mundo-feminina-2027-deve-movimentar-criar-mais-de-70-mil-postos-de-trabalho-no-brasil-aponta-fgv.html</t>
        </is>
      </c>
      <c r="G116" s="23" t="inlineStr">
        <is>
          <t>Positivo</t>
        </is>
      </c>
      <c r="H116" s="23" t="inlineStr">
        <is>
          <t>Alto</t>
        </is>
      </c>
      <c r="I116" s="23" t="inlineStr">
        <is>
          <t>Projeção atribuída à FGV indica que a Copa do Mundo Feminina de 2027 poderá movimentar R$ 8,8 bilhões, gerar mais de 70 mil postos de trabalho diretos e indiretos e acrescentar R$ 4,5 bilhões em renda no Brasil.</t>
        </is>
      </c>
    </row>
    <row r="117">
      <c r="A117" s="33" t="n">
        <v>46290</v>
      </c>
      <c r="B117" s="23" t="inlineStr">
        <is>
          <t>Arena de Pernambuco prepara novo gramado e iluminação LED padrão FIFA para 2027</t>
        </is>
      </c>
      <c r="C117" s="23" t="inlineStr">
        <is>
          <t>Infraestrutura de estádio-sede</t>
        </is>
      </c>
      <c r="D117" s="23" t="inlineStr">
        <is>
          <t>São Lourenço da Mata/PE</t>
        </is>
      </c>
      <c r="E117" s="23" t="inlineStr">
        <is>
          <t>TCE-PE / Tome Conta</t>
        </is>
      </c>
      <c r="F117" s="23" t="inlineStr">
        <is>
          <t>https://tomeconta.tce.pe.gov.br/dados/LicitacoesUJEstadual%21principal?unidadeJurisEstadual.codigo=560801</t>
        </is>
      </c>
      <c r="G117" s="23" t="inlineStr">
        <is>
          <t>Positivo</t>
        </is>
      </c>
      <c r="H117" s="23" t="inlineStr">
        <is>
          <t>Alto</t>
        </is>
      </c>
      <c r="I117" s="23" t="inlineStr">
        <is>
          <t>A Empresa de Turismo de Pernambuco mantém processo licitatório para substituir o gramado da Arena de Pernambuco, com orçamento estimado em R$ 5,28 milhões, incluindo manutenção e adequações do campo aos requisitos da FIFA para a Copa Feminina 2027. Outro processo, ainda em rascunho, prevê iluminação esportiva em LED padrão FIFA, com automação, comissionamento e treinamento operacional.</t>
        </is>
      </c>
    </row>
    <row r="118">
      <c r="A118" s="33" t="n">
        <v>46283</v>
      </c>
      <c r="B118" s="23" t="inlineStr">
        <is>
          <t>CNDH recebe coordenação da Copa Feminina 2027 em reunião ordinária</t>
        </is>
      </c>
      <c r="C118" s="23" t="inlineStr">
        <is>
          <t>Direitos humanos / preparação institucional / Copa Feminina 2027</t>
        </is>
      </c>
      <c r="D118" s="23" t="inlineStr">
        <is>
          <t>Brasília/DF</t>
        </is>
      </c>
      <c r="E118" s="23" t="inlineStr">
        <is>
          <t>Conselho Nacional dos Direitos Humanos (CNDH)</t>
        </is>
      </c>
      <c r="F118" s="23" t="inlineStr">
        <is>
          <t>https://www.instagram.com/p/DdcLeukn84d/</t>
        </is>
      </c>
      <c r="G118" s="23" t="inlineStr">
        <is>
          <t>Neutro</t>
        </is>
      </c>
      <c r="H118" s="23" t="inlineStr">
        <is>
          <t>Médio</t>
        </is>
      </c>
      <c r="I118" s="23" t="inlineStr">
        <is>
          <t>O Conselho Nacional dos Direitos Humanos informou que recebeu a coordenação-geral da Copa do Mundo Feminina na 101ª Reunião Ordinária. A participação insere a dimensão de direitos humanos na preparação institucional do torneio no Brasil.</t>
        </is>
      </c>
    </row>
    <row r="119">
      <c r="A119" s="33" t="n">
        <v>46289</v>
      </c>
      <c r="B119" s="23" t="inlineStr">
        <is>
          <t>Mineirão terá gramado híbrido por exigência da FIFA para a Copa Feminina 2027</t>
        </is>
      </c>
      <c r="C119" s="23" t="inlineStr">
        <is>
          <t>Estádios / infraestrutura / Copa Feminina 2027</t>
        </is>
      </c>
      <c r="D119" s="23" t="inlineStr">
        <is>
          <t>Belo Horizonte/MG</t>
        </is>
      </c>
      <c r="E119" s="23" t="inlineStr">
        <is>
          <t>Rede 98</t>
        </is>
      </c>
      <c r="F119" s="23" t="inlineStr">
        <is>
          <t>https://rede98.com.br/esportes/futebol-minas/mineirao-troca-gramado-copa-do-mundo-feminina-2027/</t>
        </is>
      </c>
      <c r="G119" s="23" t="inlineStr">
        <is>
          <t>Positivo</t>
        </is>
      </c>
      <c r="H119" s="23" t="inlineStr">
        <is>
          <t>Alto</t>
        </is>
      </c>
      <c r="I119" s="23" t="inlineStr">
        <is>
          <t>O Mineirão substituirá o gramado totalmente natural por um sistema híbrido, com fibras de polietileno costuradas à grama natural. A intervenção, prevista para depois do Campeonato Brasileiro de 2026, atende a uma exigência da FIFA para o Mundial Feminino de 2027.</t>
        </is>
      </c>
    </row>
    <row r="120">
      <c r="A120" s="33" t="n">
        <v>46289</v>
      </c>
      <c r="B120" s="23" t="inlineStr">
        <is>
          <t>Copa do Mundo Feminina 2027: Fifa conclui terceira rodada de inspeções em estádios - ge</t>
        </is>
      </c>
      <c r="C120" s="23" t="inlineStr">
        <is>
          <t>Copa Feminina 2027</t>
        </is>
      </c>
      <c r="D120" s="23" t="inlineStr">
        <is>
          <t>Brasil</t>
        </is>
      </c>
      <c r="E120" s="23" t="inlineStr">
        <is>
          <t>ge.globo.com</t>
        </is>
      </c>
      <c r="F120" s="23" t="inlineStr">
        <is>
          <t>https://news.google.com/rss/articles/CBMi_gFBVV95cUxPNUhYenNOdUc5Q2lUZlg2MHFxODlldjVmcEZLd2R6a1E4TFdpN3dNX0E4NHJwYnhQeVcweFZWcnJUSjM1bWd3NjRUUE9JcHdMc0lONGw0cVRhV1UxaVFZYTg0VGk2Z0xCMTdxRnBqWEZYdm11dmw3MGdPNEloQ2ZhTmZoS2l6MktGTmgtcUlYdTB0dElMbDFjbEZqd1h3UE5ZTEZybExCMVlxNk8wazdVZVlWemZRNEZmSS1oNnB2QXlhTzVwTTRYaWpQc0dLcnlaVlJFRk01b0FVTUtEREk3VGJKeHZNMm42VThNOWZMNTRKYTNpQ1RCMGlNLXh0Z9IB_gFBVV95cUxPNUhYenNOdUc5Q2lUZlg2MHFxODlldjVmcEZLd2R6a1E4TFdpN3dNX0E4NHJwYnhQeVcweFZWcnJUSjM1bWd3NjRUUE9JcHdMc0lONGw0cVRhV1UxaVFZYTg0VGk2Z0xCMTdxRnBqWEZYdm11dmw3MGdPNEloQ2ZhTmZoS2l6MktGTmgtcUlYdTB0dElMbDFjbEZqd1h3UE5ZTEZybExCMVlxNk8wazdVZVlWemZRNEZmSS1oNnB2QXlhTzVwTTRYaWpQc0dLcnlaVlJFRk01b0FVTUtEREk3VGJKeHZNMm42VThNOWZMNTRKYTNpQ1RCMGlNLXh0Zw?oc=5</t>
        </is>
      </c>
      <c r="G120" s="23" t="inlineStr">
        <is>
          <t>Neutro</t>
        </is>
      </c>
      <c r="H120" s="23" t="inlineStr">
        <is>
          <t>Médio</t>
        </is>
      </c>
      <c r="I120" s="23" t="inlineStr">
        <is>
          <t>Fonte: ge.globo.com. Descoberta via Google News; URL editorial direta não resolvida automaticamente.</t>
        </is>
      </c>
    </row>
    <row r="121">
      <c r="A121" s="33" t="n">
        <v>46289</v>
      </c>
      <c r="B121" s="23" t="inlineStr">
        <is>
          <t>Fifa conclui inspeções nos estádios da Copa do Mundo Feminina no Brasil - itatiaia.com.br</t>
        </is>
      </c>
      <c r="C121" s="23" t="inlineStr">
        <is>
          <t>Copa Feminina 2027</t>
        </is>
      </c>
      <c r="D121" s="23" t="inlineStr">
        <is>
          <t>Brasil</t>
        </is>
      </c>
      <c r="E121" s="23" t="inlineStr">
        <is>
          <t>itatiaia.com.br</t>
        </is>
      </c>
      <c r="F121" s="23" t="inlineStr">
        <is>
          <t>https://news.google.com/rss/articles/CBMi6AFBVV95cUxPbFhNVE9WM2tmMHlLR3B5dVhqZXg2blp4ZnVoRGhwYVpPckFucWxpMWZTb3VKOHZPV2VYRkd1M2RvR0g1bk5lR0kwOVpMRm5MSndSRS1nMXprWlFNZ3Q5ZmpfVTRBeDBKNVZKc1NUYUo5c0VPY3BjU0kzc1BGa1pCQmZWaG9xMFFrb2VEeU5kWDhwUi02UkFweXBIWFhoeThKeFlmdlhSbnJlTkJGbHRKdU4wZW5WOVRCcWRfS1FXWkF6WjZCdWVZOE1RTmJxczk5WDJwZ1VsT3ZIODdvbXZ6MVpBbkpXRmtp?oc=5</t>
        </is>
      </c>
      <c r="G121" s="23" t="inlineStr">
        <is>
          <t>Neutro</t>
        </is>
      </c>
      <c r="H121" s="23" t="inlineStr">
        <is>
          <t>Médio</t>
        </is>
      </c>
      <c r="I121" s="23" t="inlineStr">
        <is>
          <t>Fonte: itatiaia.com.br. Descoberta via Google News; URL editorial direta não resolvida automaticamente.</t>
        </is>
      </c>
    </row>
    <row r="122">
      <c r="A122" s="33" t="n">
        <v>46289</v>
      </c>
      <c r="B122" s="23" t="inlineStr">
        <is>
          <t>FGF articula treino aberto da Seleção Feminina antes do amistoso em Porto Alegre</t>
        </is>
      </c>
      <c r="C122" s="23" t="inlineStr">
        <is>
          <t>Seleção Brasileira / engajamento de torcedores / Copa Feminina 2027</t>
        </is>
      </c>
      <c r="D122" s="23" t="inlineStr">
        <is>
          <t>Porto Alegre/RS</t>
        </is>
      </c>
      <c r="E122" s="23" t="inlineStr">
        <is>
          <t>GZH</t>
        </is>
      </c>
      <c r="F122" s="23" t="inlineStr">
        <is>
          <t>https://gauchazh.clicrbs.com.br/esportes/futebol-feminino/noticia/2026/09/selecao-feminina-pode-realizar-treino-aberto-em-porto-alegre-antes-de-amistoso-contra-a-argentina-entenda-cmufuzht600jw01icjpb9ia0k.html</t>
        </is>
      </c>
      <c r="G122" s="23" t="inlineStr">
        <is>
          <t>Positivo</t>
        </is>
      </c>
      <c r="H122" s="23" t="inlineStr">
        <is>
          <t>Médio</t>
        </is>
      </c>
      <c r="I122" s="23" t="inlineStr">
        <is>
          <t>A Federação Gaúcha de Futebol informou em 24/09/2026 que articula com a Secopa e a Prefeitura de Porto Alegre a possibilidade de um treino aberto ao público da Seleção Brasileira Feminina antes do amistoso contra a Argentina, marcado para 10/10 no Beira-Rio. A iniciativa ainda não está confirmada, mas é relevante como potencial oportunidade de aproximação dos torcedores com a Seleção no ciclo da Copa 2027.</t>
        </is>
      </c>
    </row>
    <row r="123">
      <c r="A123" s="33" t="n">
        <v>46288</v>
      </c>
      <c r="B123" s="23" t="inlineStr">
        <is>
          <t>Yanne celebra primeira convocação para a Seleção Brasileira Feminina</t>
        </is>
      </c>
      <c r="C123" s="23" t="inlineStr">
        <is>
          <t>Seleção Brasileira Feminina principal / convocação / goleiras / ciclo 2027</t>
        </is>
      </c>
      <c r="D123" s="23" t="inlineStr">
        <is>
          <t>Salvador/BA</t>
        </is>
      </c>
      <c r="E123" s="23" t="inlineStr">
        <is>
          <t>Globo Esporte BA / Globoplay</t>
        </is>
      </c>
      <c r="F123" s="23" t="inlineStr">
        <is>
          <t>https://globoplay.globo.com/v/14987251/</t>
        </is>
      </c>
      <c r="G123" s="23" t="inlineStr">
        <is>
          <t>Positivo</t>
        </is>
      </c>
      <c r="H123" s="23" t="inlineStr">
        <is>
          <t>Médio</t>
        </is>
      </c>
      <c r="I123" s="23" t="inlineStr">
        <is>
          <t>A goleira Yanne, destaque da campanha do Bahia no Brasileirão Feminino, falou sobre a emoção de receber sua primeira convocação para a Seleção Brasileira principal. A chamada para os amistosos contra a Argentina amplia as opções de Arthur Elias no gol e representa um movimento relevante de observação e renovação para o ciclo da Copa do Mundo Feminina 2027.</t>
        </is>
      </c>
    </row>
    <row r="124">
      <c r="A124" s="33" t="n">
        <v>46288</v>
      </c>
      <c r="B124" s="23" t="inlineStr">
        <is>
          <t>Bahia cria três novas frentes de trabalho para a Copa Feminina 2027</t>
        </is>
      </c>
      <c r="C124" s="23" t="inlineStr">
        <is>
          <t>Cidades-sede / turismo / hospitalidade / formação / empreendedorismo</t>
        </is>
      </c>
      <c r="D124" s="23" t="inlineStr">
        <is>
          <t>Salvador/BA</t>
        </is>
      </c>
      <c r="E124" s="23" t="inlineStr">
        <is>
          <t>A TARDE</t>
        </is>
      </c>
      <c r="F124" s="23" t="inlineStr">
        <is>
          <t>https://atarde.com.br/esportes/copa-do-mundo-feminina-2027-ganha-novas-frentes-na-bahia-1403213</t>
        </is>
      </c>
      <c r="G124" s="23" t="inlineStr">
        <is>
          <t>Positivo</t>
        </is>
      </c>
      <c r="H124" s="23" t="inlineStr">
        <is>
          <t>Alto</t>
        </is>
      </c>
      <c r="I124" s="23" t="inlineStr">
        <is>
          <t>O GECOPA Bahia incorporou três frentes à preparação estadual: jurídica e fiscal; turismo, hospitalidade e formação; e empreendedorismo, inovação e economia. A reunião ocorreu em 22/09/2026 na Arena Fonte Nova e integra 15 secretarias, com ações para qualificação, recepção de delegações e visitantes, inclusão e legado econômico e social.</t>
        </is>
      </c>
    </row>
    <row r="125">
      <c r="A125" s="33" t="n">
        <v>46276</v>
      </c>
      <c r="B125" s="23" t="inlineStr">
        <is>
          <t>Copa Feminina 2027 pode ampliar negócios, investimentos e empregos no Brasil</t>
        </is>
      </c>
      <c r="C125" s="23" t="inlineStr">
        <is>
          <t>Negócios / hospitalidade / transporte / marcas / legado</t>
        </is>
      </c>
      <c r="D125" s="23" t="inlineStr">
        <is>
          <t>Brasil</t>
        </is>
      </c>
      <c r="E125" s="23" t="inlineStr">
        <is>
          <t>Times Brasil | CNBC</t>
        </is>
      </c>
      <c r="F125" s="23" t="inlineStr">
        <is>
          <t>https://timesbrasil.com.br/esportes/copa-feminina-pode-ampliar-negocios-e-investimentos-no-futebol-brasileiro-afirma-diretora-da-copa-do-mundo-feminina/</t>
        </is>
      </c>
      <c r="G125" s="23" t="inlineStr">
        <is>
          <t>Positivo</t>
        </is>
      </c>
      <c r="H125" s="23" t="inlineStr">
        <is>
          <t>Médio</t>
        </is>
      </c>
      <c r="I125" s="23" t="inlineStr">
        <is>
          <t>Gal Barradas, diretora-executiva de receitas e marketing da Copa Feminina 2027, afirma que o torneio deve abrir oportunidades para pequenos negócios, empregos e investimentos em hospedagem, alimentação, transporte e serviços. A executiva também destaca oportunidades para marcas, cidades-sede e regiões que receberão seleções em preparação.</t>
        </is>
      </c>
    </row>
    <row r="126">
      <c r="A126" s="33" t="n">
        <v>46286</v>
      </c>
      <c r="B126" s="23" t="inlineStr">
        <is>
          <t>Comissão técnica da Seleção Feminina acompanha semifinais do Brasileirão A1</t>
        </is>
      </c>
      <c r="C126" s="23" t="inlineStr">
        <is>
          <t>Seleção Brasileira principal / observação / ciclo Copa 2027</t>
        </is>
      </c>
      <c r="D126" s="23" t="inlineStr">
        <is>
          <t>São Paulo/SP e Campinas/SP</t>
        </is>
      </c>
      <c r="E126" s="23" t="inlineStr">
        <is>
          <t>CBF</t>
        </is>
      </c>
      <c r="F126" s="23" t="inlineStr">
        <is>
          <t>https://www.cbf.com.br/selecao-brasileira/noticias/selecao-feminina-principal/a/comissao-tecnica-da-selecao-feminina-acompanha-semifinais-do-brasileirao-a-1</t>
        </is>
      </c>
      <c r="G126" s="23" t="inlineStr">
        <is>
          <t>Neutro</t>
        </is>
      </c>
      <c r="H126" s="23" t="inlineStr">
        <is>
          <t>Médio</t>
        </is>
      </c>
      <c r="I126" s="23" t="inlineStr">
        <is>
          <t>Às vésperas da convocação para os amistosos contra a Argentina, Arthur Elias e o analista Cristian Lizana acompanharam presencialmente as semifinais do Brasileirão Feminino A1 em São Paulo e Campinas. A observação direta de atletas integra a preparação da Seleção principal para o ciclo da Copa do Mundo Feminina 2027.</t>
        </is>
      </c>
    </row>
    <row r="127">
      <c r="A127" s="33" t="n">
        <v>46288</v>
      </c>
      <c r="B127" s="23" t="inlineStr">
        <is>
          <t>Capital recebe Encontro Nacional do Futebol Feminino com foco no legado da Copa 2027 - Prefeitura de Porto Alegre</t>
        </is>
      </c>
      <c r="C127" s="23" t="inlineStr">
        <is>
          <t>Copa Feminina 2027</t>
        </is>
      </c>
      <c r="D127" s="23" t="inlineStr">
        <is>
          <t>Brasil</t>
        </is>
      </c>
      <c r="E127" s="23" t="inlineStr">
        <is>
          <t>prefeitura.poa.br</t>
        </is>
      </c>
      <c r="F127" s="23" t="inlineStr">
        <is>
          <t>https://news.google.com/rss/articles/CBMiwwFBVV95cUxNTGNLOVJ3cnpmU19zTDZEek1vZkdXTTFrZC1WMTVMNmZrVm9wTTM4eWV5VWdIYlRQYWt0UFV0RmN4eEtUQWdONG0tR0FZSjl6a1hqTFlxUDZNY3YxelZXRlFyVkY3MTR2MWZxX1BxUnZlZEJrMDI2djlzem5lZW1RU2E4YzEzSGFpMnltdWRvNE9PUXp4RzYtdkFuLUJoalpoSW5UTUJzVi1HMzFyeF9janVkVEVkaldLU0J0WXIwQnJsYmM?oc=5</t>
        </is>
      </c>
      <c r="G127" s="23" t="inlineStr">
        <is>
          <t>Neutro</t>
        </is>
      </c>
      <c r="H127" s="23" t="inlineStr">
        <is>
          <t>Médio</t>
        </is>
      </c>
      <c r="I127" s="23" t="inlineStr">
        <is>
          <t>Fonte: prefeitura.poa.br. Descoberta via Google News; URL editorial direta não resolvida automaticamente.</t>
        </is>
      </c>
    </row>
    <row r="128">
      <c r="A128" s="33" t="n">
        <v>46285</v>
      </c>
      <c r="B128" s="23" t="inlineStr">
        <is>
          <t>Copa do Mundo Feminina 2027: Fifa realiza nova vistoria na Arena Castelão - Diário do Nordeste</t>
        </is>
      </c>
      <c r="C128" s="23" t="inlineStr">
        <is>
          <t>Copa Feminina 2027</t>
        </is>
      </c>
      <c r="D128" s="23" t="inlineStr">
        <is>
          <t>Brasil</t>
        </is>
      </c>
      <c r="E128" s="23" t="inlineStr">
        <is>
          <t>diariodonordeste.verdesmares.com.br</t>
        </is>
      </c>
      <c r="F128" s="23" t="inlineStr">
        <is>
          <t>https://news.google.com/rss/articles/CBMizgFBVV95cUxQaWJDeHRKLW9Bdm40QW9POUV3MzVESFB0b1FpMXJFa1RFVkFQcEU5SURhalE1ZnYyRG40dWtZZXZ6Q1VtaW1zOTl4a3J1QXZhb1dtT0M4US1fdVhBaHNQRjBpU2tpTnpKREZiMmJwbVA1RVJla3FQaWVRZzJqR2Y0WUZnOE1DNHMzZzZmSVFyRG56TnozS0Y5R0w0OE1IZC1qcHdFY0ZnaFVadDVwSE1aeWljcG9JWTl5NXVTYW5TRU5KTlM2bENid1VUTjFsQQ?oc=5</t>
        </is>
      </c>
      <c r="G128" s="23" t="inlineStr">
        <is>
          <t>Neutro</t>
        </is>
      </c>
      <c r="H128" s="23" t="inlineStr">
        <is>
          <t>Médio</t>
        </is>
      </c>
      <c r="I128" s="23" t="inlineStr">
        <is>
          <t>Fonte: diariodonordeste.verdesmares.com.br. Descoberta via Google News; URL editorial direta não resolvida automaticamente.</t>
        </is>
      </c>
    </row>
    <row r="129">
      <c r="A129" s="33" t="n">
        <v>46288</v>
      </c>
      <c r="B129" s="23" t="inlineStr">
        <is>
          <t>Fifa projeta lucro inédito para a Copa do Mundo Feminina de 2027 no Brasil - MKT Esportivo</t>
        </is>
      </c>
      <c r="C129" s="23" t="inlineStr">
        <is>
          <t>Copa Feminina 2027</t>
        </is>
      </c>
      <c r="D129" s="23" t="inlineStr">
        <is>
          <t>Brasil</t>
        </is>
      </c>
      <c r="E129" s="23" t="inlineStr">
        <is>
          <t>mktesportivo.com</t>
        </is>
      </c>
      <c r="F129" s="23" t="inlineStr">
        <is>
          <t>https://news.google.com/rss/articles/CBMisgFBVV95cUxQR0J4djZRbDNHOElZVFRlN3JVQWZVck9SWUoyY1RGWFBhM1ZkZ29GUzUxTHdpel9VaWtHWHcwQWlmYU5OcDljZ01TYU5qdWRGdlFaajZzWHU2MDJoQVhXMXFqMUIxTi01eEs5cVd1YklJQU5VeDZrVXlCWE9RZ0V2VkI4SkNib0RXUlBQQW82WFFMMXNtcUttaXhJNllpSHpPUWdiM1hSdy1uU0ZZRlRhdENn?oc=5</t>
        </is>
      </c>
      <c r="G129" s="23" t="inlineStr">
        <is>
          <t>Neutro</t>
        </is>
      </c>
      <c r="H129" s="23" t="inlineStr">
        <is>
          <t>Médio</t>
        </is>
      </c>
      <c r="I129" s="23" t="inlineStr">
        <is>
          <t>Fonte: mktesportivo.com. Descoberta via Google News; URL editorial direta não resolvida automaticamente.</t>
        </is>
      </c>
    </row>
    <row r="130">
      <c r="A130" s="33" t="n">
        <v>46287</v>
      </c>
      <c r="B130" s="23" t="inlineStr">
        <is>
          <t>Fifa vai custear 50% do novo gramado híbrido da Arena Castelão para a Copa do Mundo Feminina 2027 - Diário do Nordeste</t>
        </is>
      </c>
      <c r="C130" s="23" t="inlineStr">
        <is>
          <t>Copa Feminina 2027</t>
        </is>
      </c>
      <c r="D130" s="23" t="inlineStr">
        <is>
          <t>Brasil</t>
        </is>
      </c>
      <c r="E130" s="23" t="inlineStr">
        <is>
          <t>diariodonordeste.verdesmares.com.br</t>
        </is>
      </c>
      <c r="F130" s="23" t="inlineStr">
        <is>
          <t>https://news.google.com/rss/articles/CBMi7gFBVV95cUxOSVgyRE54YUx2UlRJdFRQUHBRX3B6clRzcnBpWE5lYWtYUzNpMGZ3aFN1cmx4MTRsR0VpalltQTdpaEt1a2FEalF3bUx4Z0NqaWtfTEIxOEdndHhfVmVaWVE3dVUtTmNYTUI5REpPVmtGeVdNZU5MZWpXQ3MzZmpoVnBxSXc4WENUZHJWNWZBS0FEMnVpNUdiWlZsQ2VvQWp3T0RqY1U5Rl9HSEVtTjMzbGJXakd0VEN2SHNVODM1anJUVVdEZ3JtRE9EeWFBWVRKVWVBMHFsQ1E1SzJhbUtUamdNT0RUYVp0bkhnWWRn?oc=5</t>
        </is>
      </c>
      <c r="G130" s="23" t="inlineStr">
        <is>
          <t>Neutro</t>
        </is>
      </c>
      <c r="H130" s="23" t="inlineStr">
        <is>
          <t>Médio</t>
        </is>
      </c>
      <c r="I130" s="23" t="inlineStr">
        <is>
          <t>Fonte: diariodonordeste.verdesmares.com.br. Descoberta via Google News; URL editorial direta não resolvida automaticamente.</t>
        </is>
      </c>
    </row>
    <row r="131">
      <c r="A131" s="33" t="n">
        <v>46287</v>
      </c>
      <c r="B131" s="23" t="inlineStr">
        <is>
          <t>Arena de Pernambuco recebe última visita técnica da Fifa rumo à Copa do Mundo Feminina de 2027 - JC</t>
        </is>
      </c>
      <c r="C131" s="23" t="inlineStr">
        <is>
          <t>Copa Feminina 2027</t>
        </is>
      </c>
      <c r="D131" s="23" t="inlineStr">
        <is>
          <t>Brasil</t>
        </is>
      </c>
      <c r="E131" s="23" t="inlineStr">
        <is>
          <t>jc.ne10.uol.com.br</t>
        </is>
      </c>
      <c r="F131" s="23" t="inlineStr">
        <is>
          <t>https://news.google.com/rss/articles/CBMi7gFBVV95cUxQRkVRejVfUkhvTnJQZEZIR3VCM3lJYTlXZEUzYlpSeWMyWXBrR216Z1FMNXNuVmVHZHNCVWVqSTNFMGFieWt1NEI0TDdlNkpTZjlZT2Q3b1ozY3ViVXNTRUpJLXBGX1hrUVc3Zlc3SzZYU3ZWYzIyaElsM2ZiRHh6UzRJR1dFSHA2czZYT1VlTGhrN192WXFhRzNCRlBjeEhxMjBRVmpYQW5yalBsc3Z1UmM0XzNzNk9lakdLREFfYXAyd2FmWUlEU1VFZGRBODg1eEJzREZfNFRDeEJaVEZuT3FqSWJYMlczYTlIRVpB?oc=5</t>
        </is>
      </c>
      <c r="G131" s="23" t="inlineStr">
        <is>
          <t>Neutro</t>
        </is>
      </c>
      <c r="H131" s="23" t="inlineStr">
        <is>
          <t>Médio</t>
        </is>
      </c>
      <c r="I131" s="23" t="inlineStr">
        <is>
          <t>Fonte: jc.ne10.uol.com.br. Descoberta via Google News; URL editorial direta não resolvida automaticamente.</t>
        </is>
      </c>
    </row>
    <row r="132">
      <c r="A132" s="33" t="n">
        <v>46287</v>
      </c>
      <c r="B132" s="23" t="inlineStr">
        <is>
          <t>Beira-Rio recebe Seleção Brasileira Feminina pela primeira vez em amistoso contra a Argentina - terra.com.br</t>
        </is>
      </c>
      <c r="C132" s="23" t="inlineStr">
        <is>
          <t>Copa Feminina 2027</t>
        </is>
      </c>
      <c r="D132" s="23" t="inlineStr">
        <is>
          <t>Brasil</t>
        </is>
      </c>
      <c r="E132" s="23" t="inlineStr">
        <is>
          <t>terra.com.br</t>
        </is>
      </c>
      <c r="F132" s="23" t="inlineStr">
        <is>
          <t>https://news.google.com/rss/articles/CBMigwJBVV95cUxNY1V3X0tJNWJPODBMSFpubnJab0tieXdVbUE4RXQtSjZFRVlRNkZCTi1JT25WdVhkbXlGeW9QSEw0b2JTbHlJaDRCZ21UcFZzTENDdThTU1owbTZPLWVnRnI4aGs1Ulh6YWhxbU1FNGp5cklCcG1XZEdnNDllU3hmYmtoQjBPRThBVlRSYTNwTnJ6MjRMSEpXSkxfVm96QmV2ZHhJNXZ1X3Y5SVROc1BlT2NGRG96OEs0VzktblpRTjdobzZRc3VHLXJMTHdFcl9kMUdOQ2h1OTZCWjFCYkcxSjY4U2JHcXdBRHJFZi1GbEZLd3ZoZ3BtNERpSFpEUjBsaWow?oc=5</t>
        </is>
      </c>
      <c r="G132" s="23" t="inlineStr">
        <is>
          <t>Neutro</t>
        </is>
      </c>
      <c r="H132" s="23" t="inlineStr">
        <is>
          <t>Médio</t>
        </is>
      </c>
      <c r="I132" s="23" t="inlineStr">
        <is>
          <t>Fonte: terra.com.br. Descoberta via Google News; URL editorial direta não resolvida automaticamente.</t>
        </is>
      </c>
    </row>
    <row r="133">
      <c r="A133" s="33" t="n">
        <v>46287</v>
      </c>
      <c r="B133" s="23" t="inlineStr">
        <is>
          <t>Jéssica de Lima reforça Seleção Brasileira antes da Copa de 2027; saiba detalhes - Terra</t>
        </is>
      </c>
      <c r="C133" s="23" t="inlineStr">
        <is>
          <t>Copa Feminina 2027</t>
        </is>
      </c>
      <c r="D133" s="23" t="inlineStr">
        <is>
          <t>Brasil</t>
        </is>
      </c>
      <c r="E133" s="23" t="inlineStr">
        <is>
          <t>terra.com.br</t>
        </is>
      </c>
      <c r="F133" s="23" t="inlineStr">
        <is>
          <t>https://news.google.com/rss/articles/CBMikgJBVV95cUxPd2NZUEd4OFlXeVVteE9DZDdmdHFqUk1ZaDVXZm96UGE1UHdUblJIOVNLNzFGMG4tM1duUkhZUzVaZEFYeU5UUEdEanB0c0F0cEZnRkRfOFlmTm1LbC1mRnJITFRRUUpmZGZXb1BLMURxeDVfdG9rTHh6ZU1qMjdqTVNhSVNOTGM4RGFhSWhDRXRheTduNm5LLUExQTZGWFRsbFJWc1F6NDVrWmhJOU9helZfbEhDQThGZmJGbnRMaUJJVGw0WXY4eW1qbTBwTUJ1QXZiRmlzeldTY0FQcGh4YjI3VzkxXzV4ZG9PVFNnWHVnNVNTMHcwRWZMNER1MGJJSTg0TGRqOXh5TEJMR3luWHV3?oc=5</t>
        </is>
      </c>
      <c r="G133" s="23" t="inlineStr">
        <is>
          <t>Neutro</t>
        </is>
      </c>
      <c r="H133" s="23" t="inlineStr">
        <is>
          <t>Médio</t>
        </is>
      </c>
      <c r="I133" s="23" t="inlineStr">
        <is>
          <t>Fonte: terra.com.br. Descoberta via Google News; URL editorial direta não resolvida automaticamente.</t>
        </is>
      </c>
    </row>
    <row r="134">
      <c r="A134" s="33" t="n">
        <v>46287</v>
      </c>
      <c r="B134" s="23" t="inlineStr">
        <is>
          <t>Arthur Elias convoca seleção feminina para amistosos contra Argentina e vê grupo '74% fechado' para a Copa de 2027 - O GLOBO</t>
        </is>
      </c>
      <c r="C134" s="23" t="inlineStr">
        <is>
          <t>Copa Feminina 2027</t>
        </is>
      </c>
      <c r="D134" s="23" t="inlineStr">
        <is>
          <t>Brasil</t>
        </is>
      </c>
      <c r="E134" s="23" t="inlineStr">
        <is>
          <t>oglobo.globo.com</t>
        </is>
      </c>
      <c r="F134" s="23" t="inlineStr">
        <is>
          <t>https://news.google.com/rss/articles/CBMiiAJBVV95cUxNZ0gyd2c0bXV1ZXozZkFRSko4QkRWUV9ZMWhyMmJpODFZdVFLUU1nS3Q3MjFob0Zka0MzbWNMTm11VlE2dXdoN09fNmYyejZtMkFUdUpXYzRqVVo3MFc4aldFdXFzV092VHl6NVd3aExDUWs5XzJ4THM5VXlPNnM1UW5lbmtNbUw1RHpBZWRLOUxjRGdaYXd2UU5kQ1h6Mm5RVTJmVlJ6T0ctbEVBTlpwTHBzYnA3cm9TbkJiMldwSW1HTWFJOGMxUnRUeGZqMGd6dkYzNE9icnFhZzBwd2h3c2ZoU01Td09qQkpEby1nSXVBNENMOUprdG5VeXlWV09aQnZmUC11elPSAZcCQVVfeXFMTnlpYmMwQThHcF80QjJjVEd2XzJ1ZGlycUNyOGR3UUwzbFRraTl3d0hCVlZYRzFqZTRGWEVHeE92S0hSVDVSdUwzR2RYUU1JY25US2xSOHhCTnFOOUxiR2RPb05QUms0UGJnbFh4TGdBUksxVVV3RFNsMmFvZHJtcmU1bUdtSUJJQ3N0TWpnQXRiT2x5RENBM0gtWUpaVjF4dWxkYXFsdkE0SXhrYThXSzhYanlXUXlreVF3S3lGU1ZhNmJsbVhmQlY3X2RXaDA4RTJxbWJ5QXJJQWhyM0FWLTh5Z1gwMkIxU28wa2EtSEFkSUhUbC1XSHA4X0dqaEtuLUpmUFFhdm1BRTRrdE91U2ZRVDFyY1Jn?oc=5</t>
        </is>
      </c>
      <c r="G134" s="23" t="inlineStr">
        <is>
          <t>Neutro</t>
        </is>
      </c>
      <c r="H134" s="23" t="inlineStr">
        <is>
          <t>Médio</t>
        </is>
      </c>
      <c r="I134" s="23" t="inlineStr">
        <is>
          <t>Fonte: oglobo.globo.com. Descoberta via Google News; URL editorial direta não resolvida automaticamente.</t>
        </is>
      </c>
    </row>
    <row r="135">
      <c r="A135" s="33" t="n">
        <v>46287</v>
      </c>
      <c r="B135" s="23" t="inlineStr">
        <is>
          <t>Sem Marta, Seleção Brasileira Feminina é convocada para amistosos; veja - CNN Brasil</t>
        </is>
      </c>
      <c r="C135" s="23" t="inlineStr">
        <is>
          <t>Copa Feminina 2027</t>
        </is>
      </c>
      <c r="D135" s="23" t="inlineStr">
        <is>
          <t>Brasil</t>
        </is>
      </c>
      <c r="E135" s="23" t="inlineStr">
        <is>
          <t>cnnbrasil.com.br</t>
        </is>
      </c>
      <c r="F135" s="23" t="inlineStr">
        <is>
          <t>https://news.google.com/rss/articles/CBMi0AFBVV95cUxNVkZacExVUW9walMxejlsbmo4MlNnZ1IyT1RXRm1oT1dRNnRTeHh6akcwU2hzem9PQ2I2RTU4bkhJcFVzQWdsZU40Q1VjVlRnZUZwdzdteFIwMm16WHcxeTBMVlpVc0I2MzZ1UnNubWlRTV9lVWR6XzFENld0TFRXOVBHbmFfVUZlNmE2SW01TGVyVkxqN0N5VU9DMmRyRjBqRTI1blF3NVdCd3hYOUxCa29vYUg3T25VYjNadG1tU25JZ0VXd3RNVXpwQ1ZFWmJK?oc=5</t>
        </is>
      </c>
      <c r="G135" s="23" t="inlineStr">
        <is>
          <t>Neutro</t>
        </is>
      </c>
      <c r="H135" s="23" t="inlineStr">
        <is>
          <t>Médio</t>
        </is>
      </c>
      <c r="I135" s="23" t="inlineStr">
        <is>
          <t>Fonte: cnnbrasil.com.br. Descoberta via Google News; URL editorial direta não resolvida automaticamente.</t>
        </is>
      </c>
    </row>
    <row r="136">
      <c r="A136" s="33" t="n">
        <v>46287</v>
      </c>
      <c r="B136" s="23" t="inlineStr">
        <is>
          <t>AO VIVO: acompanhe a convocação da Seleção Brasileira Feminina - CNN Brasil</t>
        </is>
      </c>
      <c r="C136" s="23" t="inlineStr">
        <is>
          <t>Copa Feminina 2027</t>
        </is>
      </c>
      <c r="D136" s="23" t="inlineStr">
        <is>
          <t>Brasil</t>
        </is>
      </c>
      <c r="E136" s="23" t="inlineStr">
        <is>
          <t>cnnbrasil.com.br</t>
        </is>
      </c>
      <c r="F136" s="23" t="inlineStr">
        <is>
          <t>https://news.google.com/rss/articles/CBMixgFBVV95cUxNNU9GMnpFT1lsRHRTeFUzS050WlIxOGZ1ZFh5TlJ3eUFsLWlkZnJKM1J5ZXVEVXZSUHFNellsTU93WTFNUk9Pc3dFNFlSRW15TWJMVk5zVlNoQVh2SDJ0NmNDbHM0TjEyV1RDVUh1dnlnS0JfX0xhUTNYc21QNHFUdnlrWi1XZHFBWXduTmJrVkVtSUswaUJDVXZHQmNDTEZTY21RLV9ud0hsUXRja01hZlBRc0xFYVBMUmRyOTU4Vk45TkxueGc?oc=5</t>
        </is>
      </c>
      <c r="G136" s="23" t="inlineStr">
        <is>
          <t>Neutro</t>
        </is>
      </c>
      <c r="H136" s="23" t="inlineStr">
        <is>
          <t>Médio</t>
        </is>
      </c>
      <c r="I136" s="23" t="inlineStr">
        <is>
          <t>Fonte: cnnbrasil.com.br. Descoberta via Google News; URL editorial direta não resolvida automaticamente.</t>
        </is>
      </c>
    </row>
    <row r="137">
      <c r="A137" s="33" t="n">
        <v>46287</v>
      </c>
      <c r="B137" s="23" t="inlineStr">
        <is>
          <t>Sem Marta, Arthur Elias convoca a Seleção Brasileira Feminina - Terra</t>
        </is>
      </c>
      <c r="C137" s="23" t="inlineStr">
        <is>
          <t>Copa Feminina 2027</t>
        </is>
      </c>
      <c r="D137" s="23" t="inlineStr">
        <is>
          <t>Brasil</t>
        </is>
      </c>
      <c r="E137" s="23" t="inlineStr">
        <is>
          <t>terra.com.br</t>
        </is>
      </c>
      <c r="F137" s="23" t="inlineStr">
        <is>
          <t>https://news.google.com/rss/articles/CBMi4gFBVV95cUxNaVFUdmJlZWgtSEhxQk9Fd3RoVDlsbHI1eGc2TjFtM1ZmU2tsUkdKdktETlVIOTJaQ2ZxXzVLSlQ0UFItWU83N0RWM2FHdEJTd0MtUnBrZW1TaEU2MjkyalhRYTV6aS1mTWFNYnNLeGJRQkg2UHhpTVlrUjNTQnFpWUdidGQ3SnFOM0p3V01kR2Zudm5VWWFKWDl2V3R5ZS1KY3lqc2lfWWU2NVV3M2NFYjFGbjNlbTlzeTNvRmpIZ0RXaVczZWZGbVBCajRfZVFvYVdpa0tWbUcyMlJrYjRYQXpB?oc=5</t>
        </is>
      </c>
      <c r="G137" s="23" t="inlineStr">
        <is>
          <t>Neutro</t>
        </is>
      </c>
      <c r="H137" s="23" t="inlineStr">
        <is>
          <t>Médio</t>
        </is>
      </c>
      <c r="I137" s="23" t="inlineStr">
        <is>
          <t>Fonte: terra.com.br. Descoberta via Google News; URL editorial direta não resolvida automaticamente.</t>
        </is>
      </c>
    </row>
    <row r="138">
      <c r="A138" s="33" t="n">
        <v>46287</v>
      </c>
      <c r="B138" s="23" t="inlineStr">
        <is>
          <t>AO VIVO: assista à convocação da Seleção Brasileira feminina - LANCE!</t>
        </is>
      </c>
      <c r="C138" s="23" t="inlineStr">
        <is>
          <t>Copa Feminina 2027</t>
        </is>
      </c>
      <c r="D138" s="23" t="inlineStr">
        <is>
          <t>Brasil</t>
        </is>
      </c>
      <c r="E138" s="23" t="inlineStr">
        <is>
          <t>lance.com.br</t>
        </is>
      </c>
      <c r="F138" s="23" t="inlineStr">
        <is>
          <t>https://news.google.com/rss/articles/CBMiqgFBVV95cUxOVElTVlptYVFoeTBjazNHdndqVkdwYklwajhEQlVHVlhleTVnU2VVcTdob2hlbEhEMWNmQWRwNHYweHJHcmpkY3ZXdlB3QkNSSHhLa1BlM0x0RzQwMUlCZndHcGI0Q3k2d25TY1BWV1BackdQWG9Pc1dBXzQ1YmdHU1BuQmR5NVdaenpBMDQ2d05GWEpSUy05MUJjckJoR1NiaFRxazU0VEp0UQ?oc=5</t>
        </is>
      </c>
      <c r="G138" s="23" t="inlineStr">
        <is>
          <t>Neutro</t>
        </is>
      </c>
      <c r="H138" s="23" t="inlineStr">
        <is>
          <t>Médio</t>
        </is>
      </c>
      <c r="I138" s="23" t="inlineStr">
        <is>
          <t>Fonte: lance.com.br. Descoberta via Google News; URL editorial direta não resolvida automaticamente.</t>
        </is>
      </c>
    </row>
    <row r="139">
      <c r="A139" s="33" t="n">
        <v>46287</v>
      </c>
      <c r="B139" s="23" t="inlineStr">
        <is>
          <t>Veja horário e onde assistir à convocação da Seleção Brasileira Feminina - CNN Brasil</t>
        </is>
      </c>
      <c r="C139" s="23" t="inlineStr">
        <is>
          <t>Copa Feminina 2027</t>
        </is>
      </c>
      <c r="D139" s="23" t="inlineStr">
        <is>
          <t>Brasil</t>
        </is>
      </c>
      <c r="E139" s="23" t="inlineStr">
        <is>
          <t>cnnbrasil.com.br</t>
        </is>
      </c>
      <c r="F139" s="23" t="inlineStr">
        <is>
          <t>https://news.google.com/rss/articles/CBMi2AFBVV95cUxOcU5EbzZsaVJjekg4ZXJvckp0QkFuQjlYd1VfT2ozQnFiTFFmdVZ2NUx5U0NUWDE2VjNUbnljalE2NTRtZUNNX3REYnlTZ3luUldHRmEwWUN5Q09zTWYzSWNCTnlYUkJ6a3hmODI4LUJ1aXZESEdUTmtWSGgxMjYzTURSMGNDMThFMDBtbjVoMGNvYlZjMnB6SmlNeHcybTBpd2FiQmVxMkg5MzRtMG1mbTF6c3dVUGw3UFBHdE0ycXVDdk5mdl9YYUdTdzBFaHk3YllMeks3UlM?oc=5</t>
        </is>
      </c>
      <c r="G139" s="23" t="inlineStr">
        <is>
          <t>Neutro</t>
        </is>
      </c>
      <c r="H139" s="23" t="inlineStr">
        <is>
          <t>Médio</t>
        </is>
      </c>
      <c r="I139" s="23" t="inlineStr">
        <is>
          <t>Fonte: cnnbrasil.com.br. Descoberta via Google News; URL editorial direta não resolvida automaticamente.</t>
        </is>
      </c>
    </row>
    <row r="140">
      <c r="A140" s="33" t="n">
        <v>46286</v>
      </c>
      <c r="B140" s="23" t="inlineStr">
        <is>
          <t>Convocação seleção brasileira feminina amistosos argentina - UOL</t>
        </is>
      </c>
      <c r="C140" s="23" t="inlineStr">
        <is>
          <t>Copa Feminina 2027</t>
        </is>
      </c>
      <c r="D140" s="23" t="inlineStr">
        <is>
          <t>Brasil</t>
        </is>
      </c>
      <c r="E140" s="23" t="inlineStr">
        <is>
          <t>uol.com.br</t>
        </is>
      </c>
      <c r="F140" s="23" t="inlineStr">
        <is>
          <t>https://news.google.com/rss/articles/CBMiZ0FVX3lxTE1zQVdjUGFxcWkzdU9qdkxpN1hHY2FLZ0d3OGFZM0xqQkR1aHhPR1RTaERUYldsaC1QdzZ5SnFMbHZURFdMaVlVODRleVZMd1RYYXFDUGVIYVRoNWhXRnhaSWhBb1ZYZ0U?oc=5</t>
        </is>
      </c>
      <c r="G140" s="23" t="inlineStr">
        <is>
          <t>Neutro</t>
        </is>
      </c>
      <c r="H140" s="23" t="inlineStr">
        <is>
          <t>Médio</t>
        </is>
      </c>
      <c r="I140" s="23" t="inlineStr">
        <is>
          <t>Fonte: uol.com.br. Descoberta via Google News; URL editorial direta não resolvida automaticamente.</t>
        </is>
      </c>
    </row>
    <row r="141">
      <c r="A141" s="33" t="n">
        <v>46281</v>
      </c>
      <c r="B141" s="23" t="inlineStr">
        <is>
          <t>Seleção Brasileira feminina enfrentará Argentina no Beira-Rio em outubro - Correio do Povo</t>
        </is>
      </c>
      <c r="C141" s="23" t="inlineStr">
        <is>
          <t>Copa Feminina 2027</t>
        </is>
      </c>
      <c r="D141" s="23" t="inlineStr">
        <is>
          <t>Brasil</t>
        </is>
      </c>
      <c r="E141" s="23" t="inlineStr">
        <is>
          <t>correiodopovo.com.br</t>
        </is>
      </c>
      <c r="F141" s="23" t="inlineStr">
        <is>
          <t>https://news.google.com/rss/articles/CBMiwgFBVV95cUxQbXg0d3J5NTRVYVBkbUhBOE5DYnd1Rll2S1lfeUk3REVrZWxSWG5rdUlDTTBPN01tb2J3Xzc1a29hWXcxcGpmRUhBZGpOVGhtQUhaaGxzVkRIRUx5OUhudmpyNk9XZUFQLUxQQWtFXzRFMG5ScjAyNUlGWWExSDRwNHgxYUhrcWNxZ1pfdmRaUWxKMmloNEFvaENJdzVadzgwXzZ5VG56NG5qZHZwSGl3OGdEc090d1hXYU5McDJlLWZ6UQ?oc=5</t>
        </is>
      </c>
      <c r="G141" s="23" t="inlineStr">
        <is>
          <t>Neutro</t>
        </is>
      </c>
      <c r="H141" s="23" t="inlineStr">
        <is>
          <t>Médio</t>
        </is>
      </c>
      <c r="I141" s="23" t="inlineStr">
        <is>
          <t>Fonte: correiodopovo.com.br. Descoberta via Google News; URL editorial direta não resolvida automaticamente.</t>
        </is>
      </c>
    </row>
    <row r="142">
      <c r="A142" s="33" t="n">
        <v>46285</v>
      </c>
      <c r="B142" s="23" t="inlineStr">
        <is>
          <t>Copa das Campeãs de 2027: Fifa define Miami como sede do torneio - ge.globo.com</t>
        </is>
      </c>
      <c r="C142" s="23" t="inlineStr">
        <is>
          <t>Copa Feminina 2027</t>
        </is>
      </c>
      <c r="D142" s="23" t="inlineStr">
        <is>
          <t>Brasil</t>
        </is>
      </c>
      <c r="E142" s="23" t="inlineStr">
        <is>
          <t>ge.globo.com</t>
        </is>
      </c>
      <c r="F142" s="23" t="inlineStr">
        <is>
          <t>https://news.google.com/rss/articles/CBMi1gFBVV95cUxONTIxVEViZklZUjZxX1BhSUlfZWZ1SC0wQjVjMElkbjhnTndfRXlNU3JkVzc2RG83UGIzVTNKODJGbzdodFhnSlFmdGlrRnVjTWphZEpmaWpGQnhzRFdXVVhZZ0RkdTJ1S3ZDeEEwdFkzUGFJNDZMMFE3djA4WW80ZGJVeVk3Y2wzWGpjU2NjUmVLbVdUY1JpbUptRU8tcVprckhvYldmUTZmTzhLVzRiYVpOUjJjcFhmQVFlTDU2Y0xjUWpOSi1WV016TEZXSHhKVXFMOUxB0gHkAUFVX3lxTFA0QXpURWpyb0RBY1NiR0cxSHRXMC1YcVY3c1dXVUI1M0drRG9oR0dudFg1UVZWZTFQOWt1dEQ4SXVQS3hiczdHdmpHR2RFZndzekU1cUIyYkkwVUU0aENMZGhUNlhfb05tTnVfRnVEX2Z1bFJrX1dvckpsQjREUEZidzZXWkZ3cFdRdDBhNmM1c2p6dU1CM0Z0Wkxsd290Q1BpMEdXakxOUTVuNjQtT21US2dRVGxtLWZzQWhYbWNNTDQwOGZVZXFvUEx6ajMtVE5fU2pjR3FJa3p1N2FBSEoxcEo4WQ?oc=5</t>
        </is>
      </c>
      <c r="G142" s="23" t="inlineStr">
        <is>
          <t>Neutro</t>
        </is>
      </c>
      <c r="H142" s="23" t="inlineStr">
        <is>
          <t>Médio</t>
        </is>
      </c>
      <c r="I142" s="23" t="inlineStr">
        <is>
          <t>Fonte: ge.globo.com. Descoberta via Google News; URL editorial direta não resolvida automaticamente.</t>
        </is>
      </c>
    </row>
    <row r="143">
      <c r="A143" s="33" t="n">
        <v>46286</v>
      </c>
      <c r="B143" s="23" t="inlineStr">
        <is>
          <t>Fifa faz visita técnica na Arena Fonte Nova para Copa do Mundo Feminina: "Satisfeitos" - ge</t>
        </is>
      </c>
      <c r="C143" s="23" t="inlineStr">
        <is>
          <t>Copa Feminina 2027</t>
        </is>
      </c>
      <c r="D143" s="23" t="inlineStr">
        <is>
          <t>Brasil</t>
        </is>
      </c>
      <c r="E143" s="23" t="inlineStr">
        <is>
          <t>ge.globo.com</t>
        </is>
      </c>
      <c r="F143" s="23" t="inlineStr">
        <is>
          <t>https://news.google.com/rss/articles/CBMi2wFBVV95cUxONTJvb09CZG4yQ1JieDZkVHhQNWNBWXlkU2oxdkc0dVZGZ0ozQzZ4S2hzOHAxeE5KSmdENWJvSUtvVWlfTGV6MlQ4c2hmMTdYTGt1T211T293SWVrU1FXSEpPSHQzYXFZMU9DV1JBWXRJYWRjUjA5Q01kdDgtdWNkeGd3Y01iOTFlVkw2Q0VPdXhURnp6bGtoODJrNTFxYjU5N3d6eGljQXJxWVJ0ODduUjI1U25QSUlzMVNvRV9QLUZDVnY1WHhSeVY3S2hOT3Y3WnBtYVdOVVFhd0HSAdsBQVVfeXFMTjUyb29PQmRuMkNSYng2ZFR4UDVjQVl5ZFNqMXZHNHVWRmdKM0M2eEtoczhwMXhOSkpnRDVib0lLb1VpX0xlejJUOHNoZjE3WExrdU9tdU9vd0lla1NRV0hKT0h0M2FxWTFPQ1dSQVl0SWFkY1IwOUNNZHQ4LXVjZHhnd2NNYjkxZVZMNkNFT3V4VEZ6emxraDgyazUxcWI1OTd3enhpY0FycVlSdDg3blIyNVNuUElJczFTb0VfUC1GQ1Z2NVh4UnlWN0toTk92N1pwbWFXTlVRYXdB?oc=5</t>
        </is>
      </c>
      <c r="G143" s="23" t="inlineStr">
        <is>
          <t>Neutro</t>
        </is>
      </c>
      <c r="H143" s="23" t="inlineStr">
        <is>
          <t>Médio</t>
        </is>
      </c>
      <c r="I143" s="23" t="inlineStr">
        <is>
          <t>Fonte: ge.globo.com. Descoberta via Google News; URL editorial direta não resolvida automaticamente.</t>
        </is>
      </c>
    </row>
    <row r="144">
      <c r="A144" s="33" t="n">
        <v>46285</v>
      </c>
      <c r="B144" s="23" t="inlineStr">
        <is>
          <t>Fifa projeta superávit histórico no Brasil para a Copa Feminina de 2027 - ge</t>
        </is>
      </c>
      <c r="C144" s="23" t="inlineStr">
        <is>
          <t>Copa Feminina 2027</t>
        </is>
      </c>
      <c r="D144" s="23" t="inlineStr">
        <is>
          <t>Brasil</t>
        </is>
      </c>
      <c r="E144" s="23" t="inlineStr">
        <is>
          <t>ge.globo.com</t>
        </is>
      </c>
      <c r="F144" s="23" t="inlineStr">
        <is>
          <t>https://news.google.com/rss/articles/CBMiuAFBVV95cUxPMVE1REpvMG9FWlpnd29pbmtOQ1pCanBTMmJaTDFhNnRYNVVpWlZlM0pZek1aVHMtX19uR3lyWVNyT2FGc3AzanF0cUxzNGotRVpiN2FnYTE2YU9jQ0o4eHo0Z05Ca2NWLXFlRVJHZVBkZEpMeVg4VXJud3VCSUgyU0F2VHhkRjNRX2Nmcl9XdDF2Q0t4V2hqV3ZLVHd2YnAwSkxiSHpuYTJKOV9RYjQtVXJ5Q1U2Tmpi0gHHAUFVX3lxTE5NWXdMWHlhaWotOWlySFB5M3dXa2VxdHVMTmdXclBhZVZfa0tCX1huQ203NTBuTWFyMHRxTG9MbGdsQW9DcUJDN3NpdEV1SXdnbEJPeWxyY3p4WUhQem1wbEEzcV9GWS15UDFHVHdkWDZxUzFXa2VlazZaX0Z3ZWFINGVmNTlhWGF6ZDVuLXFlZVBqUU1GRHJwbk0weG5TNUZPbG52aHRyMXp6MEdLZVNac3BkV19BWkxvQlBXZTAwQnIwOVVINlU?oc=5</t>
        </is>
      </c>
      <c r="G144" s="23" t="inlineStr">
        <is>
          <t>Neutro</t>
        </is>
      </c>
      <c r="H144" s="23" t="inlineStr">
        <is>
          <t>Médio</t>
        </is>
      </c>
      <c r="I144" s="23" t="inlineStr">
        <is>
          <t>Fonte: ge.globo.com. Descoberta via Google News; URL editorial direta não resolvida automaticamente.</t>
        </is>
      </c>
    </row>
    <row r="145">
      <c r="A145" s="33" t="n">
        <v>46262</v>
      </c>
      <c r="B145" s="23" t="inlineStr">
        <is>
          <t>Bárbara Coelho aposta em Brasil forte e revela seleção que pode surpreender na Copa de 2027 - lance.com.br</t>
        </is>
      </c>
      <c r="C145" s="23" t="inlineStr">
        <is>
          <t>Copa Feminina 2027</t>
        </is>
      </c>
      <c r="D145" s="23" t="inlineStr">
        <is>
          <t>Brasil</t>
        </is>
      </c>
      <c r="E145" s="23" t="inlineStr">
        <is>
          <t>lance.com.br</t>
        </is>
      </c>
      <c r="F145" s="23" t="inlineStr">
        <is>
          <t>https://news.google.com/rss/articles/CBMi1AFBVV95cUxNczNqUmYzWkJaNktTc09Ubi1fNnRuZUdQRlBxZGhGN1Z2NTFMVTFfUHVYd0UxR24zc2d3bTgxV2xqTnBnYVFEWE1VeU5ObFAxaF9FdVhiZjRGTlB1cTlyc2Q4MDRNMDVUTU1FcUZkUUVVQmM3a3FNci04RjZLVHpGU21rUVFScmxNQlBZeVhOQVkzNC1aR2dHTVRHbmxEWUZDUVBrUUU3YlBvRVg3ZUp1NnNiZnZFbi03MWJlUGtNeUFRMW5rRGVQSW5EV3lSNWxfMTYxXw?oc=5</t>
        </is>
      </c>
      <c r="G145" s="23" t="inlineStr">
        <is>
          <t>Neutro</t>
        </is>
      </c>
      <c r="H145" s="23" t="inlineStr">
        <is>
          <t>Médio</t>
        </is>
      </c>
      <c r="I145" s="23" t="inlineStr">
        <is>
          <t>Fonte: lance.com.br. Descoberta via Google News; URL editorial direta não resolvida automaticamente.</t>
        </is>
      </c>
    </row>
    <row r="146">
      <c r="A146" s="33" t="n">
        <v>46285</v>
      </c>
      <c r="B146" s="23" t="inlineStr">
        <is>
          <t>Casa do Inter Miami sediará Copa das Campeãs da Fifa de 2027 - CNN Brasil</t>
        </is>
      </c>
      <c r="C146" s="23" t="inlineStr">
        <is>
          <t>Copa Feminina 2027</t>
        </is>
      </c>
      <c r="D146" s="23" t="inlineStr">
        <is>
          <t>Brasil</t>
        </is>
      </c>
      <c r="E146" s="23" t="inlineStr">
        <is>
          <t>cnnbrasil.com.br</t>
        </is>
      </c>
      <c r="F146" s="23" t="inlineStr">
        <is>
          <t>https://news.google.com/rss/articles/CBMiyAFBVV95cUxOMEpXWTIwSVhQM3psRW9vTVRnaDhvVGo3ZGhsUG4xQzJoRjZhZmRfX1dwNlhWR0FXTmwwZzBSaWZBMjY3bThPMlBWcWtCNEdGX0dpOW9sOUdRaE5DeG9YZUxlMVQ4dE1CblJDQlBBVXp5bk50T25OLTY4ckJ1OVpyaC16S2Zmd0R0SklnMVJuWHpCclZBaERVN1pYeVVrRkFrTDZMb3pLMElQMHc2UEdwdmRLbzNOVXhMWkx6Y0ZEeTdxeFp1N055bw?oc=5</t>
        </is>
      </c>
      <c r="G146" s="23" t="inlineStr">
        <is>
          <t>Neutro</t>
        </is>
      </c>
      <c r="H146" s="23" t="inlineStr">
        <is>
          <t>Médio</t>
        </is>
      </c>
      <c r="I146" s="23" t="inlineStr">
        <is>
          <t>Fonte: cnnbrasil.com.br. Descoberta via Google News; URL editorial direta não resolvida automaticamente.</t>
        </is>
      </c>
    </row>
    <row r="147">
      <c r="A147" s="33" t="n">
        <v>46279</v>
      </c>
      <c r="B147" s="23" t="inlineStr">
        <is>
          <t>Fifa vistoria Beira-Rio antes da Copa do Mundo Feminina de 2027 - Terra</t>
        </is>
      </c>
      <c r="C147" s="23" t="inlineStr">
        <is>
          <t>Copa Feminina 2027</t>
        </is>
      </c>
      <c r="D147" s="23" t="inlineStr">
        <is>
          <t>Brasil</t>
        </is>
      </c>
      <c r="E147" s="23" t="inlineStr">
        <is>
          <t>terra.com.br</t>
        </is>
      </c>
      <c r="F147" s="23" t="inlineStr">
        <is>
          <t>https://news.google.com/rss/articles/CBMi_AFBVV95cUxPYUlGejl3WXQtX3JxUGNLVTNPcFhET3hMVEpYNkxmeUo5QUVmLVExYjJSUXBtdVhFLUo0SV9EMnBJX1BsQlRYcFF0V2U3V1lZYkh6Zl9uUnFYS3pGUmpmYlcwcEc5VEIxN0J5UWFWM3VlRndzcUxpVHBiY3pLX0FHeXFqSjdoaXh0X2NoMi03d3BYYmkzTDBvMnlRQ21Hb0Utb1pReWxHcjRmZ3RzUV9WbDZ2WDFiMi1NNE9fYmFyTXNWU3dscHQyNjNZWk9HcE41Mi1NbVloUWdQaUZWa05TQzVzSU1ycGdOMk04REZGaVdDc1ZzMVlOMlN0VmM?oc=5</t>
        </is>
      </c>
      <c r="G147" s="23" t="inlineStr">
        <is>
          <t>Neutro</t>
        </is>
      </c>
      <c r="H147" s="23" t="inlineStr">
        <is>
          <t>Médio</t>
        </is>
      </c>
      <c r="I147" s="23" t="inlineStr">
        <is>
          <t>Fonte: terra.com.br. Descoberta via Google News; URL editorial direta não resolvida automaticamente.</t>
        </is>
      </c>
    </row>
    <row r="148">
      <c r="A148" s="33" t="n">
        <v>46281</v>
      </c>
      <c r="B148" s="23" t="inlineStr">
        <is>
          <t>Porto Alegre receberá jogo da Seleção Brasileira Feminina pela primeira vez na história; confira adversário e data - GZH</t>
        </is>
      </c>
      <c r="C148" s="23" t="inlineStr">
        <is>
          <t>Copa Feminina 2027</t>
        </is>
      </c>
      <c r="D148" s="23" t="inlineStr">
        <is>
          <t>Brasil</t>
        </is>
      </c>
      <c r="E148" s="23" t="inlineStr">
        <is>
          <t>gzh.com.br</t>
        </is>
      </c>
      <c r="F148" s="23" t="inlineStr">
        <is>
          <t>https://news.google.com/rss/articles/CBMiqwJBVV95cUxPSU5lN3JBenRKalQzWWkwUGlqdlFKd2JDQnhBeWljdkxHTmpPNDF1RHRnVTU1OWRUYWhYaDlCd29zLUg2eFVvY1hScW42N2hxY1RhTmhNeWJrUEZDRy1UVUtfMjA2NEpHOUF0aEtLSEhYdnNJN3J1RVpvNmdwdjlEOEtnblJyX05SMjJCdWtnR3FOUDE3NTFGU2JIalZJNmpjYkcxZ3pXVjgtbGxuU3IxakZJb1draG1NT1UzeUNOVW45OG1Ga0FCeGcxVTREN1NheVlfelVUT0pGQnZnbVg5RWJpUlNrN2pCQjdVeUFOQnVpZTJJeFFkZHJ6TnZCZ2ZMS3QtT2s1VWItYk81TllwWUwzTXlrc2pMd3Y2VHlMcXJoeW5fN1hDV3kxOA?oc=5</t>
        </is>
      </c>
      <c r="G148" s="23" t="inlineStr">
        <is>
          <t>Neutro</t>
        </is>
      </c>
      <c r="H148" s="23" t="inlineStr">
        <is>
          <t>Médio</t>
        </is>
      </c>
      <c r="I148" s="23" t="inlineStr">
        <is>
          <t>Fonte: gzh.com.br. Descoberta via Google News; URL editorial direta não resolvida automaticamente.</t>
        </is>
      </c>
    </row>
    <row r="149">
      <c r="A149" s="33" t="n">
        <v>46280</v>
      </c>
      <c r="B149" s="23" t="inlineStr">
        <is>
          <t>Lorrany Ritter encara desafio de liderar a Rede Ronaldo a caminho da Copa do Mundo Feminina - Máquina do Esporte</t>
        </is>
      </c>
      <c r="C149" s="23" t="inlineStr">
        <is>
          <t>Copa Feminina 2027</t>
        </is>
      </c>
      <c r="D149" s="23" t="inlineStr">
        <is>
          <t>Brasil</t>
        </is>
      </c>
      <c r="E149" s="23" t="inlineStr">
        <is>
          <t>machinadoesporte.com.br</t>
        </is>
      </c>
      <c r="F149" s="23" t="inlineStr">
        <is>
          <t>https://news.google.com/rss/articles/CBMiygFBVV95cUxNRUdGOTZ0M3F0d0dVUFJvbTA0TjdxemlNRXZBRDZsS3c0NDZlSE4zM2VrU3h0a3IxZDAyZU1aaDRXb0ZYdTlOaVVhOUdwTVNMeUpaZ3MxckY0aVZnazVHN2FmandwUm9YVDJremd0ZWpkMUxxRVdnZmJKN3Zmdk0xbHlmZVpsVWNGUGd0cWY0dVFKVmVhd2pwc2JkX1JfSTZDZnE5V0lUeVoyeHhnN1B0TmVha2gyWF9aakd6NVM1cGh6N2JDbDlPTGlB?oc=5</t>
        </is>
      </c>
      <c r="G149" s="23" t="inlineStr">
        <is>
          <t>Neutro</t>
        </is>
      </c>
      <c r="H149" s="23" t="inlineStr">
        <is>
          <t>Médio</t>
        </is>
      </c>
      <c r="I149" s="23" t="inlineStr">
        <is>
          <t>Fonte: machinadoesporte.com.br. Descoberta via Google News; URL editorial direta não resolvida automaticamente.</t>
        </is>
      </c>
    </row>
    <row r="150">
      <c r="A150" s="33" t="n">
        <v>46281</v>
      </c>
      <c r="B150" s="23" t="inlineStr">
        <is>
          <t>Seleção Feminina terá amistosos contra Argentina e Japão antes da Copa de 2027 - Rádio Itatiaia</t>
        </is>
      </c>
      <c r="C150" s="23" t="inlineStr">
        <is>
          <t>Copa Feminina 2027</t>
        </is>
      </c>
      <c r="D150" s="23" t="inlineStr">
        <is>
          <t>Brasil</t>
        </is>
      </c>
      <c r="E150" s="23" t="inlineStr">
        <is>
          <t>itatiaia.com.br</t>
        </is>
      </c>
      <c r="F150" s="23" t="inlineStr">
        <is>
          <t>https://news.google.com/rss/articles/CBMi2AFBVV95cUxOMlV4Ni13cm5lTkRxSXpiUS1IM1ZERGFjcGhRMW1ncXo3NGdrWW83VjdfMFBHM1hWSVBQMXNSLU5NUFh4OHNKOXk4bm4za1E5MnBLSUk2TnJxOXZnQ2lTZ1VpQkp5NVRqRWVPZlhabVlWaFBHaWlLLWJrVzBYSFlrY2ZwVnhrblFZXzhTekdqNXFFLXdVMlN2S0lIVE5IQVRObDRrODduR0xvazRWeEYxbXJBZGwzcXhyQnRyX0Y5VTBBZEJTUFJQMmFOMVFMYzFQWFdraVJkZkw?oc=5</t>
        </is>
      </c>
      <c r="G150" s="23" t="inlineStr">
        <is>
          <t>Neutro</t>
        </is>
      </c>
      <c r="H150" s="23" t="inlineStr">
        <is>
          <t>Médio</t>
        </is>
      </c>
      <c r="I150" s="23" t="inlineStr">
        <is>
          <t>Fonte: itatiaia.com.br. Descoberta via Google News; URL editorial direta não resolvida automaticamente.</t>
        </is>
      </c>
    </row>
    <row r="151">
      <c r="A151" s="33" t="n">
        <v>46281</v>
      </c>
      <c r="B151" s="23" t="inlineStr">
        <is>
          <t>Seleção Brasileira Feminina volta a Pernambuco em preparação para a Copa do Mundo de 2027 - Federação Pernambucana de Futebol</t>
        </is>
      </c>
      <c r="C151" s="23" t="inlineStr">
        <is>
          <t>Copa Feminina 2027</t>
        </is>
      </c>
      <c r="D151" s="23" t="inlineStr">
        <is>
          <t>Brasil</t>
        </is>
      </c>
      <c r="E151" s="23" t="inlineStr">
        <is>
          <t>fpf-pe.com.br</t>
        </is>
      </c>
      <c r="F151" s="23" t="inlineStr">
        <is>
          <t>https://news.google.com/rss/articles/CBMiZEFVX3lxTE93VXJkYkhnMWNnUkVJRVJldG1mektDRTVpQUh6Ni1vUDdZZlBKeldJZFVXOERVUldFXzhVbnpWVUptZVdsMGFJeTRhaUtWR2xVMHoxaC03OF8xS2RUeDFuVktGeGM?oc=5</t>
        </is>
      </c>
      <c r="G151" s="23" t="inlineStr">
        <is>
          <t>Neutro</t>
        </is>
      </c>
      <c r="H151" s="23" t="inlineStr">
        <is>
          <t>Médio</t>
        </is>
      </c>
      <c r="I151" s="23" t="inlineStr">
        <is>
          <t>Fonte: fpf-pe.com.br. Descoberta via Google News; URL editorial direta não resolvida automaticamente.</t>
        </is>
      </c>
    </row>
    <row r="152">
      <c r="A152" s="33" t="n">
        <v>46259</v>
      </c>
      <c r="B152" s="23" t="inlineStr">
        <is>
          <t>Uma das sedes da Copa do Mundo Feminina de 2027, Porto Alegre ainda sonha com primeiro jogo da Seleção Brasileira - GZH</t>
        </is>
      </c>
      <c r="C152" s="23" t="inlineStr">
        <is>
          <t>Copa Feminina 2027</t>
        </is>
      </c>
      <c r="D152" s="23" t="inlineStr">
        <is>
          <t>Brasil</t>
        </is>
      </c>
      <c r="E152" s="23" t="inlineStr">
        <is>
          <t>gzh.com.br</t>
        </is>
      </c>
      <c r="F152" s="23" t="inlineStr">
        <is>
          <t>https://news.google.com/rss/articles/CBMivgJBVV95cUxObFBOdHd0dlFKUzJlOFhrcTJ2bkhZVjZyYkFDcHBWc1J4eUxkSkJFTlp5UGpPX0VMNzl6TnZ1SEFrY0Q3Vmh1bU1nMGZDUFk0dmZFZGJOd1Iwc2d3Um10VFFoR3E3eC1IV01zdU82RTE1cUxXbTBBT1ZIN2R5MzlNRlppVWt6TXBwWXZDbmt4bGt3TUtna1dnMlM5T3lrMHZBRDVrUFNyMGFRV3BiN1pRQ19WMTBJTWFPRXpvTExJbWd3VkVMR2tYWGFwVTZYN1oxM3FTSUVRYi1MQldQdXgxYUZlWDJ0VU1kVFFBUkYteHFyT1huQ19ReTc1NUVqV2F2OVBrU3RrbmlzUVRURVpVVTQ3aEhldzl3ZGdSUUJDUUV0V0luRkNFNG5YeDZmUGh6YWNfR3NTck9MUTUxbGc?oc=5</t>
        </is>
      </c>
      <c r="G152" s="23" t="inlineStr">
        <is>
          <t>Neutro</t>
        </is>
      </c>
      <c r="H152" s="23" t="inlineStr">
        <is>
          <t>Médio</t>
        </is>
      </c>
      <c r="I152" s="23" t="inlineStr">
        <is>
          <t>Fonte: gzh.com.br. Descoberta via Google News; URL editorial direta não resolvida automaticamente.</t>
        </is>
      </c>
    </row>
    <row r="153">
      <c r="A153" s="33" t="n">
        <v>46254</v>
      </c>
      <c r="B153" s="23" t="inlineStr">
        <is>
          <t>Fifa divulga calendário da Copa Feminina 2027 - Correio do Povo</t>
        </is>
      </c>
      <c r="C153" s="23" t="inlineStr">
        <is>
          <t>Copa Feminina 2027</t>
        </is>
      </c>
      <c r="D153" s="23" t="inlineStr">
        <is>
          <t>Brasil</t>
        </is>
      </c>
      <c r="E153" s="23" t="inlineStr">
        <is>
          <t>correiodopovo.com.br</t>
        </is>
      </c>
      <c r="F153" s="23" t="inlineStr">
        <is>
          <t>https://news.google.com/rss/articles/CBMingFBVV95cUxQNmxPZFMwMThNMEZ5M0ZaQVVwdHE5Tk4zb21EQkI1dTA4ZFltTGpfSF9kcHpfYlNBNUFNbnZvOGlsM3lQWU9fc1c1WEtvRUZWUG1UMUItV2N5QmZCZXlHN1o3MmZhVXJGT1pVaUxEc09MRzZKUjdwVzRfdk4tM2o5SVg4M2x6TmphLVpwTWtzYzRJdndoWXVMMDhBWWw0UQ?oc=5</t>
        </is>
      </c>
      <c r="G153" s="23" t="inlineStr">
        <is>
          <t>Neutro</t>
        </is>
      </c>
      <c r="H153" s="23" t="inlineStr">
        <is>
          <t>Médio</t>
        </is>
      </c>
      <c r="I153" s="23" t="inlineStr">
        <is>
          <t>Fonte: correiodopovo.com.br. Descoberta via Google News; URL editorial direta não resolvida automaticamente.</t>
        </is>
      </c>
    </row>
    <row r="154">
      <c r="A154" s="33" t="n">
        <v>46273</v>
      </c>
      <c r="B154" s="23" t="inlineStr">
        <is>
          <t>Fórmula 1 repetirá evento de abertura com festival de três dias em Milão para 2027 - Máquina do Esporte</t>
        </is>
      </c>
      <c r="C154" s="23" t="inlineStr">
        <is>
          <t>Copa Feminina 2027</t>
        </is>
      </c>
      <c r="D154" s="23" t="inlineStr">
        <is>
          <t>Brasil</t>
        </is>
      </c>
      <c r="E154" s="23" t="inlineStr">
        <is>
          <t>machinadoesporte.com.br</t>
        </is>
      </c>
      <c r="F154" s="23" t="inlineStr">
        <is>
          <t>https://news.google.com/rss/articles/CBMiugFBVV95cUxONm9nNGNKbldNRVFSTWV0V3RZYzVUbHoxcExOSnNuSVpkVXRwc3k3YWJYUDBNeThuV2Y2VlJjVjFYS2M0S1ZqRWhJR0dKNkU0NHFqTlp3dmNVbkt2SUJiTzBIS1FTNk9Xc1hKbTJmSEdyUDU2c2RVRXFBNlRiYWRpeXBJeXJtcTF2LVY3Vll1V0hmSm5oQ2kwOVJoMzlBeW9CN1RvYjFvNzFLSHQzMXFDYXJjT1N6Y3NFWUE?oc=5</t>
        </is>
      </c>
      <c r="G154" s="23" t="inlineStr">
        <is>
          <t>Neutro</t>
        </is>
      </c>
      <c r="H154" s="23" t="inlineStr">
        <is>
          <t>Médio</t>
        </is>
      </c>
      <c r="I154" s="23" t="inlineStr">
        <is>
          <t>Fonte: machinadoesporte.com.br. Descoberta via Google News; URL editorial direta não resolvida automaticamente.</t>
        </is>
      </c>
    </row>
    <row r="155">
      <c r="A155" s="33" t="n">
        <v>46259</v>
      </c>
      <c r="B155" s="23" t="inlineStr">
        <is>
          <t>Boicote da Uefa e prêmios em dinheiro podem marcar sorteio da Copa do Mundo Feminina de 2027 no RJ - Máquina do Esporte</t>
        </is>
      </c>
      <c r="C155" s="23" t="inlineStr">
        <is>
          <t>Copa Feminina 2027</t>
        </is>
      </c>
      <c r="D155" s="23" t="inlineStr">
        <is>
          <t>Brasil</t>
        </is>
      </c>
      <c r="E155" s="23" t="inlineStr">
        <is>
          <t>machinadoesporte.com.br</t>
        </is>
      </c>
      <c r="F155" s="23" t="inlineStr">
        <is>
          <t>https://news.google.com/rss/articles/CBMi4gFBVV95cUxQRkp2ZmlLUTl3SGdRbnpUUDVHVjN5bnNwbzBjNGN6OGJGNGJCTzJnTFc5c1FVQThPOFNGN25ZRTRQa09mN2tub3ljaWhkNU0xX2xMTjRLOGJ2eTIwanFfbTVGYm01VVR4T2RXczVObXUyQmN4QnozRGlMaUt0NEU0LVFneUNCbnY2bmszY3duaFdNNFhKSHFOa3hBTVA3VHE2NE9pWWFrOTVsbWE1TTFEdDRLcW5Sdzd6eDJHOVJrNjZ6M0xtOVVQVXhZWFJobm5XR0o3dlR3Y0pqWTY3anhIMUdn?oc=5</t>
        </is>
      </c>
      <c r="G155" s="23" t="inlineStr">
        <is>
          <t>Neutro</t>
        </is>
      </c>
      <c r="H155" s="23" t="inlineStr">
        <is>
          <t>Médio</t>
        </is>
      </c>
      <c r="I155" s="23" t="inlineStr">
        <is>
          <t>Fonte: machinadoesporte.com.br. Descoberta via Google News; URL editorial direta não resolvida automaticamente.</t>
        </is>
      </c>
    </row>
    <row r="156">
      <c r="A156" s="33" t="n">
        <v>46258</v>
      </c>
      <c r="B156" s="23" t="inlineStr">
        <is>
          <t>Fifa define data do sorteio da Copa do Mundo Feminina 2027; veja os detalhes - GZH</t>
        </is>
      </c>
      <c r="C156" s="23" t="inlineStr">
        <is>
          <t>Copa Feminina 2027</t>
        </is>
      </c>
      <c r="D156" s="23" t="inlineStr">
        <is>
          <t>Brasil</t>
        </is>
      </c>
      <c r="E156" s="23" t="inlineStr">
        <is>
          <t>gzh.com.br</t>
        </is>
      </c>
      <c r="F156" s="23" t="inlineStr">
        <is>
          <t>https://news.google.com/rss/articles/CBMijAJBVV95cUxQRkg5cnozVFFZQW1PY2ItaG04ZlY0V08tWFJ5UEFzd2ktU2dmMzBCbnJIMzE0VmxqdWlwdklMQlNPSGFDUDRNMjBTN1pMY2prQV95WFlwNUNrRWFSUzJ4WEM2WXhTcGZHUnhFSW9xR3BvOWxWRHRUc3FqVjdCem9QWFUwU2dvMmN1WERxd3MtYTVudlBjZC0xWkJMRFRYRWR3b0VDbDRDbkE5RENzTEVkTGRZQ1hwa0hmODVaazhjTXpFSG5fUzJhUW1mSWhOczR5OEpxWGpPZ0ZxU2F3dUtBSC1Ddm93aHF6WmhiYWVaQWYwcV9kVlBXU0kyakhDUDVIV0ZSUGNkcmhZYTdF?oc=5</t>
        </is>
      </c>
      <c r="G156" s="23" t="inlineStr">
        <is>
          <t>Neutro</t>
        </is>
      </c>
      <c r="H156" s="23" t="inlineStr">
        <is>
          <t>Médio</t>
        </is>
      </c>
      <c r="I156" s="23" t="inlineStr">
        <is>
          <t>Fonte: gzh.com.br. Descoberta via Google News; URL editorial direta não resolvida automaticamente.</t>
        </is>
      </c>
    </row>
    <row r="157">
      <c r="A157" s="33" t="n">
        <v>46276</v>
      </c>
      <c r="B157" s="23" t="inlineStr">
        <is>
          <t>Pioneira da Seleção, Fanta vê Copa do Mundo Feminina de 2027 como legado para novas gerações - www.gov.br</t>
        </is>
      </c>
      <c r="C157" s="23" t="inlineStr">
        <is>
          <t>Copa Feminina 2027</t>
        </is>
      </c>
      <c r="D157" s="23" t="inlineStr">
        <is>
          <t>Brasil</t>
        </is>
      </c>
      <c r="E157" s="23" t="inlineStr">
        <is>
          <t>gov.br</t>
        </is>
      </c>
      <c r="F157" s="23" t="inlineStr">
        <is>
          <t>https://news.google.com/rss/articles/CBMizAFBVV95cUxPd3VPN2M1NnU0UGczS1FwdHlOLVNvWEVYdTl3SWdSR1hzUTdWRXdkN2tZRnF5NldiUjcweTR1ZTk2cjc3d3pIUlZWTjdRNnZaUkYtZzFLenM5ajBMZ0VjLWhRV2d4OUk3UGtKSFQ2dDZTMnRzVTlSMzd2MnhwZlVDNmNTdHBFNWxfWmQ1Wmc4S1NoZ2ptbHJVMlVjVlpJdmNmLWh0Y2pDQzlWOUNrVkdKTVRCMWEwVzlqdndxMEdYRE44RWxUU0xhaXZrWWU?oc=5</t>
        </is>
      </c>
      <c r="G157" s="23" t="inlineStr">
        <is>
          <t>Neutro</t>
        </is>
      </c>
      <c r="H157" s="23" t="inlineStr">
        <is>
          <t>Médio</t>
        </is>
      </c>
      <c r="I157" s="23" t="inlineStr">
        <is>
          <t>Fonte: gov.br. Descoberta via Google News; URL editorial direta não resolvida automaticamente.</t>
        </is>
      </c>
    </row>
    <row r="158">
      <c r="A158" s="33" t="n">
        <v>46283</v>
      </c>
      <c r="B158" s="23" t="inlineStr">
        <is>
          <t>Netflix define narrador para Copa do Mundo Feminina 2027 no Brasil - Terra</t>
        </is>
      </c>
      <c r="C158" s="23" t="inlineStr">
        <is>
          <t>Copa Feminina 2027</t>
        </is>
      </c>
      <c r="D158" s="23" t="inlineStr">
        <is>
          <t>Brasil</t>
        </is>
      </c>
      <c r="E158" s="23" t="inlineStr">
        <is>
          <t>terra.com.br</t>
        </is>
      </c>
      <c r="F158" s="23" t="inlineStr">
        <is>
          <t>https://news.google.com/rss/articles/CBMigAJBVV95cUxOMTV1ODhsQ09XenRwbmFxWjQyeFJtRjZmVFl6UWt2b1FoOWhhUUlIV0JnNnlpSnlCd292M0JTOXdQWi1TX0hxZ3JWWGVFT3Q2MkFwYmp0SGViRjI0Ri1pdm8yMW54LXROaU9DNVJaWVV1bkFoUzFNaW9kVFpDUDN4VW5DTTkxYVRSQUJuMk1leXpyYlpYako5aXVPRHlyc256TXNSS0tpQ09sSDRnLS1RNTlud05SMnhfMFEwTVdlNHZCM0gwM3BQaHR2azROVkdGb1pET3N0clJHMnZFRXFEc1NlUENtZksxUWJSZ3VjakxYRkM0X3I1Z3htRGMtXzEx?oc=5</t>
        </is>
      </c>
      <c r="G158" s="23" t="inlineStr">
        <is>
          <t>Neutro</t>
        </is>
      </c>
      <c r="H158" s="23" t="inlineStr">
        <is>
          <t>Médio</t>
        </is>
      </c>
      <c r="I158" s="23" t="inlineStr">
        <is>
          <t>Fonte: terra.com.br. Descoberta via Google News; URL editorial direta não resolvida automaticamente.</t>
        </is>
      </c>
    </row>
    <row r="159">
      <c r="A159" s="33" t="n">
        <v>46254</v>
      </c>
      <c r="B159" s="23" t="inlineStr">
        <is>
          <t>Fifa define jogos da repescagem que decidirá últimas três vagas para Copa do Mundo Feminina - ge</t>
        </is>
      </c>
      <c r="C159" s="23" t="inlineStr">
        <is>
          <t>Copa Feminina 2027</t>
        </is>
      </c>
      <c r="D159" s="23" t="inlineStr">
        <is>
          <t>Brasil</t>
        </is>
      </c>
      <c r="E159" s="23" t="inlineStr">
        <is>
          <t>ge.globo.com</t>
        </is>
      </c>
      <c r="F159" s="23" t="inlineStr">
        <is>
          <t>https://news.google.com/rss/articles/CBMi-wFBVV95cUxNVEZBM1pGYzBsSXQzOHlSM1cycm5BSG5ZZFpEdG5FMHdqLVRYVHd4dUI1eUF5Q3pmWkd6OWNpbEdCRnpkR1dRSkNqNE9PZ0gwVF9GWjlLdXg3RFdfWVRJc2lLYW1DemV5UnJXS1BTUUJOU0V5cUdYNU1BS3NMMWVFeXV0LU12WmRyLWlyb09adDJWOHc0cGxJSm5aQ0tJUkpJNE40TFRWZUF2TWt5TVdvQ29WeW5DQjBWdmlyY3dRd0IwUERXRzkxcG1hMWZaQ3BJSHk5c0NKMlp2LUN0TldybjhTWHJsZXBPVDBkLVVVNFN2MXlCLWpOT3VXUdIBigJBVV95cUxOUWRXUHk3OFN0cE9RcTkxMV9lY0pNQWNPSW9NUFRDNGEzYjNVWmcwOGFPNEhqSzd6ekkybEFzY1NNZWhZU3g3STNySTc0VE1kd1ByUUk5X3NqcXl2YkpJWk1vQ1I2MHFwZ29tN2dhUmg4R2s0WElJTWdGSEEtM3JGTnRDOXJsVGdEdC1wcUZ6ZTNsS3M3Y1JWN21LaUZaR0pFSGNHMHA2a0hOSzZXR3A1LUxsYXZIcjMxVzVEQzM5T05ld005YUpkM1Z6RnU0Uks4MFlmOTZKUHRva2RBMVk1LTF6dWo5VE5LN05uMHlWZzJjcVc1MEhxQ0hvT1Z3T1pBV3RBVVdVVDdVdw?oc=5</t>
        </is>
      </c>
      <c r="G159" s="23" t="inlineStr">
        <is>
          <t>Neutro</t>
        </is>
      </c>
      <c r="H159" s="23" t="inlineStr">
        <is>
          <t>Médio</t>
        </is>
      </c>
      <c r="I159" s="23" t="inlineStr">
        <is>
          <t>Fonte: ge.globo.com. Descoberta via Google News; URL editorial direta não resolvida automaticamente.</t>
        </is>
      </c>
    </row>
    <row r="160">
      <c r="A160" s="33" t="n">
        <v>46259</v>
      </c>
      <c r="B160" s="23" t="inlineStr">
        <is>
          <t>Fifa define data e local do sorteio da Copa do Mundo Feminina - Lance!</t>
        </is>
      </c>
      <c r="C160" s="23" t="inlineStr">
        <is>
          <t>Copa Feminina 2027</t>
        </is>
      </c>
      <c r="D160" s="23" t="inlineStr">
        <is>
          <t>Brasil</t>
        </is>
      </c>
      <c r="E160" s="23" t="inlineStr">
        <is>
          <t>lance.com.br</t>
        </is>
      </c>
      <c r="F160" s="23" t="inlineStr">
        <is>
          <t>https://news.google.com/rss/articles/CBMirAFBVV95cUxQb0I4UHJ4LXlEUlM5TVhGWVJ2SUNnanlxbDNNaGZYZUxCSFBaOUxIMUlaRVdyVXh2NGF2dFl6MUlYRVhEOFhYa0dmeDQ4WGlYdXprRmxJZlowcl91VlJfUWt3RjQ5RXhybEI4QUlwQThfWEhodDJiUlBhazVOTVdiOWlKU0NXVEo4UEZ3YXNzYzF6bkREU3RWdUdVbXcxdU5DNWdZVlg4RHBIbFdO?oc=5</t>
        </is>
      </c>
      <c r="G160" s="23" t="inlineStr">
        <is>
          <t>Neutro</t>
        </is>
      </c>
      <c r="H160" s="23" t="inlineStr">
        <is>
          <t>Médio</t>
        </is>
      </c>
      <c r="I160" s="23" t="inlineStr">
        <is>
          <t>Fonte: lance.com.br. Descoberta via Google News; URL editorial direta não resolvida automaticamente.</t>
        </is>
      </c>
    </row>
    <row r="161">
      <c r="A161" s="33" t="n">
        <v>46282</v>
      </c>
      <c r="B161" s="23" t="inlineStr">
        <is>
          <t>Gramado do Mané Garrincha passará por troca completa antes da Copa do Mundo Feminina - ge</t>
        </is>
      </c>
      <c r="C161" s="23" t="inlineStr">
        <is>
          <t>Copa Feminina 2027</t>
        </is>
      </c>
      <c r="D161" s="23" t="inlineStr">
        <is>
          <t>Brasil</t>
        </is>
      </c>
      <c r="E161" s="23" t="inlineStr">
        <is>
          <t>ge.globo.com</t>
        </is>
      </c>
      <c r="F161" s="23" t="inlineStr">
        <is>
          <t>https://news.google.com/rss/articles/CBMi2wFBVV95cUxQTFRiZFVQbjNrNW5UNE44VGhHYWVpVWtPbzJET2l4TVE4Z0VzQWdnQkVCZU9FMG9kTGJsbUhjN3pRaDE1cTlfRWhva1dBcXJEZE9PY0ZtQ0h0djhYTTJtVmFEdDE3WENqMnJtbTJQT1NfTzlLV1pVc0JKb3UxMEdTeFppRzlFa19YNkNnanpsQ2tRYmQ3NUJuS2E4bXZYVjBEWTdGdFZ5Qm5rX0dMT0FRbTNmelVFaFFDSXM1dGJEVjJFYVlZTG1fOG9GMm1nMVdaOEVHaHNjSGZEcVHSAeoBQVVfeXFMTnNTQ21fczVIMkZqaERKMUdranV3OWt4Z3kzUFlOR1Vkb2xEWWd2Mk83YmE3MTNMZFpPeWZpSmRuS05sZzJwdDc0azZ6T3pSTGo1amZfb2gyYnBaUTh4Ujg2ODRJdk0xN2duMy1CaUVOOHRGVmxYcTE1THRlUUx6UjZHYS1LNnU1OExZSXd5VkNLRTNJa1ZkSzJqaFpNYUh6MkM2MEpvZDFlckwwY21zVlpGWDF6UlU0NnVIWHdLYWRkX2FQMlUyNmJ5U3c4dTZ0V05iVmhpU1JzZGM0U08zbTRIbkVDN2wtZ2tn?oc=5</t>
        </is>
      </c>
      <c r="G161" s="23" t="inlineStr">
        <is>
          <t>Neutro</t>
        </is>
      </c>
      <c r="H161" s="23" t="inlineStr">
        <is>
          <t>Médio</t>
        </is>
      </c>
      <c r="I161" s="23" t="inlineStr">
        <is>
          <t>Fonte: ge.globo.com. Descoberta via Google News; URL editorial direta não resolvida automaticamente.</t>
        </is>
      </c>
    </row>
    <row r="162">
      <c r="A162" s="33" t="n">
        <v>46254</v>
      </c>
      <c r="B162" s="23" t="inlineStr">
        <is>
          <t>Veja detalhes do calendário da Copa do Mundo Feminina de 2027 - CNN Brasil</t>
        </is>
      </c>
      <c r="C162" s="23" t="inlineStr">
        <is>
          <t>Copa Feminina 2027</t>
        </is>
      </c>
      <c r="D162" s="23" t="inlineStr">
        <is>
          <t>Brasil</t>
        </is>
      </c>
      <c r="E162" s="23" t="inlineStr">
        <is>
          <t>cnnbrasil.com.br</t>
        </is>
      </c>
      <c r="F162" s="23" t="inlineStr">
        <is>
          <t>https://news.google.com/rss/articles/CBMivwFBVV95cUxOdG85bEpJYl8tbnl6ZW1xM1U1UjNSaVplM2wwNmE1SnoybXZxUVNYUkxIa1loYmdkaFVMRXBJd2gyUTJvVDBOWllDbXJoZ2Y4M1FHTFQtazFaZU9KTXpJUGhSRFNvdndyOUhmUEwwN2lvbzJPM3liR1gtaHBXc2d1RDhERnh3WVZBcmtMYUxBNkw2ejMwUngxd2l6QmQ2YVlTRUpuRzU4UjA3Q2RUeVV2ZVNMUVQ3ZFJzNS0tM1k3WQ?oc=5</t>
        </is>
      </c>
      <c r="G162" s="23" t="inlineStr">
        <is>
          <t>Neutro</t>
        </is>
      </c>
      <c r="H162" s="23" t="inlineStr">
        <is>
          <t>Médio</t>
        </is>
      </c>
      <c r="I162" s="23" t="inlineStr">
        <is>
          <t>Fonte: cnnbrasil.com.br. Descoberta via Google News; URL editorial direta não resolvida automaticamente.</t>
        </is>
      </c>
    </row>
    <row r="163">
      <c r="A163" s="33" t="n">
        <v>46273</v>
      </c>
      <c r="B163" s="23" t="inlineStr">
        <is>
          <t>Fifa faz estudo para definir preços dos ingressos da Copa do Mundo Feminina no Brasil - ge</t>
        </is>
      </c>
      <c r="C163" s="23" t="inlineStr">
        <is>
          <t>Copa Feminina 2027</t>
        </is>
      </c>
      <c r="D163" s="23" t="inlineStr">
        <is>
          <t>Brasil</t>
        </is>
      </c>
      <c r="E163" s="23" t="inlineStr">
        <is>
          <t>ge.globo.com</t>
        </is>
      </c>
      <c r="F163" s="23" t="inlineStr">
        <is>
          <t>https://news.google.com/rss/articles/CBMi8wFBVV95cUxNcEl4WTNSVDJCYVJvMnlQUWE3Ym5ua0diblBBY2ZETVZ5STZNX09IYVpaQmhhLTFRakFpUWl5Nnp5aEVPNWw0TUlGU19hdm90UUxIczhsNkktN0MxanRLZ1lzM1lmRXlGY1lvOC1pMW9rX3djM2FJTi1zM1ByampTS0kwU2s5MGc2cEhhZEhDbWQxUlNiajdrcTR0YjBxMmdJX2FWaTBfTlRFSGl3RlBFbU9EN29tWVhIcUhsNF80a1djY0JaY0JxbmZzZmZxNjZwRzJ6UTBxRERfbzJwV0hpZFpIa3QxN0pBQ1VoS0o0UUVZU0nSAYICQVVfeXFMT2tmQ2x6SjhlNFowcUQ0bXVOYUpMek5yemhVWnVvNTdZVVNWX1RzNkg4WEF6WS1yRko3dm90Umw2OWdnMTNRZTl5NUs4cG1FenplMFNiTFN1cDRsT1VzTkFibVNWNUkzMGduRXpZcGdOZ29SWXhnWWxFVnBmUEcyZWlqd3Q4MjFPRVBBQUJyQWRnLVQwNTh1d2toRzktMU4zb1REbXMwSl9yNTVNd2luUEdfdm52bkp3b0ZVMkJvLVBNYnpmOUp2bVYtT1ViY01pZnpKOWREelY1aTVJUDlneDB6QXlNY0d3UlJrVGctblA1QVpzbjZtNHd5Q2VOV2lsZlh3?oc=5</t>
        </is>
      </c>
      <c r="G163" s="23" t="inlineStr">
        <is>
          <t>Neutro</t>
        </is>
      </c>
      <c r="H163" s="23" t="inlineStr">
        <is>
          <t>Médio</t>
        </is>
      </c>
      <c r="I163" s="23" t="inlineStr">
        <is>
          <t>Fonte: ge.globo.com. Descoberta via Google News; URL editorial direta não resolvida automaticamente.</t>
        </is>
      </c>
    </row>
    <row r="164">
      <c r="A164" s="33" t="n">
        <v>46281</v>
      </c>
      <c r="B164" s="23" t="inlineStr">
        <is>
          <t>Seleção Brasileira Feminina confirma dois novos amistosos antes da Copa do Mundo, com jogo na Arena Pernambuco - jc.uol.com.br</t>
        </is>
      </c>
      <c r="C164" s="23" t="inlineStr">
        <is>
          <t>Copa Feminina 2027</t>
        </is>
      </c>
      <c r="D164" s="23" t="inlineStr">
        <is>
          <t>Brasil</t>
        </is>
      </c>
      <c r="E164" s="23" t="inlineStr">
        <is>
          <t>jc.uol.com.br</t>
        </is>
      </c>
      <c r="F164" s="23" t="inlineStr">
        <is>
          <t>https://news.google.com/rss/articles/CBMimwJBVV95cUxPc21ucGp2Nl81Q29pZzF4TGpETlN1SUVIbTJrcFhvSEdPek5LQW9BUUxKc0pQQWFfcTJIOWRPYUxBZDB3Y2R1XzF4TjRRclNOeUJqWXhyUTA5SEtuM1NXaG1iWk1QdFNuWFRBcG1lN3F6enY2NjYyb0IxemhPM2IwVEk2UWwtR01SckhtZGdCSmtxWVU3QURFNnNuV2tCTjVqOTNyOGtjQjVDcTFOcnNfMkR6b3lHd1NVQ2tyWEp5X1l3OTZuMVhTcWJORXZjUDdrUXl1OTZUR2VWNW9DcE8xc0tTWEJKZGZtOHktbVZpQmR5Tm9UbWU4MG1ZbGRSZVczQ2JHc3k1aTNkVmE2NEtDa05XRjVVWWQwM3Zn?oc=5</t>
        </is>
      </c>
      <c r="G164" s="23" t="inlineStr">
        <is>
          <t>Neutro</t>
        </is>
      </c>
      <c r="H164" s="23" t="inlineStr">
        <is>
          <t>Médio</t>
        </is>
      </c>
      <c r="I164" s="23" t="inlineStr">
        <is>
          <t>Fonte: jc.uol.com.br. Descoberta via Google News; URL editorial direta não resolvida automaticamente.</t>
        </is>
      </c>
    </row>
    <row r="165">
      <c r="A165" s="33" t="n">
        <v>46254</v>
      </c>
      <c r="B165" s="23" t="inlineStr">
        <is>
          <t>Copa do Mundo feminina 2027 terá abertura e final no Maracanã; São Paulo receberá 10 jogos - Estadão</t>
        </is>
      </c>
      <c r="C165" s="23" t="inlineStr">
        <is>
          <t>Copa Feminina 2027</t>
        </is>
      </c>
      <c r="D165" s="23" t="inlineStr">
        <is>
          <t>Brasil</t>
        </is>
      </c>
      <c r="E165" s="23" t="inlineStr">
        <is>
          <t>estadao.com.br</t>
        </is>
      </c>
      <c r="F165" s="23" t="inlineStr">
        <is>
          <t>https://news.google.com/rss/articles/CBMizwFBVV95cUxOdUtZWXJJenVRUG1fZzhRS1NmMHo3UnR0ZHRtWTB0VXNWRmtzbXVhdktIb3Ric0p2ZGRVTzQ5WUs0Q3R5eHBDMHI0TWxDN0VvVTFwY3JlM2lYQTVKb1FBdUQ4am1ZTFNaaFVmdkFnd191UDkydWZYS0U1QlVuSTRlVDFERjJxRVBYN3ZHdjhEVDY0NWlGVGVpWV96Sm5Gd05YS1hZZkFqekxobXctWEdlUzJqbmREcjRqUVNnYlVseVBMOTBlLURDYjZXVnpKY2_SAdQBQVVfeXFMTmpXSmtQbGxnbmd0bTFsNTFuZmhfVmFSdjd3TWxzS2pJNE5zSXlGaFNpaEpKLURVNjNCeVpJdVV5TlhpcDNHVEE1dHU4RC0xZ2NXbV8ycGNVQVVLSjd4WktJbDJqd29JNWpBSy1aUndxSzRTMFVCNHg1bk1ONEFscEs0cHRIRk10bi0ybkJOMURJNWg2cTZMM2xVV2dhTXQ4OG5EVmM4TndzR2oySms1VzJsY3RKQm9EMHBOaGQtd1FWamZ1V2tsR2Y1R1NOSXU2dXZaZTA?oc=5</t>
        </is>
      </c>
      <c r="G165" s="23" t="inlineStr">
        <is>
          <t>Neutro</t>
        </is>
      </c>
      <c r="H165" s="23" t="inlineStr">
        <is>
          <t>Médio</t>
        </is>
      </c>
      <c r="I165" s="23" t="inlineStr">
        <is>
          <t>Fonte: estadao.com.br. Descoberta via Google News; URL editorial direta não resolvida automaticamente.</t>
        </is>
      </c>
    </row>
    <row r="166">
      <c r="A166" s="33" t="n">
        <v>46254</v>
      </c>
      <c r="B166" s="23" t="inlineStr">
        <is>
          <t>Copa do Mundo Feminina 2027: veja os estádios onde a Seleção vai jogar - ge</t>
        </is>
      </c>
      <c r="C166" s="23" t="inlineStr">
        <is>
          <t>Copa Feminina 2027</t>
        </is>
      </c>
      <c r="D166" s="23" t="inlineStr">
        <is>
          <t>Brasil</t>
        </is>
      </c>
      <c r="E166" s="23" t="inlineStr">
        <is>
          <t>ge.globo.com</t>
        </is>
      </c>
      <c r="F166" s="23" t="inlineStr">
        <is>
          <t>https://news.google.com/rss/articles/CBMi3gFBVV95cUxQdk9DeGgtWS13a2xzZWdyMGE4cWRqN1Z5eWJ5ajBoZXNBemFrZTVBS01TRVFuRXpBSVhtbTZiVHFsMTh3V0d1QU51Y0tsVjZ6YThyeHdxNExDd0pMTWcyYk1NN0luRnNPVGNUM2c1WTRFMkhVTzg4b01CdE5QRWJhNFo4bXFDR0hDVWRBdTROakwyaXd0NzlMRTY1eDZpa0xOMjFUUzhFWlgzSWU0VThWSktOQ0dhYUhmRlgwU1cyVkhKZXlKYTJ6Q2xHclRHUlJrMlBnNUZZMzZpbldRT3fSAewBQVVfeXFMTTBCMXBPaWM2Zkl2dEltNnFLeFZxNG9ZNWp5LWVMbTZleExOZUJ1dDJEUXZ3ZUxsYkRDbDZfZWdBUWVWUEM3YXZ1UmRfTXJYNXdjdDZDZGVKaEFuM1pfUXdfRXd2SXlQekFoSkFFNmQzbVlWMU1USWIyNXJCUXI3VDR0bWEydjkzMjh5WVJPZzdKdGhkcUFzUWdvM2JlaDN6RkNiLXd2Q29ud0NZWUprQ21aV3NBWWJWd0hIMmtxMjJyNUJaSWV5RWZ6d3p6cWRIMlE3WTJkRHQyYlZtZ2xZNlNMNE1waTlMSFdqZUk?oc=5</t>
        </is>
      </c>
      <c r="G166" s="23" t="inlineStr">
        <is>
          <t>Neutro</t>
        </is>
      </c>
      <c r="H166" s="23" t="inlineStr">
        <is>
          <t>Médio</t>
        </is>
      </c>
      <c r="I166" s="23" t="inlineStr">
        <is>
          <t>Fonte: ge.globo.com. Descoberta via Google News; URL editorial direta não resolvida automaticamente.</t>
        </is>
      </c>
    </row>
    <row r="167">
      <c r="A167" s="33" t="n">
        <v>46280</v>
      </c>
      <c r="B167" s="23" t="inlineStr">
        <is>
          <t>Mineirão recebe visita técnica da FIFA visando a Copa do Mundo Feminina 2027 - O TEMPO</t>
        </is>
      </c>
      <c r="C167" s="23" t="inlineStr">
        <is>
          <t>Copa Feminina 2027</t>
        </is>
      </c>
      <c r="D167" s="23" t="inlineStr">
        <is>
          <t>Brasil</t>
        </is>
      </c>
      <c r="E167" s="23" t="inlineStr">
        <is>
          <t>otempo.com.br</t>
        </is>
      </c>
      <c r="F167" s="23" t="inlineStr">
        <is>
          <t>https://news.google.com/rss/articles/CBMi0gFBVV95cUxQQTRuWGFuQXhON240SDZUMU1DcmRzWnp2a2RkcHd5ZXBYRzBMSkxsSi1ONE5SX0IwMXFqcjMxU0oxTHRYeTU2akNIM0FITHg1UzIxOENMSDRDQnZHcF91d2hZaTNsdzM0elBYa1UxcWF1M01WYXQ2NE9iU1NMXzM4LTZsTC03QnZvdnRZN2NjUFJvbDY2RXNXS2tPREdjVzlLdFplN2dOSGtNbWxxdkVhT19scGV5WHBKNTd2WG9fenk4SGdlTDNqMUdBMkxBWGt1R0HSAdcBQVVfeXFMTUZYNFVRMjN6UnIxVjM3aFo2Qjl1eENrOEVzeTlEelZVb3RZZTRCZTcxUVFnTG5wRGF4MEhuWEtlQUZ1Q1RGaUVXSHRXX3hVbEM4N2Z2Y2QxME1VZWxiY3FPNk1kY0NkZzRBWXJkbEZEemdHQXNjUDUwVTZJb2Jody1HRm5YVjl1QlhlWFVaV0lISjZlWkhaWHlvNjdXOE1qNkcySHFTQUNZelcxMl9iR2Jlb1I4SHlJLU9fLVJieUNzMTZWZk5NSnBEdmZtYkhhVXRrNTJQT1U?oc=5</t>
        </is>
      </c>
      <c r="G167" s="23" t="inlineStr">
        <is>
          <t>Neutro</t>
        </is>
      </c>
      <c r="H167" s="23" t="inlineStr">
        <is>
          <t>Médio</t>
        </is>
      </c>
      <c r="I167" s="23" t="inlineStr">
        <is>
          <t>Fonte: otempo.com.br. Descoberta via Google News; URL editorial direta não resolvida automaticamente.</t>
        </is>
      </c>
    </row>
    <row r="168">
      <c r="A168" s="33" t="n">
        <v>46279</v>
      </c>
      <c r="B168" s="23" t="inlineStr">
        <is>
          <t>Estádios vão ser entregues à Fifa duas semanas antes da Copa Feminina - ge</t>
        </is>
      </c>
      <c r="C168" s="23" t="inlineStr">
        <is>
          <t>Copa Feminina 2027</t>
        </is>
      </c>
      <c r="D168" s="23" t="inlineStr">
        <is>
          <t>Brasil</t>
        </is>
      </c>
      <c r="E168" s="23" t="inlineStr">
        <is>
          <t>ge.globo.com</t>
        </is>
      </c>
      <c r="F168" s="23" t="inlineStr">
        <is>
          <t>https://news.google.com/rss/articles/CBMi3gFBVV95cUxQT0JZb1JCN1h6Rm1WcHM1STlmQ3FxXzlKa2dkWnBSMGZpZzBtc1pNQkNhOS13SHNrWjFoZmppUGpLT201dVEwUFNaZmkwMHZ2QmNZVnk1U2lRdFg3akNwU0R5M3JfWlQ2bE5KdXhnWXJfSHcxZzBCd3hTNS1LOVpGZXl0cTJ3ODdubTFHeTJRS2FxdGJOZS1jd0YxNmN2ajhySnJwLUE4ZHFlVWZIR25Nek11eUdMOERtcHZRMm1UMlhIUmtfWGxqMHZjVU5Pd2xla2lvWFZ6eWh3dVZnWXfSAewBQVVfeXFMTVFlR1N2endxZ01jbDg5MDJPbGVJQ1JnbFBCbVhEUjZfcERjTFlISHlTSFgtaHZCTEVZYXhqcWIxUVFySE5sd0dfZkxTTzdOOTZ3U1B1OFNHcXphdVpfV1B0V0N3MllKNnZSdHAyYzFNMDRyWFg0QmlCM0xPYkdocW5UVlFwdjBPSEZ3anppTlBJd0UzaFRuSG5pZTFOWTlidld4R2tMQTdkRUNqX1ZLb1hrTjZ5UEJlRmF3MTFhYkJMaHotLWgtWG5UWkU5bkFkcnZyY2RyR1RIYTZYSVo1R3FLZHJDSk5BUjd4LWk?oc=5</t>
        </is>
      </c>
      <c r="G168" s="23" t="inlineStr">
        <is>
          <t>Neutro</t>
        </is>
      </c>
      <c r="H168" s="23" t="inlineStr">
        <is>
          <t>Médio</t>
        </is>
      </c>
      <c r="I168" s="23" t="inlineStr">
        <is>
          <t>Fonte: ge.globo.com. Descoberta via Google News; URL editorial direta não resolvida automaticamente.</t>
        </is>
      </c>
    </row>
    <row r="169">
      <c r="A169" s="33" t="n">
        <v>46281</v>
      </c>
      <c r="B169" s="23" t="inlineStr">
        <is>
          <t>Setores estratégicos se reúnem para preparação de Porto Alegre para a Copa de 2027 - prefeitura.poa.br</t>
        </is>
      </c>
      <c r="C169" s="23" t="inlineStr">
        <is>
          <t>Copa Feminina 2027</t>
        </is>
      </c>
      <c r="D169" s="23" t="inlineStr">
        <is>
          <t>Brasil</t>
        </is>
      </c>
      <c r="E169" s="23" t="inlineStr">
        <is>
          <t>prefeitura.poa.br</t>
        </is>
      </c>
      <c r="F169" s="23" t="inlineStr">
        <is>
          <t>https://news.google.com/rss/articles/CBMivgFBVV95cUxNQ0RISENpazlkX0ZMNTg2MmtVNDN5YmNPZzFTLWJVbjBJRHpJRUhGUUQ4cWNaU0ppS2pVdXBYNHgzS2VPVXVPaHdGQTJGRWdNZkNOcmlEeGRjdjM5SWlCTXRMTUdCTVVFX0R1RlVPTGxJZ0Y3N0xNLTNfbEFFbVRKbWVXOWFqZjFUOHdOeEZHZG5reGJmemlaaGZWMk9STG9aV0p1Y2lRSzZ0dGl4ejZtZGRhQm1WUUQtUXI3TjBR?oc=5</t>
        </is>
      </c>
      <c r="G169" s="23" t="inlineStr">
        <is>
          <t>Neutro</t>
        </is>
      </c>
      <c r="H169" s="23" t="inlineStr">
        <is>
          <t>Médio</t>
        </is>
      </c>
      <c r="I169" s="23" t="inlineStr">
        <is>
          <t>Fonte: prefeitura.poa.br. Descoberta via Google News; URL editorial direta não resolvida automaticamente.</t>
        </is>
      </c>
    </row>
    <row r="170">
      <c r="A170" s="33" t="n">
        <v>46254</v>
      </c>
      <c r="B170" s="23" t="inlineStr">
        <is>
          <t>Copa Feminina 2027: Brasil joga no Rio de Janeiro, em São Paulo e Brasília - CBF</t>
        </is>
      </c>
      <c r="C170" s="23" t="inlineStr">
        <is>
          <t>Copa Feminina 2027</t>
        </is>
      </c>
      <c r="D170" s="23" t="inlineStr">
        <is>
          <t>Brasil</t>
        </is>
      </c>
      <c r="E170" s="23" t="inlineStr">
        <is>
          <t>cbf.com.br</t>
        </is>
      </c>
      <c r="F170" s="23" t="inlineStr">
        <is>
          <t>https://news.google.com/rss/articles/CBMi4wFBVV95cUxONEY5cmowMGxscVhXWTBXVFdlbTh4dDViNGFZOEZxODJ2UG9meExuNnIxTzBreXRhVnJORDJrdGZnbUM2UC1FMWxMS2xMLVdYWjJCdjliZllKdGFHV2ZLM0llQ2s4WW56RnlISHdhdFIzN1g1N3JrSzJyUS1pQ2NzeGVfZGdOVXZSUDNyZ2R3MkVBNzIyQWViWFpDemZDWlpkTGM2eURJcmFZclNmNEdZckF3UDIyTTY5UEkybnpLM25zdnVBcmsxQjR1YzFwTUFWbmNQUmRFTzlJNGJneXNwc21MVQ?oc=5</t>
        </is>
      </c>
      <c r="G170" s="23" t="inlineStr">
        <is>
          <t>Neutro</t>
        </is>
      </c>
      <c r="H170" s="23" t="inlineStr">
        <is>
          <t>Médio</t>
        </is>
      </c>
      <c r="I170" s="23" t="inlineStr">
        <is>
          <t>Fonte: cbf.com.br. Descoberta via Google News; URL editorial direta não resolvida automaticamente.</t>
        </is>
      </c>
    </row>
    <row r="171">
      <c r="A171" s="33" t="n">
        <v>46254</v>
      </c>
      <c r="B171" s="23" t="inlineStr">
        <is>
          <t>Porto Alegre terá sete jogos da Copa do Mundo Feminina de 2027 - prefeitura.poa.br</t>
        </is>
      </c>
      <c r="C171" s="23" t="inlineStr">
        <is>
          <t>Copa Feminina 2027</t>
        </is>
      </c>
      <c r="D171" s="23" t="inlineStr">
        <is>
          <t>Brasil</t>
        </is>
      </c>
      <c r="E171" s="23" t="inlineStr">
        <is>
          <t>prefeitura.poa.br</t>
        </is>
      </c>
      <c r="F171" s="23" t="inlineStr">
        <is>
          <t>https://news.google.com/rss/articles/CBMirAFBVV95cUxPcDRzQmZadDhCUXB1NEU4XzRvWE9BMlFoWUEwWmtMT0RrRXhYdVhGXzVWajkzdzhCcUZGWENKS3lST0J6aFhTdGVoUkVLVW0zYUhYdmFDVm9IVFFCclhNSTlVZmlvUEZ3QVlaZ0EwWkw0dDIwdld6R1dDSjVybHh0OWFnQjJWSTFNR2VNNVBnbFQ2a2x2NGZma0x0cnNtUTFQYWxkb0Q3VUktT0ta?oc=5</t>
        </is>
      </c>
      <c r="G171" s="23" t="inlineStr">
        <is>
          <t>Neutro</t>
        </is>
      </c>
      <c r="H171" s="23" t="inlineStr">
        <is>
          <t>Médio</t>
        </is>
      </c>
      <c r="I171" s="23" t="inlineStr">
        <is>
          <t>Fonte: prefeitura.poa.br. Descoberta via Google News; URL editorial direta não resolvida automaticamente.</t>
        </is>
      </c>
    </row>
    <row r="172">
      <c r="A172" s="33" t="n">
        <v>46281</v>
      </c>
      <c r="B172" s="23" t="inlineStr">
        <is>
          <t>Seleção Brasileira feminina recebe Argentina em últimos jogos em casa no ano; veja datas e os estádios escolhidos - ESPN Brasil</t>
        </is>
      </c>
      <c r="C172" s="23" t="inlineStr">
        <is>
          <t>Copa Feminina 2027</t>
        </is>
      </c>
      <c r="D172" s="23" t="inlineStr">
        <is>
          <t>Brasil</t>
        </is>
      </c>
      <c r="E172" s="23" t="inlineStr">
        <is>
          <t>espn.com.br</t>
        </is>
      </c>
      <c r="F172" s="23" t="inlineStr">
        <is>
          <t>https://news.google.com/rss/articles/CBMi_wFBVV95cUxQVUpNNndxbkhoYnF4YVM4SFFrWVM5WURwT3ZsV1o5ZFBoMjVXSlNZS1N3d3dldmszR3hGdGY2TGV4Z0NRUElPbjQyNjEwUVRQcGdZelVRTXpOMnZaMWZueks5ZXVaSGlFTC1QUnRkLVZEbUQzR2pLeHpseXJ4cUVoal94ZkpCMjBlZXYtTzVER2x4NHNySzlEdzgxR1VwdEkyOFFBT3NlX2tBZWhraUVBM2ttQVA4YTJHNjZMLUgxdVExRGZPNFpJem5BWTBKNzN6d1NVcHU1cmVBaVk3TUx0V2NoVVNpSkduQ0YzR01OWGlFZHVvR1ZQUElST2IxcFk?oc=5</t>
        </is>
      </c>
      <c r="G172" s="23" t="inlineStr">
        <is>
          <t>Neutro</t>
        </is>
      </c>
      <c r="H172" s="23" t="inlineStr">
        <is>
          <t>Médio</t>
        </is>
      </c>
      <c r="I172" s="23" t="inlineStr">
        <is>
          <t>Fonte: espn.com.br. Descoberta via Google News; URL editorial direta não resolvida automaticamente.</t>
        </is>
      </c>
    </row>
    <row r="173">
      <c r="A173" s="33" t="n">
        <v>46254</v>
      </c>
      <c r="B173" s="23" t="inlineStr">
        <is>
          <t>Copa do Mundo Feminina 2027: veja as seleções já classificadas - LANCE!</t>
        </is>
      </c>
      <c r="C173" s="23" t="inlineStr">
        <is>
          <t>Copa Feminina 2027</t>
        </is>
      </c>
      <c r="D173" s="23" t="inlineStr">
        <is>
          <t>Brasil</t>
        </is>
      </c>
      <c r="E173" s="23" t="inlineStr">
        <is>
          <t>lance.com.br</t>
        </is>
      </c>
      <c r="F173" s="23" t="inlineStr">
        <is>
          <t>https://news.google.com/rss/articles/CBMipgFBVV95cUxNS1pFck5Wb0dmMDV5aWxWWFp6MU1sUWMyRGZwQWtiUlE5dmdHNlZyaGNRUXg5ZFpmTkc0ZlJxNjBQejJreFYtTm55Sy1Zbm01NkhsWlcwU1BNU3dNT2NPU1NTYURWSlJHc29DSWlPQTNmYUFEXzcwY2dzQTU4YXQ2b1dpR1hndEptUmY4cE02RUpCbVFBSk1FaFRlcFp2eldZQkF4N3FB?oc=5</t>
        </is>
      </c>
      <c r="G173" s="23" t="inlineStr">
        <is>
          <t>Neutro</t>
        </is>
      </c>
      <c r="H173" s="23" t="inlineStr">
        <is>
          <t>Médio</t>
        </is>
      </c>
      <c r="I173" s="23" t="inlineStr">
        <is>
          <t>Fonte: lance.com.br. Descoberta via Google News; URL editorial direta não resolvida automaticamente.</t>
        </is>
      </c>
    </row>
    <row r="174">
      <c r="A174" s="33" t="n">
        <v>46254</v>
      </c>
      <c r="B174" s="23" t="inlineStr">
        <is>
          <t>Maracanã receberá a abertura da Copa do Mundo Feminina 2027; veja o calendário completo - Exame</t>
        </is>
      </c>
      <c r="C174" s="23" t="inlineStr">
        <is>
          <t>Copa Feminina 2027</t>
        </is>
      </c>
      <c r="D174" s="23" t="inlineStr">
        <is>
          <t>Brasil</t>
        </is>
      </c>
      <c r="E174" s="23" t="inlineStr">
        <is>
          <t>exame.com</t>
        </is>
      </c>
      <c r="F174" s="23" t="inlineStr">
        <is>
          <t>https://news.google.com/rss/articles/CBMiswFBVV95cUxQY0dQTWZEQXQtRndQY0dfcTZLQm5xS3dOMllUSmVoNndqS0tsNXNXSXZDY0pNUnVZTEp5YzVzdGJnU1FyelBlOUhtRlpjWnRwYXo0ZFNCMVVSbkhjbGZMQjU4cFJSMlN5ZlBYX1ktUGtTMUc2XzlLTjJCY3FHMGNpcmFxaGl1RXBNWmtDb1RoaGJ4UnBOMnhlT0VmSHVULW1fYm5nbWFFN0FQd2xJRERJbFlZMA?oc=5</t>
        </is>
      </c>
      <c r="G174" s="23" t="inlineStr">
        <is>
          <t>Neutro</t>
        </is>
      </c>
      <c r="H174" s="23" t="inlineStr">
        <is>
          <t>Médio</t>
        </is>
      </c>
      <c r="I174" s="23" t="inlineStr">
        <is>
          <t>Fonte: exame.com. Descoberta via Google News; URL editorial direta não resolvida automaticamente.</t>
        </is>
      </c>
    </row>
    <row r="175">
      <c r="A175" s="33" t="n">
        <v>46253</v>
      </c>
      <c r="B175" s="23" t="inlineStr">
        <is>
          <t>Fifa define calendário e repescagem da Copa Feminina 2027 - Terra</t>
        </is>
      </c>
      <c r="C175" s="23" t="inlineStr">
        <is>
          <t>Copa Feminina 2027</t>
        </is>
      </c>
      <c r="D175" s="23" t="inlineStr">
        <is>
          <t>Brasil</t>
        </is>
      </c>
      <c r="E175" s="23" t="inlineStr">
        <is>
          <t>terra.com.br</t>
        </is>
      </c>
      <c r="F175" s="23" t="inlineStr">
        <is>
          <t>https://news.google.com/rss/articles/CBMi3AFBVV95cUxOSkhmZG00SzF4NzliVVhtZ1ViMzNfNVkwNjMxSXAybi1hb3VWeVBWTGRUeHA2SHJCbXp1WkpWdUZNbWgzTlMwLVhRYW5IdHBnY1VGTkJQNjZ2aUJXa3RyRnZ0VlJhTEY3TGljZ2FWdk8wX2diU0pzYkFDYlVpRnRKdk5KOWZ1T3VNV04wRjkxWHVleVJQeVlpZkZEWXlYUEFtZzRBMFRHdkZxNEdUWjAyM0kwdXlyWk1HSDlCUmdFbDcwRml4UXZwYlRGLVd3eGhKNHhIbXNQMjJFTXgw?oc=5</t>
        </is>
      </c>
      <c r="G175" s="23" t="inlineStr">
        <is>
          <t>Neutro</t>
        </is>
      </c>
      <c r="H175" s="23" t="inlineStr">
        <is>
          <t>Médio</t>
        </is>
      </c>
      <c r="I175" s="23" t="inlineStr">
        <is>
          <t>Fonte: terra.com.br. Descoberta via Google News; URL editorial direta não resolvida automaticamente.</t>
        </is>
      </c>
    </row>
    <row r="176">
      <c r="A176" s="33" t="n">
        <v>46258</v>
      </c>
      <c r="B176" s="23" t="inlineStr">
        <is>
          <t>Porto Alegre apresenta preparação para a Copa Feminina 2027 em workshop da FIFA - prefeitura.poa.br</t>
        </is>
      </c>
      <c r="C176" s="23" t="inlineStr">
        <is>
          <t>Copa Feminina 2027</t>
        </is>
      </c>
      <c r="D176" s="23" t="inlineStr">
        <is>
          <t>Brasil</t>
        </is>
      </c>
      <c r="E176" s="23" t="inlineStr">
        <is>
          <t>prefeitura.poa.br</t>
        </is>
      </c>
      <c r="F176" s="23" t="inlineStr">
        <is>
          <t>https://news.google.com/rss/articles/CBMiwAFBVV95cUxPc09xbUVOZkNHRE9uSmxEREJJSDVpTHRkcHJnblZCS3V2eE15eGRiU0tJRmpfT29uVUx1Y0RRdXhVOXNJUWlWb01DSjR0aHlfbEtJdjFCcmZpVXR5MFZfeUhKcmk3UElqcUlFaVhZNHpBSDh2MmxFNFUxNVhlejduTmUwZzd2MWwwMmxHUWtCNHFENkFnUWZfVVhhR0tkamVFa3lnS2VBMldnbDc2Q2xkV3VRMC1TQ082R0psSF95djQ?oc=5</t>
        </is>
      </c>
      <c r="G176" s="23" t="inlineStr">
        <is>
          <t>Neutro</t>
        </is>
      </c>
      <c r="H176" s="23" t="inlineStr">
        <is>
          <t>Médio</t>
        </is>
      </c>
      <c r="I176" s="23" t="inlineStr">
        <is>
          <t>Fonte: prefeitura.poa.br. Descoberta via Google News; URL editorial direta não resolvida automaticamente.</t>
        </is>
      </c>
    </row>
    <row r="177">
      <c r="A177" s="33" t="n">
        <v>46265</v>
      </c>
      <c r="B177" s="23" t="inlineStr">
        <is>
          <t>Prefeitura protocola Projeto de Lei com regras especiais para a Copa Feminina 2027 - prefeitura.poa.br</t>
        </is>
      </c>
      <c r="C177" s="23" t="inlineStr">
        <is>
          <t>Copa Feminina 2027</t>
        </is>
      </c>
      <c r="D177" s="23" t="inlineStr">
        <is>
          <t>Brasil</t>
        </is>
      </c>
      <c r="E177" s="23" t="inlineStr">
        <is>
          <t>prefeitura.poa.br</t>
        </is>
      </c>
      <c r="F177" s="23" t="inlineStr">
        <is>
          <t>https://news.google.com/rss/articles/CBMivgFBVV95cUxQTllZbXZxM3lXcXhZZXI1UExrbDIwamJ2QnlZeWdxMm54am51SVVEWng4b3dYbTVSZXlSSDl4ZnVkQVRDTDR1ZWo2ckJya2xsM05RT3pVdWVCM0ZNOFhoOUF5bmtjRGhlQzJQSk1xVUFKV2tGNEthdHh1eHdxOVFVNmxIUllwTTh4Mjc5NHZjVHViZ3hoX2pfdGFQbVZiUWczRHMwNDRyR3NsWV9vcVZvN2k5QjViY0JmN05rZUdn?oc=5</t>
        </is>
      </c>
      <c r="G177" s="23" t="inlineStr">
        <is>
          <t>Neutro</t>
        </is>
      </c>
      <c r="H177" s="23" t="inlineStr">
        <is>
          <t>Médio</t>
        </is>
      </c>
      <c r="I177" s="23" t="inlineStr">
        <is>
          <t>Fonte: prefeitura.poa.br. Descoberta via Google News; URL editorial direta não resolvida automaticamente.</t>
        </is>
      </c>
    </row>
    <row r="178">
      <c r="A178" s="33" t="n">
        <v>46260</v>
      </c>
      <c r="B178" s="23" t="inlineStr">
        <is>
          <t>Copa do Mundo Feminina de 2027 Terá Sorteio no Rio de Janeiro - Terra</t>
        </is>
      </c>
      <c r="C178" s="23" t="inlineStr">
        <is>
          <t>Copa Feminina 2027</t>
        </is>
      </c>
      <c r="D178" s="23" t="inlineStr">
        <is>
          <t>Brasil</t>
        </is>
      </c>
      <c r="E178" s="23" t="inlineStr">
        <is>
          <t>terra.com.br</t>
        </is>
      </c>
      <c r="F178" s="23" t="inlineStr">
        <is>
          <t>https://news.google.com/rss/articles/CBMi6wFBVV95cUxQUllyX1o3SE5wVlZQQ3ZFZDBFNEhGYy11QWJocExRRU80ZnMtSWxCRUNzR1JVOUVyd0Z1MG00b045VlhwZ2NDRFBHcGtha2hoXzVYc2ozc1poelRHZXRBYnhkNlZPbDJqY2VnOVg1WDlUZExqSy1oaTdaUUh1amplVkhGQ3YyMzJvVk44M1JuR01BNXZpY0ZkbWlqRWlxNW43czZFWlpJWjE2WWNieHJCN3RxUFlzb0lidmNmT1prZmwxZElrbThhUXNvX0ctVHVWWlR2bkxIaTg3RlVJVzdzLXY1SEVuNEV5TEIw?oc=5</t>
        </is>
      </c>
      <c r="G178" s="23" t="inlineStr">
        <is>
          <t>Neutro</t>
        </is>
      </c>
      <c r="H178" s="23" t="inlineStr">
        <is>
          <t>Médio</t>
        </is>
      </c>
      <c r="I178" s="23" t="inlineStr">
        <is>
          <t>Fonte: terra.com.br. Descoberta via Google News; URL editorial direta não resolvida automaticamente.</t>
        </is>
      </c>
    </row>
    <row r="179">
      <c r="A179" s="33" t="n">
        <v>46262</v>
      </c>
      <c r="B179" s="23" t="inlineStr">
        <is>
          <t>Prefeitura de Fortaleza participa de workshop preparatório para a Copa do Mundo Feminina da FIFA Brasil 2027™ - Prefeitura de Fortaleza</t>
        </is>
      </c>
      <c r="C179" s="23" t="inlineStr">
        <is>
          <t>Copa Feminina 2027</t>
        </is>
      </c>
      <c r="D179" s="23" t="inlineStr">
        <is>
          <t>Brasil</t>
        </is>
      </c>
      <c r="E179" s="23" t="inlineStr">
        <is>
          <t>fortaleza.ce.gov.br</t>
        </is>
      </c>
      <c r="F179" s="23" t="inlineStr">
        <is>
          <t>https://news.google.com/rss/articles/CBMi4wFBVV95cUxOSGNNeWNNbkJuVFE2WG9xamdjM05wbUlpZDllc0JRMUs2M2JqLTl3ZUtwT2JSUXM2VjkydDBhZm1aTGtrd0JibndHU0JYY2lTZ01KRy1sMkc3Y1BTZEctR2R4UXdob1hDRTA0T3Q2U2xZMDA2MlRiakVZRnlGOGQzX2ZIZVJCYXZ3TWZuclVIazluM09TRGJWOGZ1UlpPX05KNHhTWkdIXzRpU200WDN2c1B6bjMyOWpZS1pRWU4yZHdPeV83aWRNVTcyMU1UMjBZcjUxaWhnSW5RaXliZFA2cllFVQ?oc=5</t>
        </is>
      </c>
      <c r="G179" s="23" t="inlineStr">
        <is>
          <t>Neutro</t>
        </is>
      </c>
      <c r="H179" s="23" t="inlineStr">
        <is>
          <t>Médio</t>
        </is>
      </c>
      <c r="I179" s="23" t="inlineStr">
        <is>
          <t>Fonte: fortaleza.ce.gov.br. Descoberta via Google News; URL editorial direta não resolvida automaticamente.</t>
        </is>
      </c>
    </row>
    <row r="180">
      <c r="A180" s="33" t="n">
        <v>46254</v>
      </c>
      <c r="B180" s="23" t="inlineStr">
        <is>
          <t>Maracanã vai receber a abertura da Copa do Mundo Feminina 2027; veja calendário de jogos - ge</t>
        </is>
      </c>
      <c r="C180" s="23" t="inlineStr">
        <is>
          <t>Copa Feminina 2027</t>
        </is>
      </c>
      <c r="D180" s="23" t="inlineStr">
        <is>
          <t>Brasil</t>
        </is>
      </c>
      <c r="E180" s="23" t="inlineStr">
        <is>
          <t>ge.globo.com</t>
        </is>
      </c>
      <c r="F180" s="23" t="inlineStr">
        <is>
          <t>https://news.google.com/rss/articles/CBMi9wFBVV95cUxPN3duMHJKMkhJQzFoVXZKckJha2JORlh4SG1fZ2lNSFE1QmVuQV9QRU1UY0I1R0pjeVZIek95djQyRjlha0tkejVlVnczU2ZYZU9Ia0p5UnFfaFhseVkyVzlGdGlRV091X05IaVZqc1JlWms3S3d5b1FxUWZiX0NKWGZCNFRuMjZicm4tVGM4ZHF3WEN4MTBHVk9qbUZzZi1CbHBkbV9zSVYtZ2dTVGU3cWNfWHZ2SWZWRjNJMmoxVGNhZGVfc0dKTXRteTdzdEdJQzIxcGlEa0MtZ0JBNUhVRjVoWVRmRl9HcEx5UlJKWmRDaS1kNVRJ0gGGAkFVX3lxTE9lcG9KZXJGQUJYRGh5YUtfWGQwY1BHeFVic2xkNXBtYnlxVWFYWnRROTFpWXVHZlJ5b2ItbXRWX0ZaOW81VUszNld2cHlOUS1TMUE1d29wYjdUeWFQd1pEdHFwSmhsbHpoci0zT0FEZU15bGhIWXp4TkxkcEdTS0toZkpHZmIxMVJhanNhWFN0a2tmT1gyM0I3Y1BRU04tNFAwaGFqcHNjcnB3ZVUwSWRwTXJ4VE5kVVpVWXc3b3Q0dWNWblNtYThLVnVFTzAzMmNGM0RqNi1zMTNjTTE3RjZ4YmpEdlF1Sng0ZURMbEJQYVZ6M0tWdE1WQThQVUJiOHNmd19SaGc?oc=5</t>
        </is>
      </c>
      <c r="G180" s="23" t="inlineStr">
        <is>
          <t>Neutro</t>
        </is>
      </c>
      <c r="H180" s="23" t="inlineStr">
        <is>
          <t>Médio</t>
        </is>
      </c>
      <c r="I180" s="23" t="inlineStr">
        <is>
          <t>Fonte: ge.globo.com. Descoberta via Google News; URL editorial direta não resolvida automaticamente.</t>
        </is>
      </c>
    </row>
    <row r="181">
      <c r="A181" s="33" t="n">
        <v>46259</v>
      </c>
      <c r="B181" s="23" t="inlineStr">
        <is>
          <t>Copa do Mundo Feminina 2027: sorteio dos grupos tem data definida - CNN Brasil</t>
        </is>
      </c>
      <c r="C181" s="23" t="inlineStr">
        <is>
          <t>Copa Feminina 2027</t>
        </is>
      </c>
      <c r="D181" s="23" t="inlineStr">
        <is>
          <t>Brasil</t>
        </is>
      </c>
      <c r="E181" s="23" t="inlineStr">
        <is>
          <t>cnnbrasil.com.br</t>
        </is>
      </c>
      <c r="F181" s="23" t="inlineStr">
        <is>
          <t>https://news.google.com/rss/articles/CBMiwwFBVV95cUxPWWZ1ajNpM1RPVzBadzJ2ZVJqTHZPNEVKYXRNWkhCNjQwbnFwZ0xmN0xEZmRLY2hMaG0zVGp3YUF5M1V6dktBalo5S1N3dWs1VWM0RTJraENSaTVZNE1pNHVnZ3ZvOGJfbkcyYnlWOV83M2gwRFFWMEdSYTdvNzdrQUpHTUxWbHRrbGVuQ2pjS1Z3Z0FVSlA1c0hvaDhoeldrWU5rRExTcXdYRlZyRkJFaVdJaE1Xejl1WERDRFQycl81N1k?oc=5</t>
        </is>
      </c>
      <c r="G181" s="23" t="inlineStr">
        <is>
          <t>Neutro</t>
        </is>
      </c>
      <c r="H181" s="23" t="inlineStr">
        <is>
          <t>Médio</t>
        </is>
      </c>
      <c r="I181" s="23" t="inlineStr">
        <is>
          <t>Fonte: cnnbrasil.com.br. Descoberta via Google News; URL editorial direta não resolvida automaticamente.</t>
        </is>
      </c>
    </row>
    <row r="182">
      <c r="A182" s="33" t="n">
        <v>46254</v>
      </c>
      <c r="B182" s="23" t="inlineStr">
        <is>
          <t>Arena Castelão receberá nove jogos da Copa do Mundo Feminina da FIFA Brasil 2027™ - Prefeitura de Fortaleza</t>
        </is>
      </c>
      <c r="C182" s="23" t="inlineStr">
        <is>
          <t>Copa Feminina 2027</t>
        </is>
      </c>
      <c r="D182" s="23" t="inlineStr">
        <is>
          <t>Brasil</t>
        </is>
      </c>
      <c r="E182" s="23" t="inlineStr">
        <is>
          <t>fortaleza.ce.gov.br</t>
        </is>
      </c>
      <c r="F182" s="23" t="inlineStr">
        <is>
          <t>https://news.google.com/rss/articles/CBMivgFBVV95cUxQcTdxTDV1cUN4ZmVCTVdSdXhCUGF2dmI4ekZBWmhHRGlTbS1ycGNOZUhSaVllWU1qZWMwZkxTRnloWWowLW1CQUROWklVQXFpb0hWUDhRMWRsZXgxTTdLOWlLRVN6NTVUbzRJZ05ZVzJBOVdoT0UtMHhmOTZ5M3ZYRTQtVjV3MzAyeFRHVDV5MGw1Z3p6WjBpWjVMcmJuQTRCUXZjRTZSOVlRaGc1emY4SjB2YW4zb0Foak1yQ1ZB?oc=5</t>
        </is>
      </c>
      <c r="G182" s="23" t="inlineStr">
        <is>
          <t>Neutro</t>
        </is>
      </c>
      <c r="H182" s="23" t="inlineStr">
        <is>
          <t>Médio</t>
        </is>
      </c>
      <c r="I182" s="23" t="inlineStr">
        <is>
          <t>Fonte: fortaleza.ce.gov.br. Descoberta via Google News; URL editorial direta não resolvida automaticamente.</t>
        </is>
      </c>
    </row>
    <row r="183">
      <c r="A183" s="33" t="n">
        <v>46252</v>
      </c>
      <c r="B183" s="23" t="inlineStr">
        <is>
          <t>Entenda o significado da marca oficial da Copa Feminina 2027 - UOL</t>
        </is>
      </c>
      <c r="C183" s="23" t="inlineStr">
        <is>
          <t>Copa Feminina 2027</t>
        </is>
      </c>
      <c r="D183" s="23" t="inlineStr">
        <is>
          <t>Brasil</t>
        </is>
      </c>
      <c r="E183" s="23" t="inlineStr">
        <is>
          <t>uol.com.br</t>
        </is>
      </c>
      <c r="F183" s="23" t="inlineStr">
        <is>
          <t>https://news.google.com/rss/articles/CBMifEFVX3lxTE5Xa1dBVHJTNHk2SzZOTVpSYlVfRXJ6b3VtS01yejFRV05EdzRucGpITGFERHFvd0IzbjJFcWpxRGFKYzROb1lGN3VGQjZ5b2h4UUhDbFlWTTRiaTFXVHJUQ3NQcFBwVXdiTmZVSnJkVHl1ZjNHZlF3Z2tZTHg?oc=5</t>
        </is>
      </c>
      <c r="G183" s="23" t="inlineStr">
        <is>
          <t>Neutro</t>
        </is>
      </c>
      <c r="H183" s="23" t="inlineStr">
        <is>
          <t>Médio</t>
        </is>
      </c>
      <c r="I183" s="23" t="inlineStr">
        <is>
          <t>Fonte: uol.com.br. Descoberta via Google News; URL editorial direta não resolvida automaticamente.</t>
        </is>
      </c>
    </row>
    <row r="184">
      <c r="A184" s="33" t="n">
        <v>46281</v>
      </c>
      <c r="B184" s="23" t="inlineStr">
        <is>
          <t>Formiga vê Copa no Brasil como impulso para futebol feminino: ‘O momento chegou’ - Estadão</t>
        </is>
      </c>
      <c r="C184" s="23" t="inlineStr">
        <is>
          <t>Copa Feminina 2027</t>
        </is>
      </c>
      <c r="D184" s="23" t="inlineStr">
        <is>
          <t>Brasil</t>
        </is>
      </c>
      <c r="E184" s="23" t="inlineStr">
        <is>
          <t>estadao.com.br</t>
        </is>
      </c>
      <c r="F184" s="23" t="inlineStr">
        <is>
          <t>https://www.estadao.com.br/esportes/futebol/formiga-ve-copa-no-brasil-como-impulso-para-futebol-feminino-o-momento-chegou-npres/</t>
        </is>
      </c>
      <c r="G184" s="23" t="inlineStr">
        <is>
          <t>Neutro</t>
        </is>
      </c>
      <c r="H184" s="23" t="inlineStr">
        <is>
          <t>Médio</t>
        </is>
      </c>
      <c r="I184" s="23" t="inlineStr">
        <is>
          <t>Ex-jogadora destaca potencial do Mundial de 2027 para ampliar projetos e levar a modalidade a outras regiões do País Copa feminina de 2027: quanto devem custar os ingressos Evento terá ingressos bem mais baratos que Copa masculina.</t>
        </is>
      </c>
    </row>
    <row r="185">
      <c r="A185" s="33" t="n">
        <v>46279</v>
      </c>
      <c r="B185" s="23" t="inlineStr">
        <is>
          <t>Quais serão as cidades-sedes e os estádios do Brasil na Copa do Mundo Feminina de 2027? - LANCE!</t>
        </is>
      </c>
      <c r="C185" s="23" t="inlineStr">
        <is>
          <t>Copa Feminina 2027</t>
        </is>
      </c>
      <c r="D185" s="23" t="inlineStr">
        <is>
          <t>Brasil</t>
        </is>
      </c>
      <c r="E185" s="23" t="inlineStr">
        <is>
          <t>lance.com.br</t>
        </is>
      </c>
      <c r="F185" s="23" t="inlineStr">
        <is>
          <t>https://www.lance.com.br/futebol-nacional/quais-serao-as-cidades-sedes-e-os-estadios-do-brasil-na-copa-do-mundo-feminina-de-2027.html</t>
        </is>
      </c>
      <c r="G185" s="23" t="inlineStr">
        <is>
          <t>Neutro</t>
        </is>
      </c>
      <c r="H185" s="23" t="inlineStr">
        <is>
          <t>Médio</t>
        </is>
      </c>
      <c r="I185" s="23" t="inlineStr">
        <is>
          <t>A candidatura do Brasil para sediar a Copa do Mundo Feminina de 2027 definiu 10 estádios para realizar o torneio. Embora a Fifa ainda possa alterar essa programação, o país conta com arenas modernas por conta do Mundial Masculino realizado em 2014. ➡ A boa do Lance! Betting: vamos dobrar seu primeiro depósito, até R$200! Basta abrir sua conta e tá na mão!</t>
        </is>
      </c>
    </row>
    <row r="186">
      <c r="A186" s="33" t="n">
        <v>46279</v>
      </c>
      <c r="B186" s="23" t="inlineStr">
        <is>
          <t>Copa do Mundo Feminina 2027: saiba as datas e locais dos jogos da Seleção Brasileira - Terra</t>
        </is>
      </c>
      <c r="C186" s="23" t="inlineStr">
        <is>
          <t>Copa Feminina 2027</t>
        </is>
      </c>
      <c r="D186" s="23" t="inlineStr">
        <is>
          <t>Brasil</t>
        </is>
      </c>
      <c r="E186" s="23" t="inlineStr">
        <is>
          <t>terra.com.br</t>
        </is>
      </c>
      <c r="F186" s="23" t="inlineStr">
        <is>
          <t>https://www.terra.com.br/esportes/futebol/copa-feminina/copa-do-mundo-feminina-2027-saiba-as-datas-e-locais-dos-jogos-da-selecao-brasileira,ebc8ed8cc608d85c97b8cce34f91611b3t35hsvt.html</t>
        </is>
      </c>
      <c r="G186" s="23" t="inlineStr">
        <is>
          <t>Neutro</t>
        </is>
      </c>
      <c r="H186" s="23" t="inlineStr">
        <is>
          <t>Médio</t>
        </is>
      </c>
      <c r="I186" s="23" t="inlineStr">
        <is>
          <t>A Fifa realizou nesta quinta-feira, 20, a cerimônia oficial para divulgar a tabela da Copa do Mundo Feminina de 2027, que será disputada no Brasil, definindo os locais das partidas da Seleção. A Copa Feminina será realizada entre os dias 24 de junho e 25 de julho de 2027. Receba as principais notícias direto no WhatsApp!</t>
        </is>
      </c>
    </row>
    <row r="187">
      <c r="A187" s="33" t="n">
        <v>46278</v>
      </c>
      <c r="B187" s="23" t="inlineStr">
        <is>
          <t>Brasil recebe Mundial Feminino 2027 e define regras para trabalho de imigrantes - www.gov.br</t>
        </is>
      </c>
      <c r="C187" s="23" t="inlineStr">
        <is>
          <t>Copa Feminina 2027</t>
        </is>
      </c>
      <c r="D187" s="23" t="inlineStr">
        <is>
          <t>Brasil</t>
        </is>
      </c>
      <c r="E187" s="23" t="inlineStr">
        <is>
          <t>gov.br</t>
        </is>
      </c>
      <c r="F187" s="23" t="inlineStr">
        <is>
          <t>https://www.gov.br/mj/pt-br/assuntos/noticias-1/brasil-recebe-mundial-feminino-2027-e-define-regras-para-trabalho-de-estrangeiros</t>
        </is>
      </c>
      <c r="G187" s="23" t="inlineStr">
        <is>
          <t>Neutro</t>
        </is>
      </c>
      <c r="H187" s="23" t="inlineStr">
        <is>
          <t>Médio</t>
        </is>
      </c>
      <c r="I187" s="23" t="inlineStr">
        <is>
          <t>Para o Mundial de 2027, foi estabelecido procedimento específico de visto temporário para pessoas credenciadas ou convidadas pela Federação Internacional de Futebol (Fifa). Para os demais migrantes contratados por pessoa jurídica constituída no Brasil para exercer atividades necessárias aos eventos oficiais, poderão ser concedidos vistos temporários ou autorizações de residência para fins laborais.</t>
        </is>
      </c>
    </row>
    <row r="188">
      <c r="A188" s="33" t="n">
        <v>46278</v>
      </c>
      <c r="B188" s="23" t="inlineStr">
        <is>
          <t>Câmara aprova férias escolares facultativas durante Copa do Mundo Feminina de 2027 - O GLOBO</t>
        </is>
      </c>
      <c r="C188" s="23" t="inlineStr">
        <is>
          <t>Copa Feminina 2027</t>
        </is>
      </c>
      <c r="D188" s="23" t="inlineStr">
        <is>
          <t>Brasil</t>
        </is>
      </c>
      <c r="E188" s="23" t="inlineStr">
        <is>
          <t>oglobo.globo.com</t>
        </is>
      </c>
      <c r="F188" s="23" t="inlineStr">
        <is>
          <t>https://oglobo.globo.com/brasil/noticia/2026/09/01/camara-aprova-ferias-escolares-facultativas-durante-copa-do-mundo-feminina-de-2027.ghtml</t>
        </is>
      </c>
      <c r="G188" s="23" t="inlineStr">
        <is>
          <t>Neutro</t>
        </is>
      </c>
      <c r="H188" s="23" t="inlineStr">
        <is>
          <t>Médio</t>
        </is>
      </c>
      <c r="I188" s="23" t="inlineStr">
        <is>
          <t>A Câmara dos Deputados aprovou, nesta segunda-feira (31), regras que permitem às escolas decidir se querem ajustar o calendário de férias durante a Copa do Mundo Feminina de 2027. A proposta, que busca preservar a autonomia dos sistemas de ensino, segue agora para análise do Senado. O texto é um substitutivo do deputado Alex Manente (Cidadania-SP) ao Projeto de Lei 3.481/26, da deputada Any Ortiz (PP-RS).</t>
        </is>
      </c>
    </row>
    <row r="189">
      <c r="A189" s="33" t="n">
        <v>46277</v>
      </c>
      <c r="B189" s="23" t="inlineStr">
        <is>
          <t>A 9 meses da Copa do Mundo, TVs já apostam em programas de futebol feminino</t>
        </is>
      </c>
      <c r="C189" s="23" t="inlineStr">
        <is>
          <t>Copa Feminina 2027</t>
        </is>
      </c>
      <c r="D189" s="23" t="inlineStr">
        <is>
          <t>Brasil</t>
        </is>
      </c>
      <c r="E189" s="23" t="inlineStr">
        <is>
          <t>noticiasdatv.uol.com.br</t>
        </is>
      </c>
      <c r="F189" s="23" t="inlineStr">
        <is>
          <t>https://noticiasdatv.uol.com.br/noticia/televisao/a-9-meses-da-copa-do-mundo-tvs-ja-apostam-em-programas-de-futebol-feminino-156477</t>
        </is>
      </c>
      <c r="G189" s="23" t="inlineStr">
        <is>
          <t>Neutro</t>
        </is>
      </c>
      <c r="H189" s="23" t="inlineStr">
        <is>
          <t>Médio</t>
        </is>
      </c>
      <c r="I189" s="23" t="inlineStr"/>
    </row>
    <row r="190">
      <c r="A190" s="33" t="n">
        <v>46252</v>
      </c>
      <c r="B190" s="23" t="inlineStr">
        <is>
          <t>CNE orienta ajustes no calendário escolar durante a Copa Feminina 2027</t>
        </is>
      </c>
      <c r="C190" s="23" t="inlineStr">
        <is>
          <t>Educação / calendário escolar / cidades-sede / operação da Copa 2027</t>
        </is>
      </c>
      <c r="D190" s="23" t="inlineStr">
        <is>
          <t>Brasil</t>
        </is>
      </c>
      <c r="E190" s="23" t="inlineStr">
        <is>
          <t>MEC / CNE</t>
        </is>
      </c>
      <c r="F190" s="23" t="inlineStr">
        <is>
          <t>https://www.gov.br/mec/pt-br/assuntos/noticias/2026/agosto/cne-orienta-redes-de-ensino-sobre-organizacao-do-calendario-escolar-durante-a-copa-do-mundo-feminina-de-2027</t>
        </is>
      </c>
      <c r="G190" s="23" t="inlineStr">
        <is>
          <t>Neutro</t>
        </is>
      </c>
      <c r="H190" s="23" t="inlineStr">
        <is>
          <t>Alto</t>
        </is>
      </c>
      <c r="I190" s="23" t="inlineStr">
        <is>
          <t>O Conselho Nacional de Educação aprovou o Parecer CNE/CEB nº 7/2026 orientando os sistemas de ensino sobre a organização dos calendários escolares de 2027 em razão da Copa do Mundo Feminina. Cidades-sede, regiões metropolitanas e áreas diretamente impactadas deverão promover os ajustes necessários conforme a realidade local e o calendário oficial da competição.</t>
        </is>
      </c>
    </row>
    <row r="191">
      <c r="A191" s="33" t="n">
        <v>46276</v>
      </c>
      <c r="B191" s="23" t="inlineStr">
        <is>
          <t>Maracanã trocará gramado em 2027 antes da Copa do Mundo Feminina</t>
        </is>
      </c>
      <c r="C191" s="23" t="inlineStr">
        <is>
          <t>Rio de Janeiro / Maracanã / gramado / infraestrutura / Copa Feminina 2027</t>
        </is>
      </c>
      <c r="D191" s="23" t="inlineStr">
        <is>
          <t>Rio de Janeiro/RJ</t>
        </is>
      </c>
      <c r="E191" s="23" t="inlineStr">
        <is>
          <t>UOL</t>
        </is>
      </c>
      <c r="F191" s="23" t="inlineStr">
        <is>
          <t>https://www.uol.com.br/esporte/futebol/ultimas-noticias/2026/09/11/maracana-aponta-fatores-para-campo-ruim-e-informa-que-trocara-tipo-de-grama.ghtm</t>
        </is>
      </c>
      <c r="G191" s="23" t="inlineStr">
        <is>
          <t>Neutro</t>
        </is>
      </c>
      <c r="H191" s="23" t="inlineStr">
        <is>
          <t>Alto</t>
        </is>
      </c>
      <c r="I191" s="23" t="inlineStr">
        <is>
          <t>A administração do Maracanã informou que substituirá o gramado atual por Celebration Hybrid em 2027. A mudança ocorre em um ano de calendário intenso no estádio, que receberá partidas da Copa do Mundo Feminina, incluindo a abertura e a final do torneio, e busca melhorar a qualidade do campo após críticas recorrentes.</t>
        </is>
      </c>
    </row>
    <row r="192">
      <c r="A192" s="33" t="n">
        <v>46275</v>
      </c>
      <c r="B192" s="23" t="inlineStr">
        <is>
          <t>Debate cobra legado duradouro da Copa Feminina 2027 para mulheres no esporte</t>
        </is>
      </c>
      <c r="C192" s="23" t="inlineStr">
        <is>
          <t>Legado social / futebol feminino / políticas públicas / Copa Feminina 2027</t>
        </is>
      </c>
      <c r="D192" s="23" t="inlineStr">
        <is>
          <t>Brasil</t>
        </is>
      </c>
      <c r="E192" s="23" t="inlineStr">
        <is>
          <t>UOL</t>
        </is>
      </c>
      <c r="F192" s="23" t="inlineStr">
        <is>
          <t>https://noticias.uol.com.br/colunas/joildo-santos/2026/09/10/a-copa-das-mulheres-vai-deixar-um-legado-ou-apenas-uma-fotografia.ghtm</t>
        </is>
      </c>
      <c r="G192" s="23" t="inlineStr">
        <is>
          <t>Neutro</t>
        </is>
      </c>
      <c r="H192" s="23" t="inlineStr">
        <is>
          <t>Médio</t>
        </is>
      </c>
      <c r="I192" s="23" t="inlineStr">
        <is>
          <t>Artigo publicado em 10/09/2026 discute se a Copa do Mundo Feminina de 2027 deixará legado estrutural para mulheres no esporte, defendendo investimentos permanentes em infraestrutura, formação, acesso à modalidade e políticas de proteção e equidade, para que o impacto do torneio ultrapasse a realização dos jogos.</t>
        </is>
      </c>
    </row>
    <row r="193">
      <c r="A193" s="33" t="n">
        <v>46275</v>
      </c>
      <c r="B193" s="23" t="inlineStr">
        <is>
          <t>CBF prevê pausa no futebol masculino durante a Copa Feminina 2027</t>
        </is>
      </c>
      <c r="C193" s="23" t="inlineStr">
        <is>
          <t>Calendário CBF / operação dos estádios / Copa Feminina 2027</t>
        </is>
      </c>
      <c r="D193" s="23" t="inlineStr">
        <is>
          <t>Brasil</t>
        </is>
      </c>
      <c r="E193" s="23" t="inlineStr">
        <is>
          <t>UOL</t>
        </is>
      </c>
      <c r="F193" s="23" t="inlineStr">
        <is>
          <t>https://www.uol.com.br/esporte/futebol/colunas/rodrigo-mattos/2026/09/10/o-que-se-sabe-sobre-o-calendario-do-futebol-para-2027.ghtm</t>
        </is>
      </c>
      <c r="G193" s="23" t="inlineStr">
        <is>
          <t>Neutro</t>
        </is>
      </c>
      <c r="H193" s="23" t="inlineStr">
        <is>
          <t>Alto</t>
        </is>
      </c>
      <c r="I193" s="23" t="inlineStr">
        <is>
          <t>A CBF prepara o calendário de 2027 prevendo paralisação do futebol masculino durante a Copa do Mundo Feminina e ajustes cerca de 15 dias antes do início do torneio para liberar os estádios cedidos à FIFA. A medida afeta diretamente a operação de arenas como Maracanã, Arena Itaquera, Beira-Rio, Mineirão e Arena Salvador durante o Mundial.</t>
        </is>
      </c>
    </row>
    <row r="194">
      <c r="A194" s="33" t="n">
        <v>46274</v>
      </c>
      <c r="B194" s="23" t="inlineStr">
        <is>
          <t>Estádio Presidente Vargas recebe visita técnica da FIFA e avança nos preparativos para 2027</t>
        </is>
      </c>
      <c r="C194" s="23" t="inlineStr">
        <is>
          <t>Fortaleza / estádio de apoio / inspeção FIFA / operação da Copa 2027</t>
        </is>
      </c>
      <c r="D194" s="23" t="inlineStr">
        <is>
          <t>Fortaleza/CE</t>
        </is>
      </c>
      <c r="E194" s="23" t="inlineStr">
        <is>
          <t>Portal IN</t>
        </is>
      </c>
      <c r="F194" s="23" t="inlineStr">
        <is>
          <t>https://www.portalin.com.br/in-loco/estadio-presidente-vargas-recebe-visita-tecnica-da-fifa-e-avanca-os-preparativos/</t>
        </is>
      </c>
      <c r="G194" s="23" t="inlineStr">
        <is>
          <t>Positivo</t>
        </is>
      </c>
      <c r="H194" s="23" t="inlineStr">
        <is>
          <t>Médio</t>
        </is>
      </c>
      <c r="I194" s="23" t="inlineStr">
        <is>
          <t>O Estádio Presidente Vargas, em Fortaleza, recebeu visita técnica da FIFA para avaliação de estrutura, logística e operação ligadas à Copa do Mundo Feminina 2027. O equipamento deve integrar a estrutura de apoio da cidade-sede, ao lado da Arena Castelão, atendendo delegações e operações do torneio.</t>
        </is>
      </c>
    </row>
    <row r="195">
      <c r="A195" s="33" t="n">
        <v>46275</v>
      </c>
      <c r="B195" s="23" t="inlineStr">
        <is>
          <t>CBF vê Copa Feminina 2027 como teste para Mundial de Clubes de 2029 no Brasil</t>
        </is>
      </c>
      <c r="C195" s="23" t="inlineStr">
        <is>
          <t>CBF / estratégia internacional / Copa Feminina 2027 / Mundial de Clubes 2029</t>
        </is>
      </c>
      <c r="D195" s="23" t="inlineStr">
        <is>
          <t>Brasil</t>
        </is>
      </c>
      <c r="E195" s="23" t="inlineStr">
        <is>
          <t>Lance!</t>
        </is>
      </c>
      <c r="F195" s="23" t="inlineStr">
        <is>
          <t>https://www.lance.com.br/futebol-feminino/cbf-ve-copa-do-mundo-feminina-como-teste-para-mundial-de-clubes-de-2029-no-brasil.html</t>
        </is>
      </c>
      <c r="G195" s="23" t="inlineStr">
        <is>
          <t>Positivo</t>
        </is>
      </c>
      <c r="H195" s="23" t="inlineStr">
        <is>
          <t>Médio</t>
        </is>
      </c>
      <c r="I195" s="23" t="inlineStr">
        <is>
          <t>A CBF trata a organização da Copa do Mundo Feminina de 2027 no Brasil como referência e teste para projetos internacionais futuros, incluindo a possibilidade de receber um Mundial de Clubes em 2029. A pauta destaca iniciativas em discussão e a construção de uma estratégia de longo prazo ligada à realização do torneio feminino no país.</t>
        </is>
      </c>
    </row>
    <row r="196">
      <c r="A196" s="33" t="n">
        <v>46274</v>
      </c>
      <c r="B196" s="23" t="inlineStr">
        <is>
          <t>FIFA faz visita técnica ao Estádio Presidente Vargas nos preparativos para a Copa Feminina 2027</t>
        </is>
      </c>
      <c r="C196" s="23" t="inlineStr">
        <is>
          <t>Fortaleza / centro de treinamento / infraestrutura / preparação da Copa 2027</t>
        </is>
      </c>
      <c r="D196" s="23" t="inlineStr">
        <is>
          <t>Fortaleza/CE</t>
        </is>
      </c>
      <c r="E196" s="23" t="inlineStr">
        <is>
          <t>Prefeitura de Fortaleza</t>
        </is>
      </c>
      <c r="F196" s="23" t="inlineStr">
        <is>
          <t>https://fortaleza.ce.gov.br/noticias/nos-preparativos-para-a-copa-do-mundo-feminina-da-fifa-brasil-2027-estadio-presidente-vargas-recebe-visita-tecnica-da-entidade</t>
        </is>
      </c>
      <c r="G196" s="23" t="inlineStr">
        <is>
          <t>Positivo</t>
        </is>
      </c>
      <c r="H196" s="23" t="inlineStr">
        <is>
          <t>Médio</t>
        </is>
      </c>
      <c r="I196" s="23" t="inlineStr">
        <is>
          <t>O Estádio Presidente Vargas, em Fortaleza, recebeu em 04/09/2026 uma visita técnica da FIFA. A equipe avaliou instalações e a organização de espaços que poderão atender delegações e imprensa durante a Copa do Mundo Feminina FIFA 2027, reforçando a preparação da cidade-sede.</t>
        </is>
      </c>
    </row>
    <row r="197">
      <c r="A197" s="33" t="n">
        <v>46275</v>
      </c>
      <c r="B197" s="23" t="inlineStr">
        <is>
          <t>CBF prepara calendário de 2027 com pausa e adaptação de estádios para a Copa Feminina</t>
        </is>
      </c>
      <c r="C197" s="23" t="inlineStr">
        <is>
          <t>Calendário CBF / clubes / estádios / operação da Copa 2027</t>
        </is>
      </c>
      <c r="D197" s="23" t="inlineStr">
        <is>
          <t>Brasil</t>
        </is>
      </c>
      <c r="E197" s="23" t="inlineStr">
        <is>
          <t>UOL</t>
        </is>
      </c>
      <c r="F197" s="23" t="inlineStr">
        <is>
          <t>https://www.uol.com.br/esporte/futebol/colunas/rodrigo-mattos/2026/09/10/o-que-se-sabe-sobre-o-calendario-do-futebol-para-2027.htm</t>
        </is>
      </c>
      <c r="G197" s="23" t="inlineStr">
        <is>
          <t>Neutro</t>
        </is>
      </c>
      <c r="H197" s="23" t="inlineStr">
        <is>
          <t>Alto</t>
        </is>
      </c>
      <c r="I197" s="23" t="inlineStr">
        <is>
          <t>A CBF prepara o calendário do futebol brasileiro de 2027 considerando a paralisação do futebol masculino durante a Copa do Mundo Feminina e ajustes cerca de 15 dias antes do torneio para evitar jogos nos estádios cedidos à FIFA. A medida afeta arenas como Maracanã, Neo Química Arena, Beira-Rio e Mineirão.</t>
        </is>
      </c>
    </row>
    <row r="198">
      <c r="A198" s="33" t="n">
        <v>46274</v>
      </c>
      <c r="B198" s="23" t="inlineStr">
        <is>
          <t>Governo negocia ingressos populares para a Copa do Mundo Feminina 2027</t>
        </is>
      </c>
      <c r="C198" s="23" t="inlineStr">
        <is>
          <t>Ingressos / acesso / organização da Copa 2027</t>
        </is>
      </c>
      <c r="D198" s="23" t="inlineStr">
        <is>
          <t>Brasil</t>
        </is>
      </c>
      <c r="E198" s="23" t="inlineStr">
        <is>
          <t>ge</t>
        </is>
      </c>
      <c r="F198" s="23" t="inlineStr">
        <is>
          <t>https://ge.globo.com/futebol/copa-do-mundo/noticia/2026/09/09/copa-feminina-governo-negocia-ingressos-populares-e-cre-em-torneio-blindado-da-crise-na-fifa.ghtml</t>
        </is>
      </c>
      <c r="G198" s="23" t="inlineStr">
        <is>
          <t>Positivo</t>
        </is>
      </c>
      <c r="H198" s="23" t="inlineStr">
        <is>
          <t>Alto</t>
        </is>
      </c>
      <c r="I198" s="23" t="inlineStr">
        <is>
          <t>O Governo Federal negocia com a FIFA uma cota de ingressos a preços populares para a Copa do Mundo Feminina de 2027 no Brasil. A pauta também envolve transporte, segurança, legado, calendário e medidas para ampliar o acesso do público aos estádios durante o torneio.</t>
        </is>
      </c>
    </row>
    <row r="199">
      <c r="A199" s="33" t="n">
        <v>46267</v>
      </c>
      <c r="B199" s="23" t="inlineStr">
        <is>
          <t>Pernambuco sanciona lei estadual para operação da Copa Feminina 2027</t>
        </is>
      </c>
      <c r="C199" s="23" t="inlineStr">
        <is>
          <t>Recife / legislação estadual / mobilidade / segurança / operação da Copa 2027</t>
        </is>
      </c>
      <c r="D199" s="23" t="inlineStr">
        <is>
          <t>Recife/PE</t>
        </is>
      </c>
      <c r="E199" s="23" t="inlineStr">
        <is>
          <t>Alepe Legis</t>
        </is>
      </c>
      <c r="F199" s="23" t="inlineStr">
        <is>
          <t>https://legis.alepe.pe.gov.br/texto.aspx?id=89825&amp;tipo=</t>
        </is>
      </c>
      <c r="G199" s="23" t="inlineStr">
        <is>
          <t>Positivo</t>
        </is>
      </c>
      <c r="H199" s="23" t="inlineStr">
        <is>
          <t>Alto</t>
        </is>
      </c>
      <c r="I199" s="23" t="inlineStr">
        <is>
          <t>Sancionada em 1º/09 e publicada no Diário Oficial em 2/09, a Lei nº 19.341/2026 estabelece as medidas estaduais para viabilizar a Copa Feminina 2027 em Pernambuco. A norma disciplina cooperação institucional, proteção comercial, controle de acesso, segurança, mobilidade, tramitação prioritária de licenças, hidratação do público e ações de turismo, futebol feminino e legado social.</t>
        </is>
      </c>
    </row>
    <row r="200">
      <c r="A200" s="33" t="n">
        <v>46273</v>
      </c>
      <c r="B200" s="23" t="inlineStr">
        <is>
          <t>Lorena é indicada ao prêmio de melhor goleira da Bola de Ouro 2026</t>
        </is>
      </c>
      <c r="C200" s="23" t="inlineStr">
        <is>
          <t>Seleção Brasileira / Lorena / Bola de Ouro 2026 / ciclo da Copa Feminina 2027</t>
        </is>
      </c>
      <c r="D200" s="23" t="inlineStr">
        <is>
          <t>Internacional</t>
        </is>
      </c>
      <c r="E200" s="23" t="inlineStr">
        <is>
          <t>CNN Brasil</t>
        </is>
      </c>
      <c r="F200" s="23" t="inlineStr">
        <is>
          <t>https://www.cnnbrasil.com.br/esportes/futebol/futebol-internacional/bola-de-ouro-lorena-e-indicada-a-melhor-goleira-do-futebol-feminino/</t>
        </is>
      </c>
      <c r="G200" s="23" t="inlineStr">
        <is>
          <t>Positivo</t>
        </is>
      </c>
      <c r="H200" s="23" t="inlineStr">
        <is>
          <t>Médio</t>
        </is>
      </c>
      <c r="I200" s="23" t="inlineStr">
        <is>
          <t>Lorena, goleira titular da Seleção Brasileira principal e atleta do Kansas City, foi indicada em 08/09/2026 ao prêmio de melhor goleira do futebol feminino da Bola de Ouro 2026. O reconhecimento internacional integra o acompanhamento das principais atletas brasileiras no ciclo de preparação para a Copa do Mundo Feminina FIFA 2027 no Brasil.</t>
        </is>
      </c>
    </row>
    <row r="201">
      <c r="A201" s="33" t="n">
        <v>46254</v>
      </c>
      <c r="B201" s="23" t="inlineStr">
        <is>
          <t>São Paulo terá 10 jogos da Copa Feminina 2027 e prepara mobilidade, turismo e legado</t>
        </is>
      </c>
      <c r="C201" s="23" t="inlineStr">
        <is>
          <t>São Paulo / calendário / Arena Itaquera / mobilidade / turismo / legado / Copa 2027</t>
        </is>
      </c>
      <c r="D201" s="23" t="inlineStr">
        <is>
          <t>São Paulo/SP</t>
        </is>
      </c>
      <c r="E201" s="23" t="inlineStr">
        <is>
          <t>Prefeitura de São Paulo</t>
        </is>
      </c>
      <c r="F201" s="23" t="inlineStr">
        <is>
          <t>https://www2.prefeitura.sp.gov.br/web/prefeitura-de-sao-paulo/w/cidade-com-mais-jogos-s%C3%A3o-paulo-receber%C3%A1-10-partidas-da-copa-do-mundo-feminina-2027</t>
        </is>
      </c>
      <c r="G201" s="23" t="inlineStr">
        <is>
          <t>Positivo</t>
        </is>
      </c>
      <c r="H201" s="23" t="inlineStr">
        <is>
          <t>Alto</t>
        </is>
      </c>
      <c r="I201" s="23" t="inlineStr">
        <is>
          <t>A Prefeitura de São Paulo detalhou em 20/08/2026 o calendário da cidade para a Copa do Mundo Feminina 2027. A capital receberá 10 das 64 partidas, o maior número entre as oito sedes, incluindo seis jogos de fase de grupos, a partida da Seleção Brasileira em 29/06/2027, uma oitava de final, uma quarta de final, uma semifinal e a disputa do terceiro lugar na Arena Itaquera.</t>
        </is>
      </c>
    </row>
    <row r="202">
      <c r="A202" s="33" t="n">
        <v>46268</v>
      </c>
      <c r="B202" s="23" t="inlineStr">
        <is>
          <t>Porto Alegre articula participação de pioneiras do Gre-Nal na programação da Copa Feminina 2027</t>
        </is>
      </c>
      <c r="C202" s="23" t="inlineStr">
        <is>
          <t>Porto Alegre / legado / memória do futebol feminino / programação paralela / Copa 2027</t>
        </is>
      </c>
      <c r="D202" s="23" t="inlineStr">
        <is>
          <t>Porto Alegre/RS</t>
        </is>
      </c>
      <c r="E202" s="23" t="inlineStr">
        <is>
          <t>Prefeitura de Porto Alegre / Secopa 2027</t>
        </is>
      </c>
      <c r="F202" s="23" t="inlineStr">
        <is>
          <t>https://prefeitura.poa.br/secopa2027/noticias/pioneiras-da-dupla-gre-nal-se-reunem-com-secopa-para-alinhar-acoes-para-copa-do</t>
        </is>
      </c>
      <c r="G202" s="23" t="inlineStr">
        <is>
          <t>Positivo</t>
        </is>
      </c>
      <c r="H202" s="23" t="inlineStr">
        <is>
          <t>Médio</t>
        </is>
      </c>
      <c r="I202" s="23" t="inlineStr">
        <is>
          <t>A Secretaria Extraordinária da Copa do Mundo Feminina 2027 de Porto Alegre recebeu, em 03/09/2026, cinco pioneiras do futebol feminino de Grêmio e Internacional para discutir sua integração à programação do Mundial na cidade. Entre as propostas apresentadas estão reconhecimento oficial às atletas, homenagem no Beira-Rio, participação em seminários e eventos paralelos e acesso a partidas.</t>
        </is>
      </c>
    </row>
    <row r="203">
      <c r="A203" s="33" t="n">
        <v>46267</v>
      </c>
      <c r="B203" s="23" t="inlineStr">
        <is>
          <t>Fortaleza avança em miniterminais no entorno do Castelão para mobilidade da Copa 2027</t>
        </is>
      </c>
      <c r="C203" s="23" t="inlineStr">
        <is>
          <t>Fortaleza / mobilidade / infraestrutura / Arena Castelão / Copa 2027</t>
        </is>
      </c>
      <c r="D203" s="23" t="inlineStr">
        <is>
          <t>Fortaleza/CE</t>
        </is>
      </c>
      <c r="E203" s="23" t="inlineStr">
        <is>
          <t>Prefeitura de Fortaleza</t>
        </is>
      </c>
      <c r="F203" s="23" t="inlineStr">
        <is>
          <t>https://fortaleza.ce.gov.br/noticias/prefeito-evandro-leitao-visita-obras-dos-miniterminais-da-arena-castelao</t>
        </is>
      </c>
      <c r="G203" s="23" t="inlineStr">
        <is>
          <t>Positivo</t>
        </is>
      </c>
      <c r="H203" s="23" t="inlineStr">
        <is>
          <t>Alto</t>
        </is>
      </c>
      <c r="I203" s="23" t="inlineStr">
        <is>
          <t>A Prefeitura de Fortaleza informou em 02/09/2026 que dois miniterminais de transporte coletivo estão em construção no entorno da Arena Castelão, com investimento aproximado de R$ 2,5 milhões, 30% de execução e conclusão prevista para dezembro de 2026.</t>
        </is>
      </c>
    </row>
    <row r="204">
      <c r="A204" s="33" t="n">
        <v>46268</v>
      </c>
      <c r="B204" s="23" t="inlineStr">
        <is>
          <t>Turn On The Light inicia agenda de conexões sociais rumo à Copa Feminina 2027</t>
        </is>
      </c>
      <c r="C204" s="23" t="inlineStr">
        <is>
          <t>Ativação / futebol feminino / maternidade / impacto social / Copa 2027</t>
        </is>
      </c>
      <c r="D204" s="23" t="inlineStr">
        <is>
          <t>São Paulo/SP</t>
        </is>
      </c>
      <c r="E204" s="23" t="inlineStr">
        <is>
          <t>BRA1 / Agência VIVA</t>
        </is>
      </c>
      <c r="F204" s="23" t="inlineStr">
        <is>
          <t>https://www.bra1.com.br/geral/id-688491/turn_on_the_light_inaugura_agenda_de_conexoes_entre_futebol_feminino__maternidade_e_causas_sociais_rumo_a_copa_do_mundo_de_2027</t>
        </is>
      </c>
      <c r="G204" s="23" t="inlineStr">
        <is>
          <t>Positivo</t>
        </is>
      </c>
      <c r="H204" s="23" t="inlineStr">
        <is>
          <t>Médio</t>
        </is>
      </c>
      <c r="I204" s="23" t="inlineStr">
        <is>
          <t>A agência Turn On The Light iniciou uma agenda de encontros e narrativas que conectará futebol feminino, maternidade, carreira e causas sociais até a Copa do Mundo Feminina de 2027. A primeira ação ocorreu na Casa Mãe Paulistana, em São Paulo, com participação da jogadora Tamires, da ex-jogadora Milene Domingues, do comunicador Marco Aurélio e da cantora Gabi Fernandes.</t>
        </is>
      </c>
    </row>
    <row r="205">
      <c r="A205" s="33" t="n">
        <v>46266</v>
      </c>
      <c r="B205" s="23" t="inlineStr">
        <is>
          <t>Bahia prepara Sala Lilás e ações de proteção e legado feminino para a Copa 2027</t>
        </is>
      </c>
      <c r="C205" s="23" t="inlineStr">
        <is>
          <t>Salvador / segurança das mulheres / turismo / legado / futebol feminino / Copa 2027</t>
        </is>
      </c>
      <c r="D205" s="23" t="inlineStr">
        <is>
          <t>Salvador/BA</t>
        </is>
      </c>
      <c r="E205" s="23" t="inlineStr">
        <is>
          <t>Bahia Notícias</t>
        </is>
      </c>
      <c r="F205" s="23" t="inlineStr">
        <is>
          <t>https://www.bahianoticias.com.br/amp/esportes/noticia/80073-bahia-prepara-sala-lilas-acoes-de-seguranca-e-rdollar-2-mi-para-o-futebol-feminino-na-copa-de-2027-confira-novidades</t>
        </is>
      </c>
      <c r="G205" s="23" t="inlineStr">
        <is>
          <t>Positivo</t>
        </is>
      </c>
      <c r="H205" s="23" t="inlineStr">
        <is>
          <t>Alto</t>
        </is>
      </c>
      <c r="I205" s="23" t="inlineStr">
        <is>
          <t>A Secretaria de Políticas para as Mulheres da Bahia detalhou medidas de preparação para a Copa do Mundo Feminina 2027 em Salvador, incluindo a implantação de uma Sala Lilás na Arena Fonte Nova para acolhimento de mulheres, certificação da rede turística pelo selo Mulheres Seguras, capacitações e ações de autonomia econômica.</t>
        </is>
      </c>
    </row>
    <row r="206">
      <c r="A206" s="33" t="n">
        <v>46269</v>
      </c>
      <c r="B206" s="23" t="inlineStr">
        <is>
          <t>Piracicaba reconstrói futebol feminino com foco em ampliar estrutura antes da Copa 2027</t>
        </is>
      </c>
      <c r="C206" s="23" t="inlineStr">
        <is>
          <t>Legado / desenvolvimento local / futebol feminino / formação / Copa 2027</t>
        </is>
      </c>
      <c r="D206" s="23" t="inlineStr">
        <is>
          <t>Piracicaba/SP</t>
        </is>
      </c>
      <c r="E206" s="23" t="inlineStr">
        <is>
          <t>Jornal de Piracicaba / Sampi</t>
        </is>
      </c>
      <c r="F206" s="23" t="inlineStr">
        <is>
          <t>https://sampi.net.br/campinas/noticias/3002816/cidade/2026/09/piracicaba-busca-reconstruir-futebol-feminino-as-vesperas-da-copa</t>
        </is>
      </c>
      <c r="G206" s="23" t="inlineStr">
        <is>
          <t>Positivo</t>
        </is>
      </c>
      <c r="H206" s="23" t="inlineStr">
        <is>
          <t>Médio</t>
        </is>
      </c>
      <c r="I206" s="23" t="inlineStr">
        <is>
          <t>Piracicaba mantém em 2026 um projeto municipal de reconstrução do futebol feminino em parceria com o Caldeirão Futebol Clube, com cerca de 50 atletas a partir de 15 anos, treinamentos gratuitos e investimento de R$ 108 mil.</t>
        </is>
      </c>
    </row>
    <row r="207">
      <c r="A207" s="33" t="n">
        <v>46251</v>
      </c>
      <c r="B207" s="23" t="inlineStr">
        <is>
          <t>Distrito Federal cria grupo de trabalho da Justiça e Cidadania para ações da Copa Feminina 2027</t>
        </is>
      </c>
      <c r="C207" s="23" t="inlineStr">
        <is>
          <t>Brasília / governança / direitos / operação da cidade-sede / Copa 2027</t>
        </is>
      </c>
      <c r="D207" s="23" t="inlineStr">
        <is>
          <t>Brasília/DF</t>
        </is>
      </c>
      <c r="E207" s="23" t="inlineStr">
        <is>
          <t>Diário Oficial do Distrito Federal</t>
        </is>
      </c>
      <c r="F207" s="23" t="inlineStr">
        <is>
          <t>https://www.sinj.df.gov.br/sinj/TextoArquivoDiario.aspx?id_file=afb86271-9977-31e0-ae59-86b99234ddbb</t>
        </is>
      </c>
      <c r="G207" s="23" t="inlineStr">
        <is>
          <t>Positivo</t>
        </is>
      </c>
      <c r="H207" s="23" t="inlineStr">
        <is>
          <t>Médio</t>
        </is>
      </c>
      <c r="I207" s="23" t="inlineStr">
        <is>
          <t>A Secretaria de Estado de Justiça e Cidadania do Distrito Federal instituiu grupo de trabalho para planejar, coordenar, articular, executar, acompanhar e avaliar ações relacionadas à Copa do Mundo Feminina da FIFA Brasil 2027.</t>
        </is>
      </c>
    </row>
    <row r="208">
      <c r="A208" s="33" t="n">
        <v>46267</v>
      </c>
      <c r="B208" s="23" t="inlineStr">
        <is>
          <t>Congresso torna facultativo ajuste das férias escolares durante a Copa Feminina 2027</t>
        </is>
      </c>
      <c r="C208" s="23" t="inlineStr">
        <is>
          <t>Legislação / calendário escolar / impacto social / Copa 2027</t>
        </is>
      </c>
      <c r="D208" s="23" t="inlineStr">
        <is>
          <t>Brasil</t>
        </is>
      </c>
      <c r="E208" s="23" t="inlineStr">
        <is>
          <t>Agência Senado / Câmara dos Deputados</t>
        </is>
      </c>
      <c r="F208" s="23" t="inlineStr">
        <is>
          <t>https://www12.senado.leg.br/noticias/senado-agora/2026/09/02/copa-feminina-de-futebol</t>
        </is>
      </c>
      <c r="G208" s="23" t="inlineStr">
        <is>
          <t>Neutro</t>
        </is>
      </c>
      <c r="H208" s="23" t="inlineStr">
        <is>
          <t>Médio</t>
        </is>
      </c>
      <c r="I208" s="23" t="inlineStr">
        <is>
          <t>O Senado aprovou em 02/09/2026 o PL 3.481/2026, que torna facultativo o ajuste dos calendários escolares para coincidir com a Copa do Mundo Feminina de 2027. A Câmara havia aprovado o texto em 31/08/2026. A proposta altera a regra da Lei Geral da Copa que previa ajuste obrigatório e segue para sanção presidencial.</t>
        </is>
      </c>
    </row>
    <row r="209">
      <c r="A209" s="33" t="n">
        <v>46268</v>
      </c>
      <c r="B209" s="23" t="inlineStr">
        <is>
          <t>Maracanã prepara reforma de R$ 2,5 milhões para adequações da Copa Feminina 2027</t>
        </is>
      </c>
      <c r="C209" s="23" t="inlineStr">
        <is>
          <t>Infraestrutura / estádio-sede / acessibilidade / hospitalidade / Copa 2027</t>
        </is>
      </c>
      <c r="D209" s="23" t="inlineStr">
        <is>
          <t>Rio de Janeiro/RJ</t>
        </is>
      </c>
      <c r="E209" s="23" t="inlineStr">
        <is>
          <t>ge</t>
        </is>
      </c>
      <c r="F209" s="23" t="inlineStr">
        <is>
          <t>https://ge.globo.com/futebol/copa-do-mundo-feminina/noticia/2026/09/03/governo-e-consorcio-fla-flu-preparam-reforma-de-r-25-milhoes-em-tribuna-do-maracana-para-a-copa-de-2027.ghtml</t>
        </is>
      </c>
      <c r="G209" s="23" t="inlineStr">
        <is>
          <t>Positivo</t>
        </is>
      </c>
      <c r="H209" s="23" t="inlineStr">
        <is>
          <t>Alto</t>
        </is>
      </c>
      <c r="I209" s="23" t="inlineStr">
        <is>
          <t>O Governo do Estado do Rio de Janeiro e o Consórcio Fla-Flu preparam uma reforma estimada em R$ 2,5 milhões na Tribuna de Honra do Maracanã, como parte das adequações para a Copa do Mundo Feminina de 2027. O aditivo contratual prevê melhorias em acessibilidade, hospitalidade, segurança, conforto e funcionalidade, com prazo de execução estimado em 45 dias para a proposta escolhida.</t>
        </is>
      </c>
    </row>
    <row r="210">
      <c r="A210" s="33" t="n">
        <v>46265</v>
      </c>
      <c r="B210" s="23" t="inlineStr">
        <is>
          <t>Porto Alegre protocola regras especiais para a Copa Feminina 2027</t>
        </is>
      </c>
      <c r="C210" s="23" t="inlineStr">
        <is>
          <t>Cidade-sede / legislação municipal / mobilidade / ingressos / operação da Copa 2027</t>
        </is>
      </c>
      <c r="D210" s="23" t="inlineStr">
        <is>
          <t>Porto Alegre/RS</t>
        </is>
      </c>
      <c r="E210" s="23" t="inlineStr">
        <is>
          <t>Prefeitura de Porto Alegre</t>
        </is>
      </c>
      <c r="F210" s="23" t="inlineStr">
        <is>
          <t>https://prefeitura.poa.br/secopa2027/noticias/prefeitura-protocola-projeto-de-lei-com-regras-especiais-para-copa-feminina</t>
        </is>
      </c>
      <c r="G210" s="23" t="inlineStr">
        <is>
          <t>Neutro</t>
        </is>
      </c>
      <c r="H210" s="23" t="inlineStr">
        <is>
          <t>Alto</t>
        </is>
      </c>
      <c r="I210" s="23" t="inlineStr">
        <is>
          <t>A Prefeitura de Porto Alegre protocolou o Projeto de Lei nº 028/26 com regras específicas para a realização da Copa do Mundo Feminina FIFA 2027 e seus eventos oficiais.</t>
        </is>
      </c>
    </row>
    <row r="211">
      <c r="A211" s="33" t="n">
        <v>46269</v>
      </c>
      <c r="B211" s="23" t="inlineStr">
        <is>
          <t>Painel em Salvador conecta proteção no esporte e legado da Copa Feminina 2027</t>
        </is>
      </c>
      <c r="C211" s="23" t="inlineStr">
        <is>
          <t>Salvador / safeguarding / legado / formação profissional / Copa 2027</t>
        </is>
      </c>
      <c r="D211" s="23" t="inlineStr">
        <is>
          <t>Salvador/BA</t>
        </is>
      </c>
      <c r="E211" s="23" t="inlineStr">
        <is>
          <t>Jornal Grande Bahia / GovBA</t>
        </is>
      </c>
      <c r="F211" s="23" t="inlineStr">
        <is>
          <t>https://jornalgrandebahia.com.br/2026/09/futebol-feminino-e-copa-do-mundo-2027-painel-em-salvador-debate-seguranca-e-abre-inscricoes-para-voluntarios/</t>
        </is>
      </c>
      <c r="G211" s="23" t="inlineStr">
        <is>
          <t>Positivo</t>
        </is>
      </c>
      <c r="H211" s="23" t="inlineStr">
        <is>
          <t>Médio</t>
        </is>
      </c>
      <c r="I211" s="23" t="inlineStr">
        <is>
          <t>Painel Futebol &amp; Cidadania, realizado em 03/09/2026 no Colégio Estadual Professor Rômulo Almeida, em Salvador, reuniu Setre, IPIE, UFBA e comunidade escolar para discutir proteção e prevenção de abusos no esporte, formação profissional e legado ligado à Copa Feminina 2027.</t>
        </is>
      </c>
    </row>
    <row r="212">
      <c r="A212" s="33" t="n">
        <v>46269</v>
      </c>
      <c r="B212" s="23" t="inlineStr">
        <is>
          <t>Formiga destaca potencial da Copa Feminina 2027 para transformar oportunidades de meninas e jogadoras</t>
        </is>
      </c>
      <c r="C212" s="23" t="inlineStr">
        <is>
          <t>Legado / futebol feminino / inspiração / Copa 2027</t>
        </is>
      </c>
      <c r="D212" s="23" t="inlineStr">
        <is>
          <t>São Paulo/SP</t>
        </is>
      </c>
      <c r="E212" s="23" t="inlineStr">
        <is>
          <t>AFP/BOL</t>
        </is>
      </c>
      <c r="F212" s="23" t="inlineStr">
        <is>
          <t>https://www.bol.uol.com.br/noticias/2026/09/04/copa-do-mundo-feminina-no-brasil-pode-mudar-vidas-de-muitas-jogadoras-diz-formiga.htm</t>
        </is>
      </c>
      <c r="G212" s="23" t="inlineStr">
        <is>
          <t>Positivo</t>
        </is>
      </c>
      <c r="H212" s="23" t="inlineStr">
        <is>
          <t>Médio</t>
        </is>
      </c>
      <c r="I212" s="23" t="inlineStr">
        <is>
          <t>Em entrevista à AFP publicada em 04/09/2026, durante o evento Esporte Cria em São Paulo, Formiga afirmou que a Copa do Mundo Feminina de 2027 no Brasil pode mudar a realidade de inúmeras meninas e jogadoras na região. A fala da ex-capitã da Seleção reforça o potencial de legado social e esportivo do torneio e conecta a realização do Mundial à ampliação de oportunidades e visibilidade para o futebol feminino.</t>
        </is>
      </c>
    </row>
    <row r="213">
      <c r="A213" s="33" t="n">
        <v>46268</v>
      </c>
      <c r="B213" s="23" t="inlineStr">
        <is>
          <t>Futebol feminino bate recordes de transferências internacionais em 2026</t>
        </is>
      </c>
      <c r="C213" s="23" t="inlineStr">
        <is>
          <t>Mercado / crescimento / futebol feminino</t>
        </is>
      </c>
      <c r="D213" s="23" t="inlineStr">
        <is>
          <t>Global</t>
        </is>
      </c>
      <c r="E213" s="23" t="inlineStr">
        <is>
          <t>FIFA</t>
        </is>
      </c>
      <c r="F213" s="23" t="inlineStr">
        <is>
          <t>https://inside.fifa.com/media-releases/world-cup-2026-impact-mid-year-transfer-window</t>
        </is>
      </c>
      <c r="G213" s="23" t="inlineStr">
        <is>
          <t>Positivo</t>
        </is>
      </c>
      <c r="H213" s="23" t="inlineStr">
        <is>
          <t>Alto</t>
        </is>
      </c>
      <c r="I213" s="23" t="inlineStr">
        <is>
          <t>A FIFA registrou 1.406 transferências internacionais no futebol profissional feminino entre 1º de junho e 2 de setembro de 2026, alta de 19,2% sobre o recorde anterior. Os clubes movimentaram US$ 28,6 milhões em taxas, mais que o dobro da janela equivalente de 2025, confirmando expansão histórica do mercado da modalidade.</t>
        </is>
      </c>
    </row>
    <row r="214">
      <c r="A214" s="33" t="n">
        <v>46268</v>
      </c>
      <c r="B214" s="23" t="inlineStr">
        <is>
          <t>Bahia planeja usar a Copa Feminina 2027 para ampliar turismo além de Salvador</t>
        </is>
      </c>
      <c r="C214" s="23" t="inlineStr">
        <is>
          <t>Turismo / cidade-sede / legado econômico / infraestrutura aeroportuária</t>
        </is>
      </c>
      <c r="D214" s="23" t="inlineStr">
        <is>
          <t>Salvador/BA</t>
        </is>
      </c>
      <c r="E214" s="23" t="inlineStr">
        <is>
          <t>Let's Go Bahia</t>
        </is>
      </c>
      <c r="F214" s="23" t="inlineStr">
        <is>
          <t>https://letsgobahia.com.br/index.php/noticia/radar-por-matheus-pastori/exclusivo-com-mais-de-r-400-milhoes-investidos-bahia-planeja-aproveitar-copa-do-mundo-feminina-para-impulsionar-o-turismo-no-interior</t>
        </is>
      </c>
      <c r="G214" s="23" t="inlineStr">
        <is>
          <t>Positivo</t>
        </is>
      </c>
      <c r="H214" s="23" t="inlineStr">
        <is>
          <t>Médio</t>
        </is>
      </c>
      <c r="I214" s="23" t="inlineStr">
        <is>
          <t>Em entrevista publicada em 03/09/2026, o secretário de Turismo da Bahia, Maurício Bacelar, detalhou a estratégia de aproveitar o fluxo gerado pelos sete jogos da Copa Feminina 2027 na Fonte Nova para prolongar a permanência dos visitantes e estimular roteiros no interior.</t>
        </is>
      </c>
    </row>
    <row r="215">
      <c r="A215" s="33" t="n">
        <v>46268</v>
      </c>
      <c r="B215" s="23" t="inlineStr">
        <is>
          <t>Fortaleza supera 7,3 mil interessados locais no voluntariado da Copa Feminina 2027</t>
        </is>
      </c>
      <c r="C215" s="23" t="inlineStr">
        <is>
          <t>Voluntariado / engajamento local / cidade-sede</t>
        </is>
      </c>
      <c r="D215" s="23" t="inlineStr">
        <is>
          <t>Fortaleza/CE</t>
        </is>
      </c>
      <c r="E215" s="23" t="inlineStr">
        <is>
          <t>Prefeitura de Fortaleza</t>
        </is>
      </c>
      <c r="F215" s="23" t="inlineStr">
        <is>
          <t>https://www.fortaleza.ce.gov.br/noticias/fortaleza-mobiliza-voluntarios-para-a-copa-do-mundo-feminina-da-fifa-brasil-2027-e-celebra-abertura-oficial-das-inscricoes</t>
        </is>
      </c>
      <c r="G215" s="23" t="inlineStr">
        <is>
          <t>Positivo</t>
        </is>
      </c>
      <c r="H215" s="23" t="inlineStr">
        <is>
          <t>Médio</t>
        </is>
      </c>
      <c r="I215" s="23" t="inlineStr">
        <is>
          <t>A Prefeitura de Fortaleza informou em 03/09/2026 que mais de 7,3 mil pessoas já haviam indicado a capital cearense como cidade-sede de preferência durante a fase de registro de interesse do Programa de Voluntários da Copa do Mundo Feminina 2027. O dado local, divulgado junto à abertura das inscrições oficiais, evidencia forte mobilização e engajamento da população da cidade-sede antes do torneio.</t>
        </is>
      </c>
    </row>
    <row r="216">
      <c r="A216" s="33" t="n">
        <v>46268</v>
      </c>
      <c r="B216" s="23" t="inlineStr">
        <is>
          <t>FIFA abre inscrições oficiais para mais de 6 mil voluntários da Copa Feminina 2027</t>
        </is>
      </c>
      <c r="C216" s="23" t="inlineStr">
        <is>
          <t>Voluntariado / engajamento / operação do torneio</t>
        </is>
      </c>
      <c r="D216" s="23" t="inlineStr">
        <is>
          <t>Brasil</t>
        </is>
      </c>
      <c r="E216" s="23" t="inlineStr">
        <is>
          <t>FIFA</t>
        </is>
      </c>
      <c r="F216" s="23" t="inlineStr">
        <is>
          <t>https://inside.fifa.com/tournament-organisation/volunteers/media-releases/volunteer-applications-open-womens-world-cup-brazil-2027</t>
        </is>
      </c>
      <c r="G216" s="23" t="inlineStr">
        <is>
          <t>Positivo</t>
        </is>
      </c>
      <c r="H216" s="23" t="inlineStr">
        <is>
          <t>Alto</t>
        </is>
      </c>
      <c r="I216" s="23" t="inlineStr">
        <is>
          <t>A FIFA abriu oficialmente em 03/09/2026 as inscrições para o programa de voluntariado da Copa do Mundo Feminina de 2027 no Brasil. Mais de 6 mil voluntários serão recrutados nas oito cidades-sede, após mais de 100 mil manifestações de interesse registradas desde julho. A abertura efetiva das candidaturas é um novo marco operacional e de engajamento, distinto da divulgação anterior das funções disponíveis aos voluntários.</t>
        </is>
      </c>
    </row>
    <row r="217">
      <c r="A217" s="33" t="n">
        <v>46267</v>
      </c>
      <c r="B217" s="23" t="inlineStr">
        <is>
          <t>Senado aprova prioridade ao futebol feminino e prevê plano de legado da Copa 2027</t>
        </is>
      </c>
      <c r="C217" s="23" t="inlineStr">
        <is>
          <t>Legislação federal / futebol feminino / legado da Copa 2027</t>
        </is>
      </c>
      <c r="D217" s="23" t="inlineStr">
        <is>
          <t>Brasil</t>
        </is>
      </c>
      <c r="E217" s="23" t="inlineStr">
        <is>
          <t>Agência Senado</t>
        </is>
      </c>
      <c r="F217" s="23" t="inlineStr">
        <is>
          <t>https://www12.senado.leg.br/noticias/materias/2026/09/02/senado-aprova-prioridade-para-futebol-feminino-na-politica-de-esporte</t>
        </is>
      </c>
      <c r="G217" s="23" t="inlineStr">
        <is>
          <t>Positivo</t>
        </is>
      </c>
      <c r="H217" s="23" t="inlineStr">
        <is>
          <t>Alto</t>
        </is>
      </c>
      <c r="I217" s="23" t="inlineStr">
        <is>
          <t>O Senado aprovou projeto que torna o futebol feminino prioridade na política pública esportiva nacional e determina a elaboração de um plano de legado social, esportivo e financeiro da Copa do Mundo Feminina FIFA 2027 no Brasil. O texto também prevê ações para profissionalização, igualdade salarial, participação de mulheres na gestão e arbitragem e combate à discriminação e à violência no esporte.</t>
        </is>
      </c>
    </row>
    <row r="218">
      <c r="A218" s="33" t="n">
        <v>46267</v>
      </c>
      <c r="B218" s="23" t="inlineStr">
        <is>
          <t>SporTV estreia Aquecimento Delas com bancada feminina dedicada ao futebol feminino</t>
        </is>
      </c>
      <c r="C218" s="23" t="inlineStr">
        <is>
          <t>Mídia / futebol feminino / cobertura esportiva</t>
        </is>
      </c>
      <c r="D218" s="23" t="inlineStr">
        <is>
          <t>Brasil</t>
        </is>
      </c>
      <c r="E218" s="23" t="inlineStr">
        <is>
          <t>O Globo</t>
        </is>
      </c>
      <c r="F218" s="23" t="inlineStr">
        <is>
          <t>https://oglobo.globo.com/play/noticia/2026/09/02/nota-10-a-estreia-do-aquecimento-delas-no-sportv.ghtml</t>
        </is>
      </c>
      <c r="G218" s="23" t="inlineStr">
        <is>
          <t>Positivo</t>
        </is>
      </c>
      <c r="H218" s="23" t="inlineStr">
        <is>
          <t>Médio</t>
        </is>
      </c>
      <c r="I218" s="23" t="inlineStr">
        <is>
          <t>O SporTV lançou o programa Aquecimento Delas, dedicado ao futebol feminino e apresentado por uma bancada formada por Ana Thais Matos, Renata Mendonça, Mariana Spinelli e Luana Maluf. A iniciativa amplia o espaço permanente de análise e cobertura da modalidade na televisão esportiva em um período de crescente atenção ao futebol feminino antes da Copa do Mundo de 2027 no Brasil.</t>
        </is>
      </c>
    </row>
    <row r="219">
      <c r="A219" s="33" t="n">
        <v>46267</v>
      </c>
      <c r="B219" s="23" t="inlineStr">
        <is>
          <t>FIFA detalha mais de 30 funções de voluntariado para a Copa do Mundo Feminina 2027</t>
        </is>
      </c>
      <c r="C219" s="23" t="inlineStr">
        <is>
          <t>Voluntariado / operação do torneio / engajamento</t>
        </is>
      </c>
      <c r="D219" s="23" t="inlineStr">
        <is>
          <t>Brasil</t>
        </is>
      </c>
      <c r="E219" s="23" t="inlineStr">
        <is>
          <t>FIFA</t>
        </is>
      </c>
      <c r="F219" s="23" t="inlineStr">
        <is>
          <t>https://www.fifa.com/pt/tournaments/womens/womensworldcup/brazil-2027/articles/funcoes-voluntarios-copa-do-mundo-feminina-brasil-2027</t>
        </is>
      </c>
      <c r="G219" s="23" t="inlineStr">
        <is>
          <t>Positivo</t>
        </is>
      </c>
      <c r="H219" s="23" t="inlineStr">
        <is>
          <t>Alto</t>
        </is>
      </c>
      <c r="I219" s="23" t="inlineStr">
        <is>
          <t>A FIFA detalhou mais de 30 funções previstas para voluntários da Copa do Mundo Feminina de 2027, com atuação em locais oficiais como estádios, hotéis, centros de treinamento e aeroportos. As áreas incluem gestão de acessos, hospedagem, credenciamento, competição, entretenimento, transportes, serviços ao espectador, tecnologia, mídia, hospitalidade, segurança, sustentabilidade, ingressos e operações de estádio.</t>
        </is>
      </c>
    </row>
    <row r="220">
      <c r="A220" s="33" t="n">
        <v>46265</v>
      </c>
      <c r="B220" s="23" t="inlineStr">
        <is>
          <t>Câmara torna facultativo o ajuste das férias escolares durante a Copa Feminina 2027</t>
        </is>
      </c>
      <c r="C220" s="23" t="inlineStr">
        <is>
          <t>Legislação federal / educação / calendário escolar / Copa Feminina 2027</t>
        </is>
      </c>
      <c r="D220" s="23" t="inlineStr">
        <is>
          <t>Brasil</t>
        </is>
      </c>
      <c r="E220" s="23" t="inlineStr">
        <is>
          <t>Agência Câmara</t>
        </is>
      </c>
      <c r="F220" s="23" t="inlineStr">
        <is>
          <t>https://www.camara.leg.br/noticias/1301485-camara-aprova-autonomia-de-escolas-para-ajustar-calendario-na-copa-do-mundo-feminina</t>
        </is>
      </c>
      <c r="G220" s="23" t="inlineStr">
        <is>
          <t>Neutro</t>
        </is>
      </c>
      <c r="H220" s="23" t="inlineStr">
        <is>
          <t>Alto</t>
        </is>
      </c>
      <c r="I220" s="23" t="inlineStr">
        <is>
          <t>A Câmara dos Deputados aprovou o PL 3.481/2026, que torna facultativo aos sistemas de ensino ajustar as férias escolares ao período da Copa do Mundo Feminina 2027. O texto preserva a autonomia das redes, exige o cumprimento da carga horária e dos 200 dias letivos previstos na LDB e foi remetido ao Senado em 1º de setembro de 2026.</t>
        </is>
      </c>
    </row>
    <row r="221">
      <c r="A221" s="33" t="n">
        <v>46264</v>
      </c>
      <c r="B221" s="23" t="inlineStr">
        <is>
          <t>Seleção Feminina Sub-20 chega a Bielsko-Biała para a reta final antes do Mundial</t>
        </is>
      </c>
      <c r="C221" s="23" t="inlineStr">
        <is>
          <t>Seleções de Base / Sub-20 Feminina / preparação para o Mundial</t>
        </is>
      </c>
      <c r="D221" s="23" t="inlineStr">
        <is>
          <t>Bielsko-Biała/POL</t>
        </is>
      </c>
      <c r="E221" s="23" t="inlineStr">
        <is>
          <t>CBF</t>
        </is>
      </c>
      <c r="F221" s="23" t="inlineStr">
        <is>
          <t>https://www.cbf.com.br/selecao-brasileira/noticias/selecao-base-feminina/selecao-feminina-sub-20/selecao-feminina-sub-20-chega-a-bielsko-biala-para-reta-final-antes-da-estreia-no-mundial</t>
        </is>
      </c>
      <c r="G221" s="23" t="inlineStr">
        <is>
          <t>Positivo</t>
        </is>
      </c>
      <c r="H221" s="23" t="inlineStr">
        <is>
          <t>Médio</t>
        </is>
      </c>
      <c r="I221" s="23" t="inlineStr">
        <is>
          <t>A Seleção Brasileira Feminina Sub-20 chegou a Bielsko-Biała, na Polônia, para concluir a preparação antes da estreia na Copa do Mundo da categoria. A delegação entra na etapa final de adaptação e treinamentos para o torneio, que começa em 5 de setembro.</t>
        </is>
      </c>
    </row>
    <row r="222">
      <c r="A222" s="33" t="n">
        <v>46264</v>
      </c>
      <c r="B222" s="23" t="inlineStr">
        <is>
          <t>Thaís Lima destaca integração entre base e Seleção principal antes do Mundial Sub-20</t>
        </is>
      </c>
      <c r="C222" s="23" t="inlineStr">
        <is>
          <t>Seleções de Base / Sub-20 Feminina / integração com a Seleção principal</t>
        </is>
      </c>
      <c r="D222" s="23" t="inlineStr">
        <is>
          <t>Polônia</t>
        </is>
      </c>
      <c r="E222" s="23" t="inlineStr">
        <is>
          <t>CBF</t>
        </is>
      </c>
      <c r="F222" s="23" t="inlineStr">
        <is>
          <t>https://www.cbf.com.br/selecao-brasileira/noticias/selecao-feminina-sub-20/a/thais-lima-comenta-integracao-entre-as-selecoes-de-base-e-a-principal</t>
        </is>
      </c>
      <c r="G222" s="23" t="inlineStr">
        <is>
          <t>Positivo</t>
        </is>
      </c>
      <c r="H222" s="23" t="inlineStr">
        <is>
          <t>Médio</t>
        </is>
      </c>
      <c r="I222" s="23" t="inlineStr">
        <is>
          <t>Às vésperas da Copa do Mundo Feminina Sub-20, a atacante Thaís Lima destacou a integração entre as Seleções de base e a equipe principal. A jogadora, que acumula convocações em diferentes categorias, exemplifica a continuidade do processo de formação da CBF durante a preparação do Brasil na Polônia.</t>
        </is>
      </c>
    </row>
    <row r="223">
      <c r="A223" s="33" t="n">
        <v>46263</v>
      </c>
      <c r="B223" s="23" t="inlineStr">
        <is>
          <t>Bianca destaca entrosamento da Seleção Sub-20 antes do Mundial</t>
        </is>
      </c>
      <c r="C223" s="23" t="inlineStr">
        <is>
          <t>Seleções de Base / Sub-20 Feminina / preparação para o Mundial</t>
        </is>
      </c>
      <c r="D223" s="23" t="inlineStr">
        <is>
          <t>Polônia</t>
        </is>
      </c>
      <c r="E223" s="23" t="inlineStr">
        <is>
          <t>CBF</t>
        </is>
      </c>
      <c r="F223" s="23" t="inlineStr">
        <is>
          <t>https://www.cbf.com.br/selecao-brasileira/noticias/selecao-feminina-sub-20/a/bianca-relembra-conquista-do-sul-americano-e-valoriza-entrosamento-na-selecao-sub-20</t>
        </is>
      </c>
      <c r="G223" s="23" t="inlineStr">
        <is>
          <t>Positivo</t>
        </is>
      </c>
      <c r="H223" s="23" t="inlineStr">
        <is>
          <t>Médio</t>
        </is>
      </c>
      <c r="I223" s="23" t="inlineStr">
        <is>
          <t>A zagueira Bianca relembrou a conquista do Sul-Americano Sub-20 e destacou o entrosamento da Seleção Brasileira durante a preparação na Polônia para a Copa do Mundo Feminina Sub-20 de 2026. A fala reforça a confiança do grupo antes da estreia no Mundial.</t>
        </is>
      </c>
    </row>
    <row r="224">
      <c r="A224" s="33" t="n">
        <v>46262</v>
      </c>
      <c r="B224" s="23" t="inlineStr">
        <is>
          <t>Fortaleza avança na Lei da Copa e prepara inspeção da FIFA no Castelão</t>
        </is>
      </c>
      <c r="C224" s="23" t="inlineStr">
        <is>
          <t>Preparação de cidade-sede / legislação estadual / mobilidade / Arena Castelão</t>
        </is>
      </c>
      <c r="D224" s="23" t="inlineStr">
        <is>
          <t>Fortaleza/CE</t>
        </is>
      </c>
      <c r="E224" s="23" t="inlineStr">
        <is>
          <t>Diário do Nordeste</t>
        </is>
      </c>
      <c r="F224" s="23" t="inlineStr">
        <is>
          <t>https://diariodonordeste.verdesmares.com.br/jogada/fortaleza-avanca-na-lei-da-copa-e-prepara-castelao-para-inspecao-da-fifa-a-300-dias-do-mundial-1.3787756</t>
        </is>
      </c>
      <c r="G224" s="23" t="inlineStr">
        <is>
          <t>Positivo</t>
        </is>
      </c>
      <c r="H224" s="23" t="inlineStr">
        <is>
          <t>Alto</t>
        </is>
      </c>
      <c r="I224" s="23" t="inlineStr">
        <is>
          <t>A 300 dias da Copa do Mundo Feminina 2027, Fortaleza informou que prepara a promulgação da Lei Estadual da Copa, conclui o plano de mobilidade e discute gratuidade no transporte público em dias de jogos. A Arena Castelão, que receberá nove partidas, terá nova inspeção técnica da FIFA em setembro, enquanto Estado, município e federação avançam em infraestrutura, responsabilidade social e legado.</t>
        </is>
      </c>
    </row>
    <row r="225">
      <c r="A225" s="33" t="n">
        <v>46262</v>
      </c>
      <c r="B225" s="23" t="inlineStr">
        <is>
          <t>Dulce transforma experiência no Mundial Sub-17 em preparação para a Seleção Sub-20</t>
        </is>
      </c>
      <c r="C225" s="23" t="inlineStr">
        <is>
          <t>Seleções de Base / Sub-20 Feminina / transição de categoria</t>
        </is>
      </c>
      <c r="D225" s="23" t="inlineStr">
        <is>
          <t>Cracóvia/POL</t>
        </is>
      </c>
      <c r="E225" s="23" t="inlineStr">
        <is>
          <t>CBF</t>
        </is>
      </c>
      <c r="F225" s="23" t="inlineStr">
        <is>
          <t>https://www.cbf.com.br/selecao-brasileira/noticias/selecao-feminina-sub-20/a/de-um-mundial-ao-outro-dulce-vive-novo-desafio-com-a-selecao-brasileira</t>
        </is>
      </c>
      <c r="G225" s="23" t="inlineStr">
        <is>
          <t>Positivo</t>
        </is>
      </c>
      <c r="H225" s="23" t="inlineStr">
        <is>
          <t>Médio</t>
        </is>
      </c>
      <c r="I225" s="23" t="inlineStr">
        <is>
          <t>A CBF destacou a trajetória da meio-campista Dulce, que integrou a campanha brasileira de quarto lugar no Mundial Sub-17 de 2025 e agora se prepara na Polônia para disputar sua primeira Copa do Mundo Feminina Sub-20. A atleta do Corinthians chega ao torneio após marcar 12 gols em 15 jogos na temporada e representa a transição da formação para uma categoria mais próxima da Seleção principal.</t>
        </is>
      </c>
    </row>
    <row r="226">
      <c r="A226" s="33" t="n">
        <v>46262</v>
      </c>
      <c r="B226" s="23" t="inlineStr">
        <is>
          <t>Empetur abre licitação para infraestrutura temporária da Copa 2027 na Arena Pernambuco</t>
        </is>
      </c>
      <c r="C226" s="23" t="inlineStr">
        <is>
          <t>Infraestrutura / Arena Pernambuco / contratação pública</t>
        </is>
      </c>
      <c r="D226" s="23" t="inlineStr">
        <is>
          <t>Recife/PE</t>
        </is>
      </c>
      <c r="E226" s="23" t="inlineStr">
        <is>
          <t>Empetur</t>
        </is>
      </c>
      <c r="F226" s="23" t="inlineStr">
        <is>
          <t>https://www.empetur.pe.gov.br/h-licitacoes/2556-empetur-aviso-de-abertura-processo-n-1687-2026-cel-iii-pe-0008-empetur</t>
        </is>
      </c>
      <c r="G226" s="23" t="inlineStr">
        <is>
          <t>Positivo</t>
        </is>
      </c>
      <c r="H226" s="23" t="inlineStr">
        <is>
          <t>Médio</t>
        </is>
      </c>
      <c r="I226" s="23" t="inlineStr">
        <is>
          <t>A Empetur abriu disputa para o fornecimento de cadeiras empilháveis destinadas à infraestrutura temporária da Copa do Mundo Feminina FIFA 2027 na Arena Pernambuco. A contratação tem valor máximo estimado de R$ 155.176, com posterior incorporação dos bens ao patrimônio do estádio.</t>
        </is>
      </c>
    </row>
    <row r="227">
      <c r="A227" s="33" t="n">
        <v>46262</v>
      </c>
      <c r="B227" s="23" t="inlineStr">
        <is>
          <t>Lei Complementar destrava benefícios tributários federais para a Copa Feminina 2027</t>
        </is>
      </c>
      <c r="C227" s="23" t="inlineStr">
        <is>
          <t>Tributação / legislação federal / organização</t>
        </is>
      </c>
      <c r="D227" s="23" t="inlineStr">
        <is>
          <t>Brasil</t>
        </is>
      </c>
      <c r="E227" s="23" t="inlineStr">
        <is>
          <t>Presidência da República</t>
        </is>
      </c>
      <c r="F227" s="23" t="inlineStr">
        <is>
          <t>https://www.planalto.gov.br/ccivil_03/leis/lcp/lcp235.htm</t>
        </is>
      </c>
      <c r="G227" s="23" t="inlineStr">
        <is>
          <t>Positivo</t>
        </is>
      </c>
      <c r="H227" s="23" t="inlineStr">
        <is>
          <t>Alto</t>
        </is>
      </c>
      <c r="I227" s="23" t="inlineStr">
        <is>
          <t>Sancionada em 27/08 e publicada em 28/08, a Lei Complementar nº 235/2026 excepciona regras fiscais para viabilizar benefícios tributários federais destinados à realização da Copa do Mundo Feminina FIFA 2027 no Brasil. A medida remove restrições legais à concessão dos incentivos previstos para a organização do torneio.</t>
        </is>
      </c>
    </row>
    <row r="228">
      <c r="A228" s="33" t="n">
        <v>46262</v>
      </c>
      <c r="B228" s="23" t="inlineStr">
        <is>
          <t>Porto Alegre detalha Fan Fest e Caminho das Gurias a 300 dias da Copa 2027</t>
        </is>
      </c>
      <c r="C228" s="23" t="inlineStr">
        <is>
          <t>Contagem regressiva / Porto Alegre / Fan Fest / legado</t>
        </is>
      </c>
      <c r="D228" s="23" t="inlineStr">
        <is>
          <t>Porto Alegre/RS</t>
        </is>
      </c>
      <c r="E228" s="23" t="inlineStr">
        <is>
          <t>Correio do Povo</t>
        </is>
      </c>
      <c r="F228" s="23" t="inlineStr">
        <is>
          <t>https://www.correiodopovo.com.br/esportes/300-dias-para-a-copa-feminina-veja-o-que-ja-se-sabe-sobre-o-mundial-1.1743064</t>
        </is>
      </c>
      <c r="G228" s="23" t="inlineStr">
        <is>
          <t>Positivo</t>
        </is>
      </c>
      <c r="H228" s="23" t="inlineStr">
        <is>
          <t>Médio</t>
        </is>
      </c>
      <c r="I228" s="23" t="inlineStr">
        <is>
          <t>A 300 dias da Copa do Mundo Feminina 2027, Porto Alegre informou que prepara Fan Fest, ativações e o Caminho das Gurias, experiência inspirada no Caminho do Gol de 2014. A matéria também consolida os sete jogos no Beira-Rio, o programa de voluntários e a estratégia de levar o legado do torneio a escolas, projetos sociais e comunidades.</t>
        </is>
      </c>
    </row>
    <row r="229">
      <c r="A229" s="33" t="n">
        <v>46262</v>
      </c>
      <c r="B229" s="23" t="inlineStr">
        <is>
          <t>Vaquejada e reforma podem tirar fase final da repescagem da Arena Pernambuco</t>
        </is>
      </c>
      <c r="C229" s="23" t="inlineStr">
        <is>
          <t>Repescagem / infraestrutura / cidade-sede</t>
        </is>
      </c>
      <c r="D229" s="23" t="inlineStr">
        <is>
          <t>Recife/PE</t>
        </is>
      </c>
      <c r="E229" s="23" t="inlineStr">
        <is>
          <t>Diário de Pernambuco</t>
        </is>
      </c>
      <c r="F229" s="23" t="inlineStr">
        <is>
          <t>https://www.diariodepernambuco.com.br/esportes-dp/internacional/2026/08/11722675-vaquejada-pode-tirar-repescagem-da-copa-do-mundo-feminina-da-arena-de-pernambuco.html</t>
        </is>
      </c>
      <c r="G229" s="23" t="inlineStr">
        <is>
          <t>Neutro</t>
        </is>
      </c>
      <c r="H229" s="23" t="inlineStr">
        <is>
          <t>Alto</t>
        </is>
      </c>
      <c r="I229" s="23" t="inlineStr">
        <is>
          <t>A FIFA solicitou a Arena Pernambuco para a fase final do Torneio Classificatório da Copa Feminina 2027, prevista entre 23 de fevereiro e 6 de março de 2027. Uma vaquejada marcada para novembro de 2026, a substituição do gramado e o cronograma de reformas podem inviabilizar o estádio; as tratativas continuam e outras sedes são avaliadas.</t>
        </is>
      </c>
    </row>
    <row r="230">
      <c r="A230" s="33" t="n">
        <v>46261</v>
      </c>
      <c r="B230" s="23" t="inlineStr">
        <is>
          <t>Bahia propõe proteção às mulheres e fórum permanente das cidades-sede para a Copa 2027</t>
        </is>
      </c>
      <c r="C230" s="23" t="inlineStr">
        <is>
          <t>Workshop das Cidades-Sede / segurança das mulheres / legado / Salvador</t>
        </is>
      </c>
      <c r="D230" s="23" t="inlineStr">
        <is>
          <t>Salvador/BA</t>
        </is>
      </c>
      <c r="E230" s="23" t="inlineStr">
        <is>
          <t>Bahia Notícias</t>
        </is>
      </c>
      <c r="F230" s="23" t="inlineStr">
        <is>
          <t>https://www.bahianoticias.com.br/esportes/noticia/80028-protecao-as-mulheres-entra-no-planejamento-da-bahia-para-a-copa-feminina-de-2027</t>
        </is>
      </c>
      <c r="G230" s="23" t="inlineStr">
        <is>
          <t>Positivo</t>
        </is>
      </c>
      <c r="H230" s="23" t="inlineStr">
        <is>
          <t>Alto</t>
        </is>
      </c>
      <c r="I230" s="23" t="inlineStr">
        <is>
          <t>No Workshop das Cidades-Sede da Copa Feminina 2027, a delegação baiana propôs tornar permanente a ação de vagão exclusivo para mulheres no metrô de Salvador, ampliar as Salas Elas à Frente e criar um fórum contínuo entre as oito sedes para articular mobilidade, segurança e operação do torneio.</t>
        </is>
      </c>
    </row>
    <row r="231">
      <c r="A231" s="33" t="n">
        <v>46261</v>
      </c>
      <c r="B231" s="23" t="inlineStr">
        <is>
          <t>Buscas pela Copa Feminina 2027 impulsionam interesse digital e oportunidades para marcas</t>
        </is>
      </c>
      <c r="C231" s="23" t="inlineStr">
        <is>
          <t>Marketing / audiência digital / patrocínios / Copa Feminina 2027</t>
        </is>
      </c>
      <c r="D231" s="23" t="inlineStr">
        <is>
          <t>Brasil</t>
        </is>
      </c>
      <c r="E231" s="23" t="inlineStr">
        <is>
          <t>Meio &amp; Mensagem</t>
        </is>
      </c>
      <c r="F231" s="23" t="inlineStr">
        <is>
          <t>https://www.meioemensagem.com.br/womentowatch/interesse-pelo-futebol-feminino-dispara-no-digital</t>
        </is>
      </c>
      <c r="G231" s="23" t="inlineStr">
        <is>
          <t>Positivo</t>
        </is>
      </c>
      <c r="H231" s="23" t="inlineStr">
        <is>
          <t>Médio</t>
        </is>
      </c>
      <c r="I231" s="23" t="inlineStr">
        <is>
          <t>Estudo divulgado no evento FF.Co mostrou alta de 200% nas buscas brasileiras por futebol feminino no YouTube e de 130% no Google em cinco anos. As dúvidas mais pesquisadas em 2026 incluem sedes, voluntariado, ingressos e transmissão da Copa do Mundo Feminina 2027, reforçando o potencial comercial do torneio para patrocinadores.</t>
        </is>
      </c>
    </row>
    <row r="232">
      <c r="A232" s="33" t="n">
        <v>46261</v>
      </c>
      <c r="B232" s="23" t="inlineStr">
        <is>
          <t>Camilla Orlando avalia ajustes finais da Seleção Sub-20 após primeiro treino na Polônia</t>
        </is>
      </c>
      <c r="C232" s="23" t="inlineStr">
        <is>
          <t>Seleções de Base / Sub-20 Feminina / preparação para o Mundial</t>
        </is>
      </c>
      <c r="D232" s="23" t="inlineStr">
        <is>
          <t>Cracóvia/POL</t>
        </is>
      </c>
      <c r="E232" s="23" t="inlineStr">
        <is>
          <t>CBF</t>
        </is>
      </c>
      <c r="F232" s="23" t="inlineStr">
        <is>
          <t>https://www.cbf.com.br/selecao-brasileira/noticias/selecao-feminina-sub-20/a/camilla-orlando-analisa-preparacao-do-brasil-apos-primeiro-treino-para-o-mundial-sub-20-e-o-momento-dos-ajustes-finais</t>
        </is>
      </c>
      <c r="G232" s="23" t="inlineStr">
        <is>
          <t>Positivo</t>
        </is>
      </c>
      <c r="H232" s="23" t="inlineStr">
        <is>
          <t>Médio</t>
        </is>
      </c>
      <c r="I232" s="23" t="inlineStr">
        <is>
          <t>Após o primeiro treino em campo na Polônia, a técnica Camilla Orlando avaliou a preparação da Seleção Brasileira Feminina Sub-20 para a Copa do Mundo e destacou que a etapa é dedicada aos ajustes finais antes da estreia no torneio.</t>
        </is>
      </c>
    </row>
    <row r="233">
      <c r="A233" s="33" t="n">
        <v>46261</v>
      </c>
      <c r="B233" s="23" t="inlineStr">
        <is>
          <t>Rio propõe benefícios fiscais e metas de legado para a Copa Feminina 2027</t>
        </is>
      </c>
      <c r="C233" s="23" t="inlineStr">
        <is>
          <t>Políticas públicas / benefícios fiscais / legado / Rio de Janeiro</t>
        </is>
      </c>
      <c r="D233" s="23" t="inlineStr">
        <is>
          <t>Rio de Janeiro/RJ</t>
        </is>
      </c>
      <c r="E233" s="23" t="inlineStr">
        <is>
          <t>Alerj</t>
        </is>
      </c>
      <c r="F233" s="23" t="inlineStr">
        <is>
          <t>https://www.alerj.rj.gov.br/Visualizar/Noticia/87696</t>
        </is>
      </c>
      <c r="G233" s="23" t="inlineStr">
        <is>
          <t>Positivo</t>
        </is>
      </c>
      <c r="H233" s="23" t="inlineStr">
        <is>
          <t>Alto</t>
        </is>
      </c>
      <c r="I233" s="23" t="inlineStr">
        <is>
          <t>A Alerj recebeu o Projeto de Lei 8.223/26, que incorpora benefícios de ICMS vinculados à organização da Copa do Mundo Feminina 2027. A proposta estabelece metas de mais de 7.500 empregos diretos no estado, público acumulado superior a 150 mil pessoas nos jogos e compromissos ambientais, com avaliação após o torneio.</t>
        </is>
      </c>
    </row>
    <row r="234">
      <c r="A234" s="33" t="n">
        <v>46261</v>
      </c>
      <c r="B234" s="23" t="inlineStr">
        <is>
          <t>Vitorinha destaca força de vontade e companheirismo da Seleção Sub-20 para o Mundial</t>
        </is>
      </c>
      <c r="C234" s="23" t="inlineStr">
        <is>
          <t>Seleções de Base / Sub-20 Feminina / preparação para o Mundial</t>
        </is>
      </c>
      <c r="D234" s="23" t="inlineStr">
        <is>
          <t>Cracóvia/POL</t>
        </is>
      </c>
      <c r="E234" s="23" t="inlineStr">
        <is>
          <t>CBF</t>
        </is>
      </c>
      <c r="F234" s="23" t="inlineStr">
        <is>
          <t>https://www.cbf.com.br/selecao-brasileira/noticias/selecao-feminina-sub-20/a/vitorinha-celebra-oportunidade-no-mundial-e-destaca-pontos-fortes-do-brasil-para-a-competicao</t>
        </is>
      </c>
      <c r="G234" s="23" t="inlineStr">
        <is>
          <t>Positivo</t>
        </is>
      </c>
      <c r="H234" s="23" t="inlineStr">
        <is>
          <t>Médio</t>
        </is>
      </c>
      <c r="I234" s="23" t="inlineStr">
        <is>
          <t>Em preparação na Polônia para a Copa do Mundo Feminina Sub-20, a meio-campista Vitorinha celebrou a oportunidade de disputar o Mundial e apontou força de vontade e companheirismo como pontos fortes da Seleção Brasileira. A atleta também relembrou sua trajetória até a convocação.</t>
        </is>
      </c>
    </row>
    <row r="235">
      <c r="A235" s="33" t="n">
        <v>46260</v>
      </c>
      <c r="B235" s="23" t="inlineStr">
        <is>
          <t>FIFA anuncia Tour da Taça por todas as cidades-sede antes da Copa 2027</t>
        </is>
      </c>
      <c r="C235" s="23" t="inlineStr">
        <is>
          <t>Tour da Taça / ativações / EVT-0090</t>
        </is>
      </c>
      <c r="D235" s="23" t="inlineStr">
        <is>
          <t>Brasil</t>
        </is>
      </c>
      <c r="E235" s="23" t="inlineStr">
        <is>
          <t>Correio do Povo</t>
        </is>
      </c>
      <c r="F235" s="23" t="inlineStr">
        <is>
          <t>https://www.correiodopovo.com.br/esportes/taca-da-copa-feminina-fara-tour-pelo-brasil-entre-abril-e-maio-de-2027-1.1742125</t>
        </is>
      </c>
      <c r="G235" s="23" t="inlineStr">
        <is>
          <t>Positivo</t>
        </is>
      </c>
      <c r="H235" s="23" t="inlineStr">
        <is>
          <t>Alto</t>
        </is>
      </c>
      <c r="I235" s="23" t="inlineStr">
        <is>
          <t>Durante o II Workshop de Cidades-Sede e Estádios, a FIFA anunciou o Tour da Taça (EVT-0090) para abril e maio de 2027. O troféu deverá passar pelas oito cidades-sede; datas e locais ainda serão definidos, enquanto Porto Alegre negocia uma permanência de pelo menos cinco dias e exposição no Beira-Rio.</t>
        </is>
      </c>
    </row>
    <row r="236">
      <c r="A236" s="33" t="n">
        <v>46260</v>
      </c>
      <c r="B236" s="23" t="inlineStr">
        <is>
          <t>Porto Alegre mapeia ajustes de infraestrutura no workshop da Copa 2027</t>
        </is>
      </c>
      <c r="C236" s="23" t="inlineStr">
        <is>
          <t>II Workshop de Cidades-Sede e Estádios / Porto Alegre</t>
        </is>
      </c>
      <c r="D236" s="23" t="inlineStr">
        <is>
          <t>Porto Alegre/RS</t>
        </is>
      </c>
      <c r="E236" s="23" t="inlineStr">
        <is>
          <t>Federação Gaúcha de Futebol</t>
        </is>
      </c>
      <c r="F236" s="23" t="inlineStr">
        <is>
          <t>https://www.fgf.com.br/noticia/fgf-participa-do-ii-workshop-de-cidades-sede-e-estadios-da-copa-do-mundo-feminina-2027</t>
        </is>
      </c>
      <c r="G236" s="23" t="inlineStr">
        <is>
          <t>Positivo</t>
        </is>
      </c>
      <c r="H236" s="23" t="inlineStr">
        <is>
          <t>Médio</t>
        </is>
      </c>
      <c r="I236" s="23" t="inlineStr">
        <is>
          <t>A delegação gaúcha detalhou sua participação no II Workshop de Cidades-Sede e Estádios da Copa 2027. FIFA e CBF realizaram sessões individuais com as sedes para avaliar o planejamento, mapear iniciativas já executadas e indicar ajustes de infraestrutura; Porto Alegre apresentou seu avanço ao lado do Governo do RS, da FGF e do Internacional, responsável pelo Beira-Rio.</t>
        </is>
      </c>
    </row>
    <row r="237">
      <c r="A237" s="33" t="n">
        <v>46260</v>
      </c>
      <c r="B237" s="23" t="inlineStr">
        <is>
          <t>Recife integrará programa de voluntários da Copa Feminina 2027</t>
        </is>
      </c>
      <c r="C237" s="23" t="inlineStr">
        <is>
          <t>Voluntariado / preparação das cidades-sede / Recife</t>
        </is>
      </c>
      <c r="D237" s="23" t="inlineStr">
        <is>
          <t>Recife/PE</t>
        </is>
      </c>
      <c r="E237" s="23" t="inlineStr">
        <is>
          <t>Folha de Pernambuco</t>
        </is>
      </c>
      <c r="F237" s="23" t="inlineStr">
        <is>
          <t>https://www.folhape.com.br/esportes/copa-feminina-2027-recife-integrara-programa-de-voluntarios/508924/</t>
        </is>
      </c>
      <c r="G237" s="23" t="inlineStr">
        <is>
          <t>Positivo</t>
        </is>
      </c>
      <c r="H237" s="23" t="inlineStr">
        <is>
          <t>Médio</t>
        </is>
      </c>
      <c r="I237" s="23" t="inlineStr">
        <is>
          <t>Recife confirmou participação no programa de voluntários da Copa do Mundo Feminina 2027. A seleção oficial para atuar no Mundial está prevista para começar em setembro, ampliando a preparação operacional e o envolvimento da cidade-sede pernambucana.</t>
        </is>
      </c>
    </row>
    <row r="238">
      <c r="A238" s="33" t="n">
        <v>46260</v>
      </c>
      <c r="B238" s="23" t="inlineStr">
        <is>
          <t>Seleção Brasileira Sub-20 desembarca na Polônia para o Mundial</t>
        </is>
      </c>
      <c r="C238" s="23" t="inlineStr">
        <is>
          <t>Seleções de Base / Sub-20 Feminina</t>
        </is>
      </c>
      <c r="D238" s="23" t="inlineStr">
        <is>
          <t>Bielsko-Biała/POL</t>
        </is>
      </c>
      <c r="E238" s="23" t="inlineStr">
        <is>
          <t>CBF</t>
        </is>
      </c>
      <c r="F238" s="23" t="inlineStr">
        <is>
          <t>https://www.cbf.com.br/selecao-brasileira/noticias/selecao-feminina-sub-20/a/selecao-feminina-sub-20-desembarca-na-polonia-para-disputar-a-copa-do-mundo</t>
        </is>
      </c>
      <c r="G238" s="23" t="inlineStr">
        <is>
          <t>Positivo</t>
        </is>
      </c>
      <c r="H238" s="23" t="inlineStr">
        <is>
          <t>Médio</t>
        </is>
      </c>
      <c r="I238" s="23" t="inlineStr">
        <is>
          <t>A Seleção Brasileira Feminina Sub-20 chegou à Polônia e iniciou a preparação local para a Copa do Mundo da categoria, que começa em 5 de setembro. O Brasil enfrentará Tanzânia, Canadá e Inglaterra na fase de grupos.</t>
        </is>
      </c>
    </row>
    <row r="239">
      <c r="A239" s="33" t="n">
        <v>46260</v>
      </c>
      <c r="B239" s="23" t="inlineStr">
        <is>
          <t>Seleção Feminina Sub-20 inicia adaptação na Polônia após viagem</t>
        </is>
      </c>
      <c r="C239" s="23" t="inlineStr">
        <is>
          <t>Seleções de Base / Sub-20 Feminina / preparação</t>
        </is>
      </c>
      <c r="D239" s="23" t="inlineStr">
        <is>
          <t>Bielsko-Biała/POL</t>
        </is>
      </c>
      <c r="E239" s="23" t="inlineStr">
        <is>
          <t>CBF</t>
        </is>
      </c>
      <c r="F239" s="23" t="inlineStr">
        <is>
          <t>https://www.cbf.com.br/selecao-brasileira/noticias/selecao-feminina-sub-20/a/com-atividades-no-hotel-selecao-feminina-sub-20-comeca-adaptacao-na-polonia</t>
        </is>
      </c>
      <c r="G239" s="23" t="inlineStr">
        <is>
          <t>Positivo</t>
        </is>
      </c>
      <c r="H239" s="23" t="inlineStr">
        <is>
          <t>Médio</t>
        </is>
      </c>
      <c r="I239" s="23" t="inlineStr">
        <is>
          <t>Em novo capítulo da preparação para a Copa do Mundo Feminina Sub-20, a Seleção Brasileira iniciou em Bielsko-Biała atividades leves de adaptação após a viagem à Polônia, com caminhada, mobilidade e recuperação orientadas pela comissão técnica antes dos treinamentos de campo.</t>
        </is>
      </c>
    </row>
    <row r="240">
      <c r="A240" s="33" t="n">
        <v>46260</v>
      </c>
      <c r="B240" s="23" t="inlineStr">
        <is>
          <t>Sportv lança campanha e debate cobertura da Copa 2027 no Festival Feitas de Esporte</t>
        </is>
      </c>
      <c r="C240" s="23" t="inlineStr">
        <is>
          <t>Festival Feitas de Esporte / mídia / ativação / Copa Feminina 2027</t>
        </is>
      </c>
      <c r="D240" s="23" t="inlineStr">
        <is>
          <t>São Paulo/SP</t>
        </is>
      </c>
      <c r="E240" s="23" t="inlineStr">
        <is>
          <t>Meio &amp; Mensagem</t>
        </is>
      </c>
      <c r="F240" s="23" t="inlineStr">
        <is>
          <t>https://www.meioemensagem.com.br/midia/sportv-faz-evento-para-celebrar-protagonismo-feminino</t>
        </is>
      </c>
      <c r="G240" s="23" t="inlineStr">
        <is>
          <t>Positivo</t>
        </is>
      </c>
      <c r="H240" s="23" t="inlineStr">
        <is>
          <t>Médio</t>
        </is>
      </c>
      <c r="I240" s="23" t="inlineStr">
        <is>
          <t>O Sportv anunciou o Festival Feitas de Esporte para 30/08 na Nossa Arena, em São Paulo, com atividades esportivas, lançamento de campanha sobre futebol feminino e debate específico sobre a cobertura do canal para a Copa do Mundo Feminina 2027. O evento relacionado reúne Alline Calandrini, Júlia Vergueiro e convidados e também marca a entrega de novos vestiários.</t>
        </is>
      </c>
    </row>
    <row r="241">
      <c r="A241" s="33" t="n">
        <v>46260</v>
      </c>
      <c r="B241" s="23" t="inlineStr">
        <is>
          <t>UEFA deve retirar ameaça de boicote antes do Mundial Feminino Sub-20</t>
        </is>
      </c>
      <c r="C241" s="23" t="inlineStr">
        <is>
          <t>Seleções de Base / Sub-20 Feminina / governança FIFA</t>
        </is>
      </c>
      <c r="D241" s="23" t="inlineStr">
        <is>
          <t>Internacional</t>
        </is>
      </c>
      <c r="E241" s="23" t="inlineStr">
        <is>
          <t>Folha de S.Paulo / AFP</t>
        </is>
      </c>
      <c r="F241" s="23" t="inlineStr">
        <is>
          <t>https://www1.folha.uol.com.br/esporte/2026/08/uefa-deve-retirar-ameaca-de-boicote-a-torneios-da-fifa.shtml</t>
        </is>
      </c>
      <c r="G241" s="23" t="inlineStr">
        <is>
          <t>Neutro</t>
        </is>
      </c>
      <c r="H241" s="23" t="inlineStr">
        <is>
          <t>Alto</t>
        </is>
      </c>
      <c r="I241" s="23" t="inlineStr">
        <is>
          <t>A UEFA deve retirar a ameaça de boicote às competições da FIFA antes da Copa do Mundo Feminina Sub-20 de 2026 na Polônia, torneio que contará com a Seleção Brasileira. O desdobramento reduz a incerteza institucional às vésperas da estreia do Brasil em 5 de setembro.</t>
        </is>
      </c>
    </row>
    <row r="242">
      <c r="A242" s="33" t="n">
        <v>46259</v>
      </c>
      <c r="B242" s="23" t="inlineStr">
        <is>
          <t>Acarajé é autorizado dentro da Arena Fonte Nova durante a Copa Feminina 2027</t>
        </is>
      </c>
      <c r="C242" s="23" t="inlineStr">
        <is>
          <t>Cultura / turismo / alimentação / Salvador</t>
        </is>
      </c>
      <c r="D242" s="23" t="inlineStr">
        <is>
          <t>Salvador/BA</t>
        </is>
      </c>
      <c r="E242" s="23" t="inlineStr">
        <is>
          <t>A TARDE</t>
        </is>
      </c>
      <c r="F242" s="23" t="inlineStr">
        <is>
          <t>https://atarde.com.br/bahia/copa-feminina-2027-tera-acaraje-dentro-da-arena-fonte-nova-1399762</t>
        </is>
      </c>
      <c r="G242" s="23" t="inlineStr">
        <is>
          <t>Positivo</t>
        </is>
      </c>
      <c r="H242" s="23" t="inlineStr">
        <is>
          <t>Médio</t>
        </is>
      </c>
      <c r="I242" s="23" t="inlineStr">
        <is>
          <t>Após articulação do Governo da Bahia, GECOPA, Prefeitura de Salvador e Arena Fonte Nova, as baianas de acarajé foram autorizadas a vender o produto dentro do estádio durante os jogos da Copa Feminina 2027. A decisão integra a estratégia de legado cultural e promoção turística da sede baiana.</t>
        </is>
      </c>
    </row>
    <row r="243">
      <c r="A243" s="33" t="n">
        <v>46259</v>
      </c>
      <c r="B243" s="23" t="inlineStr">
        <is>
          <t>Boicote europeu e meta de premiação pressionam o sorteio da Copa Feminina 2027</t>
        </is>
      </c>
      <c r="C243" s="23" t="inlineStr">
        <is>
          <t>Sorteio / governança / premiação / EVT-0010</t>
        </is>
      </c>
      <c r="D243" s="23" t="inlineStr">
        <is>
          <t>Rio de Janeiro/RJ</t>
        </is>
      </c>
      <c r="E243" s="23" t="inlineStr">
        <is>
          <t>Máquina do Esporte</t>
        </is>
      </c>
      <c r="F243" s="23" t="inlineStr">
        <is>
          <t>https://maquinadoesporte.com.br/copa-mundo-feminina-2027/boicote-da-uefa-e-premios-em-dinheiro-marcam-sorteio-da-copa-do-mundo-feminina-2027-no-rio/</t>
        </is>
      </c>
      <c r="G243" s="23" t="inlineStr">
        <is>
          <t>Neutro</t>
        </is>
      </c>
      <c r="H243" s="23" t="inlineStr">
        <is>
          <t>Alto</t>
        </is>
      </c>
      <c r="I243" s="23" t="inlineStr">
        <is>
          <t>Em novo desdobramento do sorteio dos grupos (EVT-0010), a FIFA enfrenta ameaça de boicote de países da Uefa e projeta US$ 1 bilhão em receita para a Copa Feminina 2027. Gianni Infantino também prometeu equiparar a premiação do torneio no Brasil à da Copa Masculina de 2026, embora o valor ainda não tenha sido anunciado.</t>
        </is>
      </c>
    </row>
    <row r="244">
      <c r="A244" s="33" t="n">
        <v>46259</v>
      </c>
      <c r="B244" s="23" t="inlineStr">
        <is>
          <t>Conmebol ajusta calendário continental de 2027 para a pausa da Copa Feminina</t>
        </is>
      </c>
      <c r="C244" s="23" t="inlineStr">
        <is>
          <t>Calendário continental / clubes / organização</t>
        </is>
      </c>
      <c r="D244" s="23" t="inlineStr">
        <is>
          <t>América do Sul / Brasil</t>
        </is>
      </c>
      <c r="E244" s="23" t="inlineStr">
        <is>
          <t>ge</t>
        </is>
      </c>
      <c r="F244" s="23" t="inlineStr">
        <is>
          <t>https://ge.globo.com/rs/futebol/noticia/2026/08/25/conmebol-divulga-calendario-de-2027-com-paralisacao-para-copa-do-mundo-feminina.ghtml</t>
        </is>
      </c>
      <c r="G244" s="23" t="inlineStr">
        <is>
          <t>Neutro</t>
        </is>
      </c>
      <c r="H244" s="23" t="inlineStr">
        <is>
          <t>Alto</t>
        </is>
      </c>
      <c r="I244" s="23" t="inlineStr">
        <is>
          <t>A Conmebol divulgou o calendário de Libertadores, Sul-Americana e Recopa de 2027 já considerando a paralisação durante a Copa do Mundo Feminina no Brasil. A decisão amplia para as competições continentais o ajuste de calendário que afeta os clubes brasileiros e reduz conflitos durante o Mundial.</t>
        </is>
      </c>
    </row>
    <row r="245">
      <c r="A245" s="33" t="n">
        <v>46259</v>
      </c>
      <c r="B245" s="23" t="inlineStr">
        <is>
          <t>FIFA projeta Copa Feminina 2027 como primeira edição lucrativa da história</t>
        </is>
      </c>
      <c r="C245" s="23" t="inlineStr">
        <is>
          <t>Negócios / audiência / patrocínios</t>
        </is>
      </c>
      <c r="D245" s="23" t="inlineStr">
        <is>
          <t>Brasil</t>
        </is>
      </c>
      <c r="E245" s="23" t="inlineStr">
        <is>
          <t>MKT Esportivo</t>
        </is>
      </c>
      <c r="F245" s="23" t="inlineStr">
        <is>
          <t>https://www.mktesportivo.com/2026/08/copa-do-mundo-2027-chega-ao-brasil-com-meta-de-lucro-e-maior-interesse-comercial/</t>
        </is>
      </c>
      <c r="G245" s="23" t="inlineStr">
        <is>
          <t>Positivo</t>
        </is>
      </c>
      <c r="H245" s="23" t="inlineStr">
        <is>
          <t>Alto</t>
        </is>
      </c>
      <c r="I245" s="23" t="inlineStr">
        <is>
          <t>Em entrevista, Gal Barradas, executiva da FIFA para receitas, marketing e inteligência de negócios da Copa Feminina 2027, afirmou que a entidade projeta a primeira edição lucrativa da história do torneio. O mercado brasileiro, o fuso favorável à audiência internacional e o interesse de marcas sustentam a expectativa comercial.</t>
        </is>
      </c>
    </row>
    <row r="246">
      <c r="A246" s="33" t="n">
        <v>46259</v>
      </c>
      <c r="B246" s="23" t="inlineStr">
        <is>
          <t>Porto Alegre busca amistoso da Seleção antes da Copa Feminina 2027</t>
        </is>
      </c>
      <c r="C246" s="23" t="inlineStr">
        <is>
          <t>Seleção Brasileira / preparação / Porto Alegre</t>
        </is>
      </c>
      <c r="D246" s="23" t="inlineStr">
        <is>
          <t>Porto Alegre/RS</t>
        </is>
      </c>
      <c r="E246" s="23" t="inlineStr">
        <is>
          <t>GZH</t>
        </is>
      </c>
      <c r="F246" s="23" t="inlineStr">
        <is>
          <t>https://gauchazh.clicrbs.com.br/esportes/futebol-feminino/noticia/2026/08/uma-das-sedes-da-copa-do-mundo-feminina-de-2027-porto-alegre-ainda-sonha-com-primeiro-jogo-da-selecao-brasileira-cmt7r6ipv00br015gysntaz4r.html</t>
        </is>
      </c>
      <c r="G246" s="23" t="inlineStr">
        <is>
          <t>Neutro</t>
        </is>
      </c>
      <c r="H246" s="23" t="inlineStr">
        <is>
          <t>Médio</t>
        </is>
      </c>
      <c r="I246" s="23" t="inlineStr">
        <is>
          <t>Sem jogos do Brasil previstos no Beira-Rio durante a Copa Feminina 2027, Porto Alegre tenta receber pela primeira vez a Seleção Feminina em um amistoso preparatório. A CBF confirmou que a capital nunca sediou partida da equipe, e ainda há cinco janelas internacionais antes do Mundial.</t>
        </is>
      </c>
    </row>
    <row r="247">
      <c r="A247" s="33" t="n">
        <v>46258</v>
      </c>
      <c r="B247" s="23" t="inlineStr">
        <is>
          <t>CBF ajusta calendário para preservar mandos dos clubes durante a Copa 2027</t>
        </is>
      </c>
      <c r="C247" s="23" t="inlineStr">
        <is>
          <t>Calendário / estádios / EVT-0077</t>
        </is>
      </c>
      <c r="D247" s="23" t="inlineStr">
        <is>
          <t>Brasil</t>
        </is>
      </c>
      <c r="E247" s="23" t="inlineStr">
        <is>
          <t>UOL</t>
        </is>
      </c>
      <c r="F247" s="23" t="inlineStr">
        <is>
          <t>https://www.uol.com.br/esporte/futebol/ultimas-noticias/2026/08/24/cbf-garante-solucao-para-clubes-nao-perderem-mandos-na-copa-feminina.ghtm</t>
        </is>
      </c>
      <c r="G247" s="23" t="inlineStr">
        <is>
          <t>Positivo</t>
        </is>
      </c>
      <c r="H247" s="23" t="inlineStr">
        <is>
          <t>Alto</t>
        </is>
      </c>
      <c r="I247" s="23" t="inlineStr">
        <is>
          <t>Em desdobramento do período de uso exclusivo dos estádios — incluindo o início da entrega do Maracanã em 10/06/2027, registrado no EVT-0077 — a CBF trabalha para acomodar no calendário os 14 dias anteriores à Copa Feminina 2027 e evitar que clubes percam mandos, receitas ou precisem atuar longe de casa.</t>
        </is>
      </c>
    </row>
    <row r="248">
      <c r="A248" s="33" t="n">
        <v>46258</v>
      </c>
      <c r="B248" s="23" t="inlineStr">
        <is>
          <t>CBF reúne cidades-sede para alinhar operação da Copa Feminina 2027</t>
        </is>
      </c>
      <c r="C248" s="23" t="inlineStr">
        <is>
          <t>II Workshop de Cidades-Sede / planejamento / EVT-0023</t>
        </is>
      </c>
      <c r="D248" s="23" t="inlineStr">
        <is>
          <t>Rio de Janeiro/RJ</t>
        </is>
      </c>
      <c r="E248" s="23" t="inlineStr">
        <is>
          <t>CBF</t>
        </is>
      </c>
      <c r="F248" s="23" t="inlineStr">
        <is>
          <t>https://www.cbf.com.br/a-cbf/noticias/por-dentro-cbf-noticias/a/rio-sedia-ii-workshop-de-cidades-sede-e-estadios-da-copa-do-mundo-feminina-da-fifa-2027</t>
        </is>
      </c>
      <c r="G248" s="23" t="inlineStr">
        <is>
          <t>Positivo</t>
        </is>
      </c>
      <c r="H248" s="23" t="inlineStr">
        <is>
          <t>Médio</t>
        </is>
      </c>
      <c r="I248" s="23" t="inlineStr">
        <is>
          <t>A CBF confirmou a realização do II Workshop de Cidades-Sede e Estádios (EVT-0023), de 24 a 26 de agosto no Rio, reunindo FIFA, CBF, governos e representantes das oito sedes para alinhar temas operacionais, infraestrutura e preparação do Mundial.</t>
        </is>
      </c>
    </row>
    <row r="249">
      <c r="A249" s="33" t="n">
        <v>46258</v>
      </c>
      <c r="B249" s="23" t="inlineStr">
        <is>
          <t>Elas Jogam Summit defende legado social, turístico e econômico para a Copa 2027</t>
        </is>
      </c>
      <c r="C249" s="23" t="inlineStr">
        <is>
          <t>Elas Jogam Summit / legado / EVT-0021</t>
        </is>
      </c>
      <c r="D249" s="23" t="inlineStr">
        <is>
          <t>São Paulo/SP</t>
        </is>
      </c>
      <c r="E249" s="23" t="inlineStr">
        <is>
          <t>TV Brasil</t>
        </is>
      </c>
      <c r="F249" s="23" t="inlineStr">
        <is>
          <t>https://tvbrasil.ebc.com.br/reporter-brasil-tarde/2026/08/museu-do-futebol-sedia-evento-sobre-legado-da-copa-feminina-de-futebol</t>
        </is>
      </c>
      <c r="G249" s="23" t="inlineStr">
        <is>
          <t>Positivo</t>
        </is>
      </c>
      <c r="H249" s="23" t="inlineStr">
        <is>
          <t>Médio</t>
        </is>
      </c>
      <c r="I249" s="23" t="inlineStr">
        <is>
          <t>A cobertura pós-evento do Elas Jogam Summit (EVT-0021) destacou a defesa de um legado social, turístico e econômico duradouro para a Copa Feminina 2027, com estruturação da base e fortalecimento do futebol feminino profissional.</t>
        </is>
      </c>
    </row>
    <row r="250">
      <c r="A250" s="33" t="n">
        <v>46258</v>
      </c>
      <c r="B250" s="23" t="inlineStr">
        <is>
          <t>Fortaleza projeta aumento do turismo e da demanda por serviços com a Copa 2027</t>
        </is>
      </c>
      <c r="C250" s="23" t="inlineStr">
        <is>
          <t>Turismo / hotelaria / economia local</t>
        </is>
      </c>
      <c r="D250" s="23" t="inlineStr">
        <is>
          <t>Fortaleza/CE</t>
        </is>
      </c>
      <c r="E250" s="23" t="inlineStr">
        <is>
          <t>TurisNews</t>
        </is>
      </c>
      <c r="F250" s="23" t="inlineStr">
        <is>
          <t>https://turisnews.com.br/fortaleza-projeta-alta-no-turismo-com-a-copa-feminina-2027/</t>
        </is>
      </c>
      <c r="G250" s="23" t="inlineStr">
        <is>
          <t>Positivo</t>
        </is>
      </c>
      <c r="H250" s="23" t="inlineStr">
        <is>
          <t>Médio</t>
        </is>
      </c>
      <c r="I250" s="23" t="inlineStr">
        <is>
          <t>Com nove jogos previstos no Castelão, Fortaleza projeta aumento da demanda por hotelaria, gastronomia, transporte, comércio e serviços durante a Copa Feminina 2027. A cidade recebeu 2,24 milhões de turistas no primeiro semestre de 2026, e o Visite Ceará já mapeou a rede hoteleira segundo os critérios da FIFA.</t>
        </is>
      </c>
    </row>
    <row r="251">
      <c r="A251" s="33" t="n">
        <v>46258</v>
      </c>
      <c r="B251" s="23" t="inlineStr">
        <is>
          <t>Sebrae e Sesporte articulam programa de sustentabilidade para o Castelão na Copa 2027</t>
        </is>
      </c>
      <c r="C251" s="23" t="inlineStr">
        <is>
          <t>Sustentabilidade / Fortaleza</t>
        </is>
      </c>
      <c r="D251" s="23" t="inlineStr">
        <is>
          <t>Fortaleza/CE</t>
        </is>
      </c>
      <c r="E251" s="23" t="inlineStr">
        <is>
          <t>Agência Sebrae de Notícias</t>
        </is>
      </c>
      <c r="F251" s="23" t="inlineStr">
        <is>
          <t>https://ce.agenciasebrae.com.br/cultura-empreendedora/sebrae-ce-e-sesporte-discutem-acoes-na-area-da-sustentabilidade/</t>
        </is>
      </c>
      <c r="G251" s="23" t="inlineStr">
        <is>
          <t>Positivo</t>
        </is>
      </c>
      <c r="H251" s="23" t="inlineStr">
        <is>
          <t>Médio</t>
        </is>
      </c>
      <c r="I251" s="23" t="inlineStr">
        <is>
          <t>Sebrae/CE e Secretaria do Esporte do Ceará iniciaram diálogo para implementar o programa de sustentabilidade e responsabilidade social exigido pela FIFA na Arena Castelão, sede da Copa Feminina 2027, com participação da comunidade e dos pequenos negócios do entorno.</t>
        </is>
      </c>
    </row>
    <row r="252">
      <c r="A252" s="33" t="n">
        <v>46258</v>
      </c>
      <c r="B252" s="23" t="inlineStr">
        <is>
          <t>Sorteio da Copa Feminina 2027 será em 11 de dezembro no MAM Rio</t>
        </is>
      </c>
      <c r="C252" s="23" t="inlineStr">
        <is>
          <t>Sorteio / calendário / EVT-0010</t>
        </is>
      </c>
      <c r="D252" s="23" t="inlineStr">
        <is>
          <t>Rio de Janeiro/RJ</t>
        </is>
      </c>
      <c r="E252" s="23" t="inlineStr">
        <is>
          <t>UOL</t>
        </is>
      </c>
      <c r="F252" s="23" t="inlineStr">
        <is>
          <t>https://www.uol.com.br/esporte/futebol/ultimas-noticias/2026/08/24/sorteio-da-copa-do-mundo-feminina-2027-sera-em-11-de-dezembro-no-mam-rio.ghtm</t>
        </is>
      </c>
      <c r="G252" s="23" t="inlineStr">
        <is>
          <t>Positivo</t>
        </is>
      </c>
      <c r="H252" s="23" t="inlineStr">
        <is>
          <t>Alto</t>
        </is>
      </c>
      <c r="I252" s="23" t="inlineStr">
        <is>
          <t>A FIFA confirmou que o sorteio final dos grupos da Copa Feminina 2027 será realizado em 11/12/2026 no Museu de Arte Moderna do Rio. O anúncio atualiza o EVT-0010 e antecipa um evento para mais de mil convidados, que definirá os grupos e o caminho das 32 seleções.</t>
        </is>
      </c>
    </row>
    <row r="253">
      <c r="A253" s="33" t="n">
        <v>46257</v>
      </c>
      <c r="B253" s="23" t="inlineStr">
        <is>
          <t>Coca-Cola confirma patrocínio e prepara presença de peso na Copa Feminina 2027</t>
        </is>
      </c>
      <c r="C253" s="23" t="inlineStr">
        <is>
          <t>Patrocínio / negócios</t>
        </is>
      </c>
      <c r="D253" s="23" t="inlineStr">
        <is>
          <t>Brasil</t>
        </is>
      </c>
      <c r="E253" s="23" t="inlineStr">
        <is>
          <t>Exame</t>
        </is>
      </c>
      <c r="F253" s="23" t="inlineStr">
        <is>
          <t>https://exame.com/negocios/vamos-patrocinar-a-copa-do-mundo-feminina-2027-diz-presidente-da-coca-cola-brasil/</t>
        </is>
      </c>
      <c r="G253" s="23" t="inlineStr">
        <is>
          <t>Positivo</t>
        </is>
      </c>
      <c r="H253" s="23" t="inlineStr">
        <is>
          <t>Alto</t>
        </is>
      </c>
      <c r="I253" s="23" t="inlineStr">
        <is>
          <t>A presidente da Coca-Cola Brasil confirmou que a companhia patrocinará a Copa do Mundo Feminina 2027 no Brasil e pretende ter presença comparável à adotada no Mundial masculino. A empresa prepara ativações para o torneio e ampliou sua atuação no futebol nacional por meio de novos acordos com a CBF.</t>
        </is>
      </c>
    </row>
    <row r="254">
      <c r="A254" s="33" t="n">
        <v>46257</v>
      </c>
      <c r="B254" s="23" t="inlineStr">
        <is>
          <t>Rio envia à Alerj projeto de isenção de ICMS para a Copa Feminina 2027</t>
        </is>
      </c>
      <c r="C254" s="23" t="inlineStr">
        <is>
          <t>Tributação / organização / políticas públicas</t>
        </is>
      </c>
      <c r="D254" s="23" t="inlineStr">
        <is>
          <t>Rio de Janeiro/RJ</t>
        </is>
      </c>
      <c r="E254" s="23" t="inlineStr">
        <is>
          <t>Governo do Estado do Rio de Janeiro</t>
        </is>
      </c>
      <c r="F254" s="23" t="inlineStr">
        <is>
          <t>https://www.rj.gov.br/radioroquettepinto/node/20221</t>
        </is>
      </c>
      <c r="G254" s="23" t="inlineStr">
        <is>
          <t>Positivo</t>
        </is>
      </c>
      <c r="H254" s="23" t="inlineStr">
        <is>
          <t>Alto</t>
        </is>
      </c>
      <c r="I254" s="23" t="inlineStr">
        <is>
          <t>O Governo do Rio encaminhou à Alerj projeto para incorporar à legislação estadual a isenção e a suspensão de ICMS previstas pelo Confaz em operações e prestações ligadas à organização da Copa Feminina 2027. A proposta, protocolada em 21/08, busca viabilizar a desoneração tributária das atividades do torneio no estado.</t>
        </is>
      </c>
    </row>
    <row r="255">
      <c r="A255" s="33" t="n">
        <v>46256</v>
      </c>
      <c r="B255" s="23" t="inlineStr">
        <is>
          <t>Copa Salvador Interbairros amplia participação feminina e premia campeãs com R$ 40 mil</t>
        </is>
      </c>
      <c r="C255" s="23" t="inlineStr">
        <is>
          <t>Copa Salvador Interbairros / legado / EVT-0064</t>
        </is>
      </c>
      <c r="D255" s="23" t="inlineStr">
        <is>
          <t>Salvador/BA</t>
        </is>
      </c>
      <c r="E255" s="23" t="inlineStr">
        <is>
          <t>Correio</t>
        </is>
      </c>
      <c r="F255" s="23" t="inlineStr">
        <is>
          <t>https://www.correio24horas.com.br/salvador/copa-salvador-interbairros-2026-tera-r-40-mil-para-campeoes-e-comeca-dia-30-veja-novidades-0826</t>
        </is>
      </c>
      <c r="G255" s="23" t="inlineStr">
        <is>
          <t>Positivo</t>
        </is>
      </c>
      <c r="H255" s="23" t="inlineStr">
        <is>
          <t>Médio</t>
        </is>
      </c>
      <c r="I255" s="23" t="inlineStr">
        <is>
          <t>A Copa Salvador Interbairros (EVT-0064) reunirá cerca de 1,2 mil atletas, incluindo dez equipes femininas, e distribuirá R$ 40 mil aos campeões das categorias Livre masculina e feminina. A Prefeitura apresenta a competição como legado comunitário para a Copa 2027.</t>
        </is>
      </c>
    </row>
    <row r="256">
      <c r="A256" s="33" t="n">
        <v>46255</v>
      </c>
      <c r="B256" s="23" t="inlineStr">
        <is>
          <t>Elas Jogam Summit reúne atletas e especialistas para discutir o legado da Copa 2027</t>
        </is>
      </c>
      <c r="C256" s="23" t="inlineStr">
        <is>
          <t>Elas Jogam Summit / legado</t>
        </is>
      </c>
      <c r="D256" s="23" t="inlineStr">
        <is>
          <t>São Paulo/SP</t>
        </is>
      </c>
      <c r="E256" s="23" t="inlineStr">
        <is>
          <t>Folha de S.Paulo</t>
        </is>
      </c>
      <c r="F256" s="23" t="inlineStr">
        <is>
          <t>https://www1.folha.uol.com.br/colunas/monicabergamo/2026/08/tamires-fala-sobre-copa-do-mundo-feminina-de-2027-no-museu-do-futebol.shtml</t>
        </is>
      </c>
      <c r="G256" s="23" t="inlineStr">
        <is>
          <t>Positivo</t>
        </is>
      </c>
      <c r="H256" s="23" t="inlineStr">
        <is>
          <t>Médio</t>
        </is>
      </c>
      <c r="I256" s="23" t="inlineStr">
        <is>
          <t>A cobertura antecipou o Elas Jogam Summit no Museu do Futebol, destacando debates sobre formação, comunicação, mercado, investimento, memória e transformação social como parte do legado da Copa Feminina 2027, além de uma oficina para meninas da periferia de São Paulo.</t>
        </is>
      </c>
    </row>
    <row r="257">
      <c r="A257" s="33" t="n">
        <v>46254</v>
      </c>
      <c r="B257" s="23" t="inlineStr">
        <is>
          <t>Arthur Elias diz que Seleção está 70% definida e vê vantagem na abertura no Maracanã</t>
        </is>
      </c>
      <c r="C257" s="23" t="inlineStr">
        <is>
          <t>Seleção Brasileira / preparação</t>
        </is>
      </c>
      <c r="D257" s="23" t="inlineStr">
        <is>
          <t>Brasil</t>
        </is>
      </c>
      <c r="E257" s="23" t="inlineStr">
        <is>
          <t>ge</t>
        </is>
      </c>
      <c r="F257" s="23" t="inlineStr">
        <is>
          <t>https://ge.globo.com/futebol/futebol-internacional/noticia/2026/08/20/arthur-elias-diz-que-selecao-esta-70percent-fechada-para-a-copa-e-que-marta-tem-ano-desafiador.ghtml</t>
        </is>
      </c>
      <c r="G257" s="23" t="inlineStr">
        <is>
          <t>Positivo</t>
        </is>
      </c>
      <c r="H257" s="23" t="inlineStr">
        <is>
          <t>Médio</t>
        </is>
      </c>
      <c r="I257" s="23" t="inlineStr">
        <is>
          <t>Após a divulgação da tabela da Copa Feminina 2027, o técnico Arthur Elias afirmou que cerca de 70% do grupo da Seleção está definido, manteve Marta nos planos e avaliou que abrir o torneio no Maracanã representa vantagem para o Brasil.</t>
        </is>
      </c>
    </row>
    <row r="258">
      <c r="A258" s="33" t="n">
        <v>46254</v>
      </c>
      <c r="B258" s="23" t="inlineStr">
        <is>
          <t>FIFA abre cadastro de interesse para ingressos da Copa Feminina 2027</t>
        </is>
      </c>
      <c r="C258" s="23" t="inlineStr">
        <is>
          <t>Ingressos / relacionamento</t>
        </is>
      </c>
      <c r="D258" s="23" t="inlineStr">
        <is>
          <t>Brasil</t>
        </is>
      </c>
      <c r="E258" s="23" t="inlineStr">
        <is>
          <t>UOL</t>
        </is>
      </c>
      <c r="F258" s="23" t="inlineStr">
        <is>
          <t>https://www.uol.com.br/esporte/futebol/ultimas-noticias/2026/08/20/copa-2027-venda-de-ingressos-ainda-nao-comecou-como-registrar-interesse.ghtm</t>
        </is>
      </c>
      <c r="G258" s="23" t="inlineStr">
        <is>
          <t>Neutro</t>
        </is>
      </c>
      <c r="H258" s="23" t="inlineStr">
        <is>
          <t>Médio</t>
        </is>
      </c>
      <c r="I258" s="23" t="inlineStr">
        <is>
          <t>A venda de ingressos ainda não começou e não há data oficial de abertura; torcedores já podem registrar interesse no portal da FIFA para receber atualizações.</t>
        </is>
      </c>
    </row>
    <row r="259">
      <c r="A259" s="33" t="n">
        <v>46254</v>
      </c>
      <c r="B259" s="23" t="inlineStr">
        <is>
          <t>FIFA divulga tabela-base da Copa 2027 e confirma Maracanã na abertura e final</t>
        </is>
      </c>
      <c r="C259" s="23" t="inlineStr">
        <is>
          <t>Calendário / sedes</t>
        </is>
      </c>
      <c r="D259" s="23" t="inlineStr">
        <is>
          <t>Brasil</t>
        </is>
      </c>
      <c r="E259" s="23" t="inlineStr">
        <is>
          <t>FIFA</t>
        </is>
      </c>
      <c r="F259" s="23" t="inlineStr">
        <is>
          <t>https://www.fifa.com/pt/articles/tabela-jogos-copa-feminina-divulgacao-maracana-final-abertura</t>
        </is>
      </c>
      <c r="G259" s="23" t="inlineStr">
        <is>
          <t>Positivo</t>
        </is>
      </c>
      <c r="H259" s="23" t="inlineStr">
        <is>
          <t>Alto</t>
        </is>
      </c>
      <c r="I259" s="23" t="inlineStr">
        <is>
          <t>Tabela-base confirma 64 jogos entre 24/06 e 25/07/2027, abertura e final no Maracanã e partidas do Brasil no Rio, em São Paulo e em Brasília.</t>
        </is>
      </c>
    </row>
    <row r="260">
      <c r="A260" s="33" t="n">
        <v>46254</v>
      </c>
      <c r="B260" s="23" t="inlineStr">
        <is>
          <t>Governo prevê aporte mínimo de R$ 1,5 bilhão para organizar a Copa Feminina 2027</t>
        </is>
      </c>
      <c r="C260" s="23" t="inlineStr">
        <is>
          <t>Investimentos públicos / segurança / infraestrutura</t>
        </is>
      </c>
      <c r="D260" s="23" t="inlineStr">
        <is>
          <t>Brasil</t>
        </is>
      </c>
      <c r="E260" s="23" t="inlineStr">
        <is>
          <t>Folha de S.Paulo</t>
        </is>
      </c>
      <c r="F260" s="23" t="inlineStr">
        <is>
          <t>https://www1.folha.uol.com.br/esporte/2026/08/brasil-joga-na-fase-de-grupos-da-copa-feminina-em-sao-paulo-rio-e-brasilia.shtml</t>
        </is>
      </c>
      <c r="G260" s="23" t="inlineStr">
        <is>
          <t>Neutro</t>
        </is>
      </c>
      <c r="H260" s="23" t="inlineStr">
        <is>
          <t>Alto</t>
        </is>
      </c>
      <c r="I260" s="23" t="inlineStr">
        <is>
          <t>Ao detalhar o calendário e o caminho da Seleção na Copa Feminina 2027, a Folha informou que o governo federal estima aporte mínimo de R$ 1,5 bilhão. Os recursos devem atender segurança pública, telecomunicações, promoção do torneio e construção do legado nas oito cidades-sede.</t>
        </is>
      </c>
    </row>
    <row r="261">
      <c r="A261" s="33" t="n">
        <v>46254</v>
      </c>
      <c r="B261" s="23" t="inlineStr">
        <is>
          <t>Sorteio define caminhos da fase preliminar da repescagem mundial</t>
        </is>
      </c>
      <c r="C261" s="23" t="inlineStr">
        <is>
          <t>Repescagem / sorteio</t>
        </is>
      </c>
      <c r="D261" s="23" t="inlineStr">
        <is>
          <t>Brasil</t>
        </is>
      </c>
      <c r="E261" s="23" t="inlineStr">
        <is>
          <t>FIFA</t>
        </is>
      </c>
      <c r="F261" s="23" t="inlineStr">
        <is>
          <t>https://www.fifa.com/pt/tournaments/womens/womensworldcup/brazil-2027/articles/resultados-sorteio-fase-preliminar-torneio-classificatorio-fifa-brasil-2027</t>
        </is>
      </c>
      <c r="G261" s="23" t="inlineStr">
        <is>
          <t>Neutro</t>
        </is>
      </c>
      <c r="H261" s="23" t="inlineStr">
        <is>
          <t>Alto</t>
        </is>
      </c>
      <c r="I261" s="23" t="inlineStr">
        <is>
          <t>FIFA definiu a ordem dos confrontos entre Uzbequistão, África do Sul, Papua-Nova Guiné, Taipé Chinês, Gana e Equador; a fase será disputada de 24/11 a 05/12/2026.</t>
        </is>
      </c>
    </row>
    <row r="262">
      <c r="A262" s="33" t="n">
        <v>46253</v>
      </c>
      <c r="B262" s="23" t="inlineStr">
        <is>
          <t>Brasil confirma convocadas para a Copa do Mundo Feminina Sub-20</t>
        </is>
      </c>
      <c r="C262" s="23" t="inlineStr">
        <is>
          <t>Seleções de Base / Sub-20 Feminina</t>
        </is>
      </c>
      <c r="D262" s="23" t="inlineStr">
        <is>
          <t>Brasil / Polônia</t>
        </is>
      </c>
      <c r="E262" s="23" t="inlineStr">
        <is>
          <t>FIFA</t>
        </is>
      </c>
      <c r="F262" s="23" t="inlineStr">
        <is>
          <t>https://www.fifa.com/pt/articles/brasil-convocadas-copa-do-mundo-feminina-sub-20-2026</t>
        </is>
      </c>
      <c r="G262" s="23" t="inlineStr">
        <is>
          <t>Positivo</t>
        </is>
      </c>
      <c r="H262" s="23" t="inlineStr">
        <is>
          <t>Médio</t>
        </is>
      </c>
      <c r="I262" s="23" t="inlineStr">
        <is>
          <t>A lista brasileira para o Mundial Feminino Sub-20 de 2026 foi confirmada. A equipe de Camilla Orlando se apresenta antes do embarque e estreia contra a Tanzânia em 5 de setembro, seguida por Canadá e Inglaterra.</t>
        </is>
      </c>
    </row>
    <row r="263">
      <c r="A263" s="33" t="n">
        <v>46253</v>
      </c>
      <c r="B263" s="23" t="inlineStr">
        <is>
          <t>CNE limita férias escolares da Copa Feminina 2027 às cidades-sede e vizinhas</t>
        </is>
      </c>
      <c r="C263" s="23" t="inlineStr">
        <is>
          <t>Políticas públicas / educação</t>
        </is>
      </c>
      <c r="D263" s="23" t="inlineStr">
        <is>
          <t>Brasil</t>
        </is>
      </c>
      <c r="E263" s="23" t="inlineStr">
        <is>
          <t>UOL</t>
        </is>
      </c>
      <c r="F263" s="23" t="inlineStr">
        <is>
          <t>https://educacao.uol.com.br/noticias/2026/08/19/conselho-ferias-copa-do-mundo-futebol-feminina.ghtm</t>
        </is>
      </c>
      <c r="G263" s="23" t="inlineStr">
        <is>
          <t>Neutro</t>
        </is>
      </c>
      <c r="H263" s="23" t="inlineStr">
        <is>
          <t>Alto</t>
        </is>
      </c>
      <c r="I263" s="23" t="inlineStr">
        <is>
          <t>O Conselho Nacional de Educação decidiu que a obrigação de férias durante a Copa Feminina 2027 deve alcançar somente as oito cidades-sede e municípios vizinhos; o parecer ainda depende de homologação do Ministério da Educação e afeta o planejamento do ano letivo.</t>
        </is>
      </c>
    </row>
    <row r="264">
      <c r="A264" s="33" t="n">
        <v>46253</v>
      </c>
      <c r="B264" s="23" t="inlineStr">
        <is>
          <t>Supermercados entram no planejamento comercial para a Copa Feminina 2027</t>
        </is>
      </c>
      <c r="C264" s="23" t="inlineStr">
        <is>
          <t>Varejo / consumo / oportunidades comerciais</t>
        </is>
      </c>
      <c r="D264" s="23" t="inlineStr">
        <is>
          <t>Brasil</t>
        </is>
      </c>
      <c r="E264" s="23" t="inlineStr">
        <is>
          <t>Revista Super Negócios / ASSERJ</t>
        </is>
      </c>
      <c r="F264" s="23" t="inlineStr">
        <is>
          <t>https://asserj.com.br/en/w/copa-do-mundo-feminina-entra-no-radar-dos-supermercados</t>
        </is>
      </c>
      <c r="G264" s="23" t="inlineStr">
        <is>
          <t>Positivo</t>
        </is>
      </c>
      <c r="H264" s="23" t="inlineStr">
        <is>
          <t>Médio</t>
        </is>
      </c>
      <c r="I264" s="23" t="inlineStr">
        <is>
          <t>A Associação de Supermercados do Estado do Rio de Janeiro aponta a Copa Feminina 2027 como oportunidade para o varejo alimentar, com foco no consumo doméstico e familiar, cestas mais diversificadas e ativações comerciais. A análise cita 750 mil interessados em ingressos e a projeção de R$ 8,8 bilhões movimentados pelo torneio.</t>
        </is>
      </c>
    </row>
    <row r="265">
      <c r="A265" s="33" t="n">
        <v>46252</v>
      </c>
      <c r="B265" s="23" t="inlineStr">
        <is>
          <t>Painel em Brasília defende estrutura duradoura como legado da Copa 2027</t>
        </is>
      </c>
      <c r="C265" s="23" t="inlineStr">
        <is>
          <t>Elas em Ação / legado / EVT-0081</t>
        </is>
      </c>
      <c r="D265" s="23" t="inlineStr">
        <is>
          <t>Brasília/DF</t>
        </is>
      </c>
      <c r="E265" s="23" t="inlineStr">
        <is>
          <t>FSports</t>
        </is>
      </c>
      <c r="F265" s="23" t="inlineStr">
        <is>
          <t>https://pt.linkedin.com/posts/fsports-ag_o-legado-come%C3%A7a-antes-do-primeiro-apito-activity-7495445214967484417-5m11</t>
        </is>
      </c>
      <c r="G265" s="23" t="inlineStr">
        <is>
          <t>Positivo</t>
        </is>
      </c>
      <c r="H265" s="23" t="inlineStr">
        <is>
          <t>Médio</t>
        </is>
      </c>
      <c r="I265" s="23" t="inlineStr">
        <is>
          <t>No painel “Esporte como Arena de Poder” do Elas em Ação (EVT-0081), Juliana Picoli Agatte e Ruskaya Zanini defenderam que a Copa Feminina 2027 deixe estrutura para clubes e atletas, amplie a participação de meninas, mantenha marcas investindo e coloque mais mulheres em posições de decisão.</t>
        </is>
      </c>
    </row>
    <row r="266">
      <c r="A266" s="33" t="n">
        <v>46251</v>
      </c>
      <c r="B266" s="23" t="inlineStr">
        <is>
          <t>Brasil convoca Seleção Feminina Sub-15 para a Liga Evolução</t>
        </is>
      </c>
      <c r="C266" s="23" t="inlineStr">
        <is>
          <t>Seleções de Base / Sub-15 Feminina</t>
        </is>
      </c>
      <c r="D266" s="23" t="inlineStr">
        <is>
          <t>Assunção/PRY</t>
        </is>
      </c>
      <c r="E266" s="23" t="inlineStr">
        <is>
          <t>CBF</t>
        </is>
      </c>
      <c r="F266" s="23" t="inlineStr">
        <is>
          <t>https://www.cbf.com.br/selecao-brasileira/noticias/convocacoes-selecao-feminina-sub-15/a/beatriz-vaz-convoca-20-atletas-para-liga-evolucao-sub-15-da-conmebol</t>
        </is>
      </c>
      <c r="G266" s="23" t="inlineStr">
        <is>
          <t>Positivo</t>
        </is>
      </c>
      <c r="H266" s="23" t="inlineStr">
        <is>
          <t>Médio</t>
        </is>
      </c>
      <c r="I266" s="23" t="inlineStr">
        <is>
          <t>Bia Vaz convocou 20 atletas para defender a Seleção Brasileira Feminina Sub-15 na Liga Evolução da CONMEBOL, de 8 a 20 de setembro no Paraguai, em busca do bicampeonato.</t>
        </is>
      </c>
    </row>
    <row r="267">
      <c r="A267" s="33" t="n">
        <v>46251</v>
      </c>
      <c r="B267" s="23" t="inlineStr">
        <is>
          <t>FIFA e FPF alinham preparativos da Copa do Mundo Feminina</t>
        </is>
      </c>
      <c r="C267" s="23" t="inlineStr">
        <is>
          <t>Operação / cidade-sede</t>
        </is>
      </c>
      <c r="D267" s="23" t="inlineStr">
        <is>
          <t>Recife/PE</t>
        </is>
      </c>
      <c r="E267" s="23" t="inlineStr">
        <is>
          <t>Tribuna Online</t>
        </is>
      </c>
      <c r="F267" s="23" t="inlineStr">
        <is>
          <t>https://tribunaonline.com.br/pernambuco/esporte/fpf-recebe-comitiva-da-fifa-para-alinhar-preparativos-da-copa-do-mundo-feminina-328649</t>
        </is>
      </c>
      <c r="G267" s="23" t="inlineStr">
        <is>
          <t>Positivo</t>
        </is>
      </c>
      <c r="H267" s="23" t="inlineStr">
        <is>
          <t>Alto</t>
        </is>
      </c>
      <c r="I267" s="23" t="inlineStr">
        <is>
          <t>Reunião institucional reforçou integração da sede pernambucana com as áreas responsáveis pela organização do Mundial.</t>
        </is>
      </c>
    </row>
    <row r="268">
      <c r="A268" s="33" t="n">
        <v>46251</v>
      </c>
      <c r="B268" s="23" t="inlineStr">
        <is>
          <t>Tamires cobra mobilização das cidades-sede para lotar a Copa Feminina 2027</t>
        </is>
      </c>
      <c r="C268" s="23" t="inlineStr">
        <is>
          <t>Elas Jogam Summit / público / legado / EVT-0021</t>
        </is>
      </c>
      <c r="D268" s="23" t="inlineStr">
        <is>
          <t>São Paulo/SP</t>
        </is>
      </c>
      <c r="E268" s="23" t="inlineStr">
        <is>
          <t>UOL</t>
        </is>
      </c>
      <c r="F268" s="23" t="inlineStr">
        <is>
          <t>https://www.uol.com.br/esporte/futebol/ultimas-noticias/2026/08/17/copa-2027-tamires-pede-engajamento-das-cidades-sede-para-lotar-estadios.ghtm</t>
        </is>
      </c>
      <c r="G268" s="23" t="inlineStr">
        <is>
          <t>Neutro</t>
        </is>
      </c>
      <c r="H268" s="23" t="inlineStr">
        <is>
          <t>Médio</t>
        </is>
      </c>
      <c r="I268" s="23" t="inlineStr">
        <is>
          <t>Em entrevista durante evento em São Paulo ligado ao debate de legado do Elas Jogam Summit (EVT-0021), Tamires defendeu estratégias locais nas oito cidades-sede para encher os 64 jogos da Copa Feminina 2027. A FIFA pretende superar dois milhões de espectadores e acompanha ações de promoção, Fan Fests e centros de treinamento.</t>
        </is>
      </c>
    </row>
    <row r="269">
      <c r="A269" s="33" t="n">
        <v>46248</v>
      </c>
      <c r="B269" s="23" t="inlineStr">
        <is>
          <t>FIFA confirma evento de 20/08 para revelar calendário e sorteio da repescagem</t>
        </is>
      </c>
      <c r="C269" s="23" t="inlineStr">
        <is>
          <t>Calendário / sorteio</t>
        </is>
      </c>
      <c r="D269" s="23" t="inlineStr">
        <is>
          <t>Brasil</t>
        </is>
      </c>
      <c r="E269" s="23" t="inlineStr">
        <is>
          <t>ge</t>
        </is>
      </c>
      <c r="F269" s="23" t="inlineStr">
        <is>
          <t>https://ge.globo.com/futebol/copa-do-mundo-feminina/noticia/2026/08/14/copa-do-mundo-2027-calendario-sera-revelado-dia-20-de-agosto.ghtml</t>
        </is>
      </c>
      <c r="G269" s="23" t="inlineStr">
        <is>
          <t>Neutro</t>
        </is>
      </c>
      <c r="H269" s="23" t="inlineStr">
        <is>
          <t>Alto</t>
        </is>
      </c>
      <c r="I269" s="23" t="inlineStr">
        <is>
          <t>Em 20/08 serão anunciados distribuição de jogos por sede, locais dos jogos do Brasil e confrontos da fase preliminar da repescagem.</t>
        </is>
      </c>
    </row>
    <row r="270">
      <c r="A270" s="33" t="n">
        <v>46248</v>
      </c>
      <c r="B270" s="23" t="inlineStr">
        <is>
          <t>FIFA reúne marcas no SP2B para discutir ativações da Copa 2027</t>
        </is>
      </c>
      <c r="C270" s="23" t="inlineStr">
        <is>
          <t>Patrocínio / ativações</t>
        </is>
      </c>
      <c r="D270" s="23" t="inlineStr">
        <is>
          <t>São Paulo/SP</t>
        </is>
      </c>
      <c r="E270" s="23" t="inlineStr">
        <is>
          <t>UOL</t>
        </is>
      </c>
      <c r="F270" s="23" t="inlineStr">
        <is>
          <t>https://economia.uol.com.br/noticias/redacao/2026/08/14/copa-do-mundo-feminina-alcanca-750-mil-interessados-em-ingressos.ghtm</t>
        </is>
      </c>
      <c r="G270" s="23" t="inlineStr">
        <is>
          <t>Positivo</t>
        </is>
      </c>
      <c r="H270" s="23" t="inlineStr">
        <is>
          <t>Alto</t>
        </is>
      </c>
      <c r="I270" s="23" t="inlineStr">
        <is>
          <t>Encontro no SP2B discutiu oportunidades comerciais e estratégias de ativação com patrocinadores e executivos.</t>
        </is>
      </c>
    </row>
    <row r="271">
      <c r="A271" s="33" t="n">
        <v>46248</v>
      </c>
      <c r="B271" s="23" t="inlineStr">
        <is>
          <t>Sesc RJ amplia turmas gratuitas de futebol feminino com foco no legado da Copa 2027</t>
        </is>
      </c>
      <c r="C271" s="23" t="inlineStr">
        <is>
          <t>Legado / formação de base / inclusão esportiva</t>
        </is>
      </c>
      <c r="D271" s="23" t="inlineStr">
        <is>
          <t>Diversas cidades/RJ</t>
        </is>
      </c>
      <c r="E271" s="23" t="inlineStr">
        <is>
          <t>Sesc RJ</t>
        </is>
      </c>
      <c r="F271" s="23" t="inlineStr">
        <is>
          <t>https://www.sescrio.org.br/noticias/esporte/em-clima-de-copa-2027-sesc-rj-amplia-turmas-gratuitas-de-futebol-feminino/</t>
        </is>
      </c>
      <c r="G271" s="23" t="inlineStr">
        <is>
          <t>Positivo</t>
        </is>
      </c>
      <c r="H271" s="23" t="inlineStr">
        <is>
          <t>Médio</t>
        </is>
      </c>
      <c r="I271" s="23" t="inlineStr">
        <is>
          <t>Em iniciativa vinculada ao legado da Copa do Mundo Feminina 2027, o Sesc RJ ampliou as turmas gratuitas de futebol feminino para meninas de 7 a 17 anos. O projeto alcança unidades na capital e em Petrópolis, Nova Iguaçu, São João de Meriti, Niterói e São Gonçalo, com foco em acesso ao esporte, permanência na prática e formação de novas atletas.</t>
        </is>
      </c>
    </row>
    <row r="272">
      <c r="A272" s="33" t="n">
        <v>46247</v>
      </c>
      <c r="B272" s="23" t="inlineStr">
        <is>
          <t>Base feminina soma 206 atletas convocadas e três desafios internacionais</t>
        </is>
      </c>
      <c r="C272" s="23" t="inlineStr">
        <is>
          <t>Seleções de Base / Sub-15, Sub-17 e Sub-20 Femininas</t>
        </is>
      </c>
      <c r="D272" s="23" t="inlineStr">
        <is>
          <t>Brasil</t>
        </is>
      </c>
      <c r="E272" s="23" t="inlineStr">
        <is>
          <t>CBF</t>
        </is>
      </c>
      <c r="F272" s="23" t="inlineStr">
        <is>
          <t>https://www.cbf.com.br/selecao-brasileira/noticias/selecao-base-feminina/a/campeas-continentais-e-mais-de-200-atletas-convocadas-conquistas-e-numeros-do-atual-ciclo-da-base-feminina</t>
        </is>
      </c>
      <c r="G272" s="23" t="inlineStr">
        <is>
          <t>Positivo</t>
        </is>
      </c>
      <c r="H272" s="23" t="inlineStr">
        <is>
          <t>Médio</t>
        </is>
      </c>
      <c r="I272" s="23" t="inlineStr">
        <is>
          <t>A CBF apresentou o balanço do ciclo das Seleções Femininas de Base: 206 atletas convocadas, 47 jogos, 32 vitórias e 68% de aproveitamento. Sub-15, Sub-17 e Sub-20 terão competições internacionais no segundo semestre de 2026.</t>
        </is>
      </c>
    </row>
    <row r="273">
      <c r="A273" s="33" t="n">
        <v>46246</v>
      </c>
      <c r="B273" s="23" t="inlineStr">
        <is>
          <t>Atricon apoia revisão das férias escolares obrigatórias durante a Copa 2027</t>
        </is>
      </c>
      <c r="C273" s="23" t="inlineStr">
        <is>
          <t>Políticas públicas / educação</t>
        </is>
      </c>
      <c r="D273" s="23" t="inlineStr">
        <is>
          <t>Brasil</t>
        </is>
      </c>
      <c r="E273" s="23" t="inlineStr">
        <is>
          <t>Folha de S.Paulo</t>
        </is>
      </c>
      <c r="F273" s="23" t="inlineStr">
        <is>
          <t>https://www1.folha.uol.com.br/colunas/painel/2026/08/associacao-de-tribunais-de-contas-se-opoe-a-ferias-escolares-obrigatorias-na-copa-do-mundo-feminina.shtml</t>
        </is>
      </c>
      <c r="G273" s="23" t="inlineStr">
        <is>
          <t>Neutro</t>
        </is>
      </c>
      <c r="H273" s="23" t="inlineStr">
        <is>
          <t>Médio</t>
        </is>
      </c>
      <c r="I273" s="23" t="inlineStr">
        <is>
          <t>A Atricon enviou ofícios à Câmara e ao Senado apoiando projeto que revoga a obrigatoriedade de férias escolares durante a Copa Feminina 2027, argumentando que a regra pode prejudicar calendários pedagógicos, transporte e alimentação escolar em regiões sem jogos.</t>
        </is>
      </c>
    </row>
    <row r="274">
      <c r="A274" s="33" t="n">
        <v>46239</v>
      </c>
      <c r="B274" s="23" t="inlineStr">
        <is>
          <t>CBF determina pausa nacional durante toda a Copa Feminina 2027</t>
        </is>
      </c>
      <c r="C274" s="23" t="inlineStr">
        <is>
          <t>Calendário / competições nacionais</t>
        </is>
      </c>
      <c r="D274" s="23" t="inlineStr">
        <is>
          <t>Brasil</t>
        </is>
      </c>
      <c r="E274" s="23" t="inlineStr">
        <is>
          <t>ge</t>
        </is>
      </c>
      <c r="F274" s="23" t="inlineStr">
        <is>
          <t>https://ge.globo.com/futebol/futebol-internacional/noticia/2026/08/05/cbf-comunica-aos-clubes-parada-obrigatoria-durante-periodo-da-copa-do-mundo-feminina-de-2027.ghtml</t>
        </is>
      </c>
      <c r="G274" s="23" t="inlineStr">
        <is>
          <t>Neutro</t>
        </is>
      </c>
      <c r="H274" s="23" t="inlineStr">
        <is>
          <t>Alto</t>
        </is>
      </c>
      <c r="I274" s="23" t="inlineStr">
        <is>
          <t>A CBF comunicou aos clubes que as competições masculinas e femininas terão pausa obrigatória entre 24/06 e 25/07/2027, durante toda a Copa do Mundo Feminina, enquanto a entidade ajusta o calendário nacional e a disponibilidade das oito arenas do torneio.</t>
        </is>
      </c>
    </row>
    <row r="275">
      <c r="A275" s="33" t="n">
        <v>46239</v>
      </c>
      <c r="B275" s="23" t="inlineStr">
        <is>
          <t>Elas Jogam Summit propõe ações para construir o legado da Copa Feminina 2027</t>
        </is>
      </c>
      <c r="C275" s="23" t="inlineStr">
        <is>
          <t>Elas Jogam Summit / legado</t>
        </is>
      </c>
      <c r="D275" s="23" t="inlineStr">
        <is>
          <t>São Paulo/SP</t>
        </is>
      </c>
      <c r="E275" s="23" t="inlineStr">
        <is>
          <t>Donas FC</t>
        </is>
      </c>
      <c r="F275" s="23" t="inlineStr">
        <is>
          <t>https://donasfc.com.br/2026/08/05/elas-jogam-summit-discutira-o-legado-da-copa-do-mundo-feminina-2027-em-evento-no-pacaembu/</t>
        </is>
      </c>
      <c r="G275" s="23" t="inlineStr">
        <is>
          <t>Positivo</t>
        </is>
      </c>
      <c r="H275" s="23" t="inlineStr">
        <is>
          <t>Médio</t>
        </is>
      </c>
      <c r="I275" s="23" t="inlineStr">
        <is>
          <t>A matéria apresentou o Elas Jogam Summit e sua proposta de transformar a Copa Feminina 2027 em legado por meio de políticas públicas, investimento, formação de base, espaços seguros para meninas, visibilidade e participação de profissionais do futebol feminino.</t>
        </is>
      </c>
    </row>
    <row r="276">
      <c r="A276" s="33" t="n">
        <v>46239</v>
      </c>
      <c r="B276" s="23" t="inlineStr">
        <is>
          <t>Painel debate legado da Copa 2027 no Summit Mulheres nas Profissões</t>
        </is>
      </c>
      <c r="C276" s="23" t="inlineStr">
        <is>
          <t>Legado / futebol feminino</t>
        </is>
      </c>
      <c r="D276" s="23" t="inlineStr">
        <is>
          <t>São Paulo/SP</t>
        </is>
      </c>
      <c r="E276" s="23" t="inlineStr">
        <is>
          <t>O Liberal</t>
        </is>
      </c>
      <c r="F276" s="23" t="inlineStr">
        <is>
          <t>https://www.oliberal.com/esportes/nao-da-para-falar-em-paixao-nacional-so-valorizando-o-masculino-diz-secretaria-da-copa-1.1153852</t>
        </is>
      </c>
      <c r="G276" s="23" t="inlineStr">
        <is>
          <t>Positivo</t>
        </is>
      </c>
      <c r="H276" s="23" t="inlineStr">
        <is>
          <t>Médio</t>
        </is>
      </c>
      <c r="I276" s="23" t="inlineStr">
        <is>
          <t>Painel reuniu representantes do esporte e Formiga para discutir legado, turismo e valorização do futebol feminino.</t>
        </is>
      </c>
    </row>
    <row r="277">
      <c r="A277" s="33" t="n">
        <v>46238</v>
      </c>
      <c r="B277" s="23" t="inlineStr">
        <is>
          <t>Especialistas defendem descentralização do legado da Copa Feminina 2027</t>
        </is>
      </c>
      <c r="C277" s="23" t="inlineStr">
        <is>
          <t>Fórum Sustentabilidade em Campo / legado / EVT-0063</t>
        </is>
      </c>
      <c r="D277" s="23" t="inlineStr">
        <is>
          <t>São Paulo/SP</t>
        </is>
      </c>
      <c r="E277" s="23" t="inlineStr">
        <is>
          <t>Máquina do Esporte</t>
        </is>
      </c>
      <c r="F277" s="23" t="inlineStr">
        <is>
          <t>https://maquinadoesporte.com.br/copa-mundo-feminina-2027/desafio-para-copa-do-mundo-feminina-2027-e-descentralizar-legado-dizem-especialistas/</t>
        </is>
      </c>
      <c r="G277" s="23" t="inlineStr">
        <is>
          <t>Neutro</t>
        </is>
      </c>
      <c r="H277" s="23" t="inlineStr">
        <is>
          <t>Médio</t>
        </is>
      </c>
      <c r="I277" s="23" t="inlineStr">
        <is>
          <t>No Fórum Sustentabilidade em Campo (EVT-0063), especialistas defenderam que os investimentos e benefícios da Copa Feminina 2027 alcancem mercados periféricos e diferentes regiões do país. O debate também apontou gestão, base, patrocínio e governança como condições para um legado sustentável.</t>
        </is>
      </c>
    </row>
    <row r="278">
      <c r="A278" s="33" t="n">
        <v>46199</v>
      </c>
      <c r="B278" s="23" t="inlineStr">
        <is>
          <t>CBF divulga calendário do segundo semestre das Seleções Femininas de Base</t>
        </is>
      </c>
      <c r="C278" s="23" t="inlineStr">
        <is>
          <t>Seleções de Base / calendário 2026</t>
        </is>
      </c>
      <c r="D278" s="23" t="inlineStr">
        <is>
          <t>Brasil e exterior</t>
        </is>
      </c>
      <c r="E278" s="23" t="inlineStr">
        <is>
          <t>CBF</t>
        </is>
      </c>
      <c r="F278" s="23" t="inlineStr">
        <is>
          <t>https://www.cbf.com.br/selecao-brasileira/noticias/noticias/selecao-base-feminina/confira-o-calendario-do-segundo-semestre-das-selecoes-femininas-de-base</t>
        </is>
      </c>
      <c r="G278" s="23" t="inlineStr">
        <is>
          <t>Neutro</t>
        </is>
      </c>
      <c r="H278" s="23" t="inlineStr">
        <is>
          <t>Alto</t>
        </is>
      </c>
      <c r="I278" s="23" t="inlineStr">
        <is>
          <t>O calendário oficial reúne Liga Evolução Sub-15, Copas do Mundo Sub-17 e Sub-20, períodos de treinamento, Torneio Brasil e amistosos internacionais entre junho e dezembro de 2026.</t>
        </is>
      </c>
    </row>
    <row r="279">
      <c r="A279" s="6" t="n"/>
      <c r="B279" s="23" t="n"/>
      <c r="C279" s="23" t="n"/>
      <c r="D279" s="23" t="n"/>
      <c r="E279" s="23" t="n"/>
      <c r="F279" s="23" t="n"/>
      <c r="G279" s="23" t="n"/>
      <c r="H279" s="23" t="n"/>
      <c r="I279" s="23" t="n"/>
    </row>
    <row r="280">
      <c r="A280" s="6" t="n"/>
      <c r="B280" s="23" t="n"/>
      <c r="C280" s="23" t="n"/>
      <c r="D280" s="23" t="n"/>
      <c r="E280" s="23" t="n"/>
      <c r="F280" s="23" t="n"/>
      <c r="G280" s="23" t="n"/>
      <c r="H280" s="23" t="n"/>
      <c r="I280" s="23" t="n"/>
    </row>
    <row r="281">
      <c r="A281" s="6" t="n"/>
      <c r="B281" s="23" t="n"/>
      <c r="C281" s="23" t="n"/>
      <c r="D281" s="23" t="n"/>
      <c r="E281" s="23" t="n"/>
      <c r="F281" s="23" t="n"/>
      <c r="G281" s="23" t="n"/>
      <c r="H281" s="23" t="n"/>
      <c r="I281" s="23" t="n"/>
    </row>
    <row r="282">
      <c r="A282" s="6" t="n"/>
      <c r="B282" s="23" t="n"/>
      <c r="C282" s="23" t="n"/>
      <c r="D282" s="23" t="n"/>
      <c r="E282" s="23" t="n"/>
      <c r="F282" s="23" t="n"/>
      <c r="G282" s="23" t="n"/>
      <c r="H282" s="23" t="n"/>
      <c r="I282" s="23" t="n"/>
    </row>
    <row r="283">
      <c r="A283" s="6" t="n"/>
      <c r="B283" s="23" t="n"/>
      <c r="C283" s="23" t="n"/>
      <c r="D283" s="23" t="n"/>
      <c r="E283" s="23" t="n"/>
      <c r="F283" s="23" t="n"/>
      <c r="G283" s="23" t="n"/>
      <c r="H283" s="23" t="n"/>
      <c r="I283" s="23" t="n"/>
    </row>
    <row r="284">
      <c r="A284" s="6" t="n"/>
      <c r="B284" s="23" t="n"/>
      <c r="C284" s="23" t="n"/>
      <c r="D284" s="23" t="n"/>
      <c r="E284" s="23" t="n"/>
      <c r="F284" s="23" t="n"/>
      <c r="G284" s="23" t="n"/>
      <c r="H284" s="23" t="n"/>
      <c r="I284" s="23" t="n"/>
    </row>
    <row r="285">
      <c r="A285" s="6" t="n"/>
      <c r="B285" s="23" t="n"/>
      <c r="C285" s="23" t="n"/>
      <c r="D285" s="23" t="n"/>
      <c r="E285" s="23" t="n"/>
      <c r="F285" s="23" t="n"/>
      <c r="G285" s="23" t="n"/>
      <c r="H285" s="23" t="n"/>
      <c r="I285" s="23" t="n"/>
    </row>
    <row r="286">
      <c r="A286" s="6" t="n"/>
      <c r="B286" s="23" t="n"/>
      <c r="C286" s="23" t="n"/>
      <c r="D286" s="23" t="n"/>
      <c r="E286" s="23" t="n"/>
      <c r="F286" s="23" t="n"/>
      <c r="G286" s="23" t="n"/>
      <c r="H286" s="23" t="n"/>
      <c r="I286" s="23" t="n"/>
    </row>
    <row r="287">
      <c r="A287" s="6" t="n"/>
      <c r="B287" s="23" t="n"/>
      <c r="C287" s="23" t="n"/>
      <c r="D287" s="23" t="n"/>
      <c r="E287" s="23" t="n"/>
      <c r="F287" s="23" t="n"/>
      <c r="G287" s="23" t="n"/>
      <c r="H287" s="23" t="n"/>
      <c r="I287" s="23" t="n"/>
    </row>
    <row r="288">
      <c r="A288" s="6" t="n"/>
      <c r="B288" s="23" t="n"/>
      <c r="C288" s="23" t="n"/>
      <c r="D288" s="23" t="n"/>
      <c r="E288" s="23" t="n"/>
      <c r="F288" s="23" t="n"/>
      <c r="G288" s="23" t="n"/>
      <c r="H288" s="23" t="n"/>
      <c r="I288" s="23" t="n"/>
    </row>
    <row r="289">
      <c r="A289" s="6" t="n"/>
      <c r="B289" s="23" t="n"/>
      <c r="C289" s="23" t="n"/>
      <c r="D289" s="23" t="n"/>
      <c r="E289" s="23" t="n"/>
      <c r="F289" s="23" t="n"/>
      <c r="G289" s="23" t="n"/>
      <c r="H289" s="23" t="n"/>
      <c r="I289" s="23" t="n"/>
    </row>
    <row r="290">
      <c r="A290" s="6" t="n"/>
      <c r="B290" s="23" t="n"/>
      <c r="C290" s="23" t="n"/>
      <c r="D290" s="23" t="n"/>
      <c r="E290" s="23" t="n"/>
      <c r="F290" s="23" t="n"/>
      <c r="G290" s="23" t="n"/>
      <c r="H290" s="23" t="n"/>
      <c r="I290" s="23" t="n"/>
    </row>
    <row r="291">
      <c r="A291" s="6" t="n"/>
      <c r="B291" s="23" t="n"/>
      <c r="C291" s="23" t="n"/>
      <c r="D291" s="23" t="n"/>
      <c r="E291" s="23" t="n"/>
      <c r="F291" s="23" t="n"/>
      <c r="G291" s="23" t="n"/>
      <c r="H291" s="23" t="n"/>
      <c r="I291" s="23" t="n"/>
    </row>
    <row r="292">
      <c r="A292" s="6" t="n"/>
      <c r="B292" s="23" t="n"/>
      <c r="C292" s="23" t="n"/>
      <c r="D292" s="23" t="n"/>
      <c r="E292" s="23" t="n"/>
      <c r="F292" s="23" t="n"/>
      <c r="G292" s="23" t="n"/>
      <c r="H292" s="23" t="n"/>
      <c r="I292" s="23" t="n"/>
    </row>
    <row r="293">
      <c r="A293" s="6" t="n"/>
      <c r="B293" s="23" t="n"/>
      <c r="C293" s="23" t="n"/>
      <c r="D293" s="23" t="n"/>
      <c r="E293" s="23" t="n"/>
      <c r="F293" s="23" t="n"/>
      <c r="G293" s="23" t="n"/>
      <c r="H293" s="23" t="n"/>
      <c r="I293" s="23" t="n"/>
    </row>
    <row r="294">
      <c r="A294" s="6" t="n"/>
      <c r="B294" s="23" t="n"/>
      <c r="C294" s="23" t="n"/>
      <c r="D294" s="23" t="n"/>
      <c r="E294" s="23" t="n"/>
      <c r="F294" s="23" t="n"/>
      <c r="G294" s="23" t="n"/>
      <c r="H294" s="23" t="n"/>
      <c r="I294" s="23" t="n"/>
    </row>
    <row r="295">
      <c r="A295" s="6" t="n"/>
      <c r="B295" s="23" t="n"/>
      <c r="C295" s="23" t="n"/>
      <c r="D295" s="23" t="n"/>
      <c r="E295" s="23" t="n"/>
      <c r="F295" s="23" t="n"/>
      <c r="G295" s="23" t="n"/>
      <c r="H295" s="23" t="n"/>
      <c r="I295" s="23" t="n"/>
    </row>
    <row r="296">
      <c r="A296" s="6" t="n"/>
      <c r="B296" s="23" t="n"/>
      <c r="C296" s="23" t="n"/>
      <c r="D296" s="23" t="n"/>
      <c r="E296" s="23" t="n"/>
      <c r="F296" s="23" t="n"/>
      <c r="G296" s="23" t="n"/>
      <c r="H296" s="23" t="n"/>
      <c r="I296" s="23" t="n"/>
    </row>
    <row r="297">
      <c r="A297" s="6" t="n"/>
      <c r="B297" s="23" t="n"/>
      <c r="C297" s="23" t="n"/>
      <c r="D297" s="23" t="n"/>
      <c r="E297" s="23" t="n"/>
      <c r="F297" s="23" t="n"/>
      <c r="G297" s="23" t="n"/>
      <c r="H297" s="23" t="n"/>
      <c r="I297" s="23" t="n"/>
    </row>
    <row r="298">
      <c r="A298" s="6" t="n"/>
      <c r="B298" s="23" t="n"/>
      <c r="C298" s="23" t="n"/>
      <c r="D298" s="23" t="n"/>
      <c r="E298" s="23" t="n"/>
      <c r="F298" s="23" t="n"/>
      <c r="G298" s="23" t="n"/>
      <c r="H298" s="23" t="n"/>
      <c r="I298" s="23" t="n"/>
    </row>
    <row r="299">
      <c r="A299" s="6" t="n"/>
      <c r="B299" s="23" t="n"/>
      <c r="C299" s="23" t="n"/>
      <c r="D299" s="23" t="n"/>
      <c r="E299" s="23" t="n"/>
      <c r="F299" s="23" t="n"/>
      <c r="G299" s="23" t="n"/>
      <c r="H299" s="23" t="n"/>
      <c r="I299" s="23" t="n"/>
    </row>
    <row r="300">
      <c r="A300" s="6" t="n"/>
      <c r="B300" s="23" t="n"/>
      <c r="C300" s="23" t="n"/>
      <c r="D300" s="23" t="n"/>
      <c r="E300" s="23" t="n"/>
      <c r="F300" s="23" t="n"/>
      <c r="G300" s="23" t="n"/>
      <c r="H300" s="23" t="n"/>
      <c r="I300" s="23" t="n"/>
    </row>
    <row r="301">
      <c r="A301" s="6" t="n"/>
      <c r="B301" s="23" t="n"/>
      <c r="C301" s="23" t="n"/>
      <c r="D301" s="23" t="n"/>
      <c r="E301" s="23" t="n"/>
      <c r="F301" s="23" t="n"/>
      <c r="G301" s="23" t="n"/>
      <c r="H301" s="23" t="n"/>
      <c r="I301" s="23" t="n"/>
    </row>
    <row r="302">
      <c r="A302" s="6" t="n"/>
      <c r="B302" s="23" t="n"/>
      <c r="C302" s="23" t="n"/>
      <c r="D302" s="23" t="n"/>
      <c r="E302" s="23" t="n"/>
      <c r="F302" s="23" t="n"/>
      <c r="G302" s="23" t="n"/>
      <c r="H302" s="23" t="n"/>
      <c r="I302" s="23" t="n"/>
    </row>
    <row r="303">
      <c r="A303" s="6" t="n"/>
      <c r="B303" s="23" t="n"/>
      <c r="C303" s="23" t="n"/>
      <c r="D303" s="23" t="n"/>
      <c r="E303" s="23" t="n"/>
      <c r="F303" s="23" t="n"/>
      <c r="G303" s="23" t="n"/>
      <c r="H303" s="23" t="n"/>
      <c r="I303" s="23" t="n"/>
    </row>
    <row r="304">
      <c r="A304" s="6" t="n"/>
      <c r="B304" s="23" t="n"/>
      <c r="C304" s="23" t="n"/>
      <c r="D304" s="23" t="n"/>
      <c r="E304" s="23" t="n"/>
      <c r="F304" s="23" t="n"/>
      <c r="G304" s="23" t="n"/>
      <c r="H304" s="23" t="n"/>
      <c r="I304" s="23" t="n"/>
    </row>
    <row r="305">
      <c r="A305" s="6" t="n"/>
      <c r="B305" s="23" t="n"/>
      <c r="C305" s="23" t="n"/>
      <c r="D305" s="23" t="n"/>
      <c r="E305" s="23" t="n"/>
      <c r="F305" s="23" t="n"/>
      <c r="G305" s="23" t="n"/>
      <c r="H305" s="23" t="n"/>
      <c r="I305" s="23" t="n"/>
    </row>
    <row r="306">
      <c r="A306" s="6" t="n"/>
      <c r="B306" s="23" t="n"/>
      <c r="C306" s="23" t="n"/>
      <c r="D306" s="23" t="n"/>
      <c r="E306" s="23" t="n"/>
      <c r="F306" s="23" t="n"/>
      <c r="G306" s="23" t="n"/>
      <c r="H306" s="23" t="n"/>
      <c r="I306" s="23" t="n"/>
    </row>
    <row r="307">
      <c r="A307" s="6" t="n"/>
      <c r="B307" s="23" t="n"/>
      <c r="C307" s="23" t="n"/>
      <c r="D307" s="23" t="n"/>
      <c r="E307" s="23" t="n"/>
      <c r="F307" s="23" t="n"/>
      <c r="G307" s="23" t="n"/>
      <c r="H307" s="23" t="n"/>
      <c r="I307" s="23" t="n"/>
    </row>
    <row r="308">
      <c r="A308" s="6" t="n"/>
      <c r="B308" s="23" t="n"/>
      <c r="C308" s="23" t="n"/>
      <c r="D308" s="23" t="n"/>
      <c r="E308" s="23" t="n"/>
      <c r="F308" s="23" t="n"/>
      <c r="G308" s="23" t="n"/>
      <c r="H308" s="23" t="n"/>
      <c r="I308" s="23" t="n"/>
    </row>
    <row r="309">
      <c r="A309" s="6" t="n"/>
      <c r="B309" s="23" t="n"/>
      <c r="C309" s="23" t="n"/>
      <c r="D309" s="23" t="n"/>
      <c r="E309" s="23" t="n"/>
      <c r="F309" s="23" t="n"/>
      <c r="G309" s="23" t="n"/>
      <c r="H309" s="23" t="n"/>
      <c r="I309" s="23" t="n"/>
    </row>
    <row r="310">
      <c r="A310" s="6" t="n"/>
      <c r="B310" s="23" t="n"/>
      <c r="C310" s="23" t="n"/>
      <c r="D310" s="23" t="n"/>
      <c r="E310" s="23" t="n"/>
      <c r="F310" s="23" t="n"/>
      <c r="G310" s="23" t="n"/>
      <c r="H310" s="23" t="n"/>
      <c r="I310" s="23" t="n"/>
    </row>
    <row r="311">
      <c r="A311" s="6" t="n"/>
      <c r="B311" s="23" t="n"/>
      <c r="C311" s="23" t="n"/>
      <c r="D311" s="23" t="n"/>
      <c r="E311" s="23" t="n"/>
      <c r="F311" s="23" t="n"/>
      <c r="G311" s="23" t="n"/>
      <c r="H311" s="23" t="n"/>
      <c r="I311" s="23" t="n"/>
    </row>
    <row r="312">
      <c r="A312" s="6" t="n"/>
      <c r="B312" s="23" t="n"/>
      <c r="C312" s="23" t="n"/>
      <c r="D312" s="23" t="n"/>
      <c r="E312" s="23" t="n"/>
      <c r="F312" s="23" t="n"/>
      <c r="G312" s="23" t="n"/>
      <c r="H312" s="23" t="n"/>
      <c r="I312" s="23" t="n"/>
    </row>
    <row r="313">
      <c r="A313" s="6" t="n"/>
      <c r="B313" s="23" t="n"/>
      <c r="C313" s="23" t="n"/>
      <c r="D313" s="23" t="n"/>
      <c r="E313" s="23" t="n"/>
      <c r="F313" s="23" t="n"/>
      <c r="G313" s="23" t="n"/>
      <c r="H313" s="23" t="n"/>
      <c r="I313" s="23" t="n"/>
    </row>
    <row r="314">
      <c r="A314" s="6" t="n"/>
      <c r="B314" s="23" t="n"/>
      <c r="C314" s="23" t="n"/>
      <c r="D314" s="23" t="n"/>
      <c r="E314" s="23" t="n"/>
      <c r="F314" s="23" t="n"/>
      <c r="G314" s="23" t="n"/>
      <c r="H314" s="23" t="n"/>
      <c r="I314" s="23" t="n"/>
    </row>
    <row r="315">
      <c r="A315" s="6" t="n"/>
      <c r="B315" s="23" t="n"/>
      <c r="C315" s="23" t="n"/>
      <c r="D315" s="23" t="n"/>
      <c r="E315" s="23" t="n"/>
      <c r="F315" s="23" t="n"/>
      <c r="G315" s="23" t="n"/>
      <c r="H315" s="23" t="n"/>
      <c r="I315" s="23" t="n"/>
    </row>
    <row r="316">
      <c r="A316" s="6" t="n"/>
      <c r="B316" s="23" t="n"/>
      <c r="C316" s="23" t="n"/>
      <c r="D316" s="23" t="n"/>
      <c r="E316" s="23" t="n"/>
      <c r="F316" s="23" t="n"/>
      <c r="G316" s="23" t="n"/>
      <c r="H316" s="23" t="n"/>
      <c r="I316" s="23" t="n"/>
    </row>
    <row r="317">
      <c r="A317" s="6" t="n"/>
      <c r="B317" s="23" t="n"/>
      <c r="C317" s="23" t="n"/>
      <c r="D317" s="23" t="n"/>
      <c r="E317" s="23" t="n"/>
      <c r="F317" s="23" t="n"/>
      <c r="G317" s="23" t="n"/>
      <c r="H317" s="23" t="n"/>
      <c r="I317" s="23" t="n"/>
    </row>
    <row r="318">
      <c r="A318" s="6" t="n"/>
      <c r="B318" s="23" t="n"/>
      <c r="C318" s="23" t="n"/>
      <c r="D318" s="23" t="n"/>
      <c r="E318" s="23" t="n"/>
      <c r="F318" s="23" t="n"/>
      <c r="G318" s="23" t="n"/>
      <c r="H318" s="23" t="n"/>
      <c r="I318" s="23" t="n"/>
    </row>
    <row r="319">
      <c r="A319" s="6" t="n"/>
      <c r="B319" s="23" t="n"/>
      <c r="C319" s="23" t="n"/>
      <c r="D319" s="23" t="n"/>
      <c r="E319" s="23" t="n"/>
      <c r="F319" s="23" t="n"/>
      <c r="G319" s="23" t="n"/>
      <c r="H319" s="23" t="n"/>
      <c r="I319" s="23" t="n"/>
    </row>
    <row r="320">
      <c r="A320" s="6" t="n"/>
      <c r="B320" s="23" t="n"/>
      <c r="C320" s="23" t="n"/>
      <c r="D320" s="23" t="n"/>
      <c r="E320" s="23" t="n"/>
      <c r="F320" s="23" t="n"/>
      <c r="G320" s="23" t="n"/>
      <c r="H320" s="23" t="n"/>
      <c r="I320" s="23" t="n"/>
    </row>
    <row r="321">
      <c r="A321" s="6" t="n"/>
      <c r="B321" s="23" t="n"/>
      <c r="C321" s="23" t="n"/>
      <c r="D321" s="23" t="n"/>
      <c r="E321" s="23" t="n"/>
      <c r="F321" s="23" t="n"/>
      <c r="G321" s="23" t="n"/>
      <c r="H321" s="23" t="n"/>
      <c r="I321" s="23" t="n"/>
    </row>
    <row r="322">
      <c r="A322" s="6" t="n"/>
      <c r="B322" s="23" t="n"/>
      <c r="C322" s="23" t="n"/>
      <c r="D322" s="23" t="n"/>
      <c r="E322" s="23" t="n"/>
      <c r="F322" s="23" t="n"/>
      <c r="G322" s="23" t="n"/>
      <c r="H322" s="23" t="n"/>
      <c r="I322" s="23" t="n"/>
    </row>
    <row r="323">
      <c r="A323" s="6" t="n"/>
      <c r="B323" s="23" t="n"/>
      <c r="C323" s="23" t="n"/>
      <c r="D323" s="23" t="n"/>
      <c r="E323" s="23" t="n"/>
      <c r="F323" s="23" t="n"/>
      <c r="G323" s="23" t="n"/>
      <c r="H323" s="23" t="n"/>
      <c r="I323" s="23" t="n"/>
    </row>
    <row r="324">
      <c r="A324" s="6" t="n"/>
      <c r="B324" s="23" t="n"/>
      <c r="C324" s="23" t="n"/>
      <c r="D324" s="23" t="n"/>
      <c r="E324" s="23" t="n"/>
      <c r="F324" s="23" t="n"/>
      <c r="G324" s="23" t="n"/>
      <c r="H324" s="23" t="n"/>
      <c r="I324" s="23" t="n"/>
    </row>
    <row r="325">
      <c r="A325" s="6" t="n"/>
      <c r="B325" s="23" t="n"/>
      <c r="C325" s="23" t="n"/>
      <c r="D325" s="23" t="n"/>
      <c r="E325" s="23" t="n"/>
      <c r="F325" s="23" t="n"/>
      <c r="G325" s="23" t="n"/>
      <c r="H325" s="23" t="n"/>
      <c r="I325" s="23" t="n"/>
    </row>
    <row r="326">
      <c r="A326" s="6" t="n"/>
      <c r="B326" s="23" t="n"/>
      <c r="C326" s="23" t="n"/>
      <c r="D326" s="23" t="n"/>
      <c r="E326" s="23" t="n"/>
      <c r="F326" s="23" t="n"/>
      <c r="G326" s="23" t="n"/>
      <c r="H326" s="23" t="n"/>
      <c r="I326" s="23" t="n"/>
    </row>
    <row r="327">
      <c r="A327" s="6" t="n"/>
      <c r="B327" s="23" t="n"/>
      <c r="C327" s="23" t="n"/>
      <c r="D327" s="23" t="n"/>
      <c r="E327" s="23" t="n"/>
      <c r="F327" s="23" t="n"/>
      <c r="G327" s="23" t="n"/>
      <c r="H327" s="23" t="n"/>
      <c r="I327" s="23" t="n"/>
    </row>
    <row r="328">
      <c r="A328" s="6" t="n"/>
      <c r="B328" s="23" t="n"/>
      <c r="C328" s="23" t="n"/>
      <c r="D328" s="23" t="n"/>
      <c r="E328" s="23" t="n"/>
      <c r="F328" s="23" t="n"/>
      <c r="G328" s="23" t="n"/>
      <c r="H328" s="23" t="n"/>
      <c r="I328" s="23" t="n"/>
    </row>
    <row r="329">
      <c r="A329" s="6" t="n"/>
      <c r="B329" s="23" t="n"/>
      <c r="C329" s="23" t="n"/>
      <c r="D329" s="23" t="n"/>
      <c r="E329" s="23" t="n"/>
      <c r="F329" s="23" t="n"/>
      <c r="G329" s="23" t="n"/>
      <c r="H329" s="23" t="n"/>
      <c r="I329" s="23" t="n"/>
    </row>
    <row r="330">
      <c r="A330" s="6" t="n"/>
      <c r="B330" s="23" t="n"/>
      <c r="C330" s="23" t="n"/>
      <c r="D330" s="23" t="n"/>
      <c r="E330" s="23" t="n"/>
      <c r="F330" s="23" t="n"/>
      <c r="G330" s="23" t="n"/>
      <c r="H330" s="23" t="n"/>
      <c r="I330" s="23" t="n"/>
    </row>
    <row r="331">
      <c r="A331" s="6" t="n"/>
      <c r="B331" s="23" t="n"/>
      <c r="C331" s="23" t="n"/>
      <c r="D331" s="23" t="n"/>
      <c r="E331" s="23" t="n"/>
      <c r="F331" s="23" t="n"/>
      <c r="G331" s="23" t="n"/>
      <c r="H331" s="23" t="n"/>
      <c r="I331" s="23" t="n"/>
    </row>
    <row r="332">
      <c r="A332" s="6" t="n"/>
      <c r="B332" s="23" t="n"/>
      <c r="C332" s="23" t="n"/>
      <c r="D332" s="23" t="n"/>
      <c r="E332" s="23" t="n"/>
      <c r="F332" s="23" t="n"/>
      <c r="G332" s="23" t="n"/>
      <c r="H332" s="23" t="n"/>
      <c r="I332" s="23" t="n"/>
    </row>
    <row r="333">
      <c r="A333" s="6" t="n"/>
      <c r="B333" s="23" t="n"/>
      <c r="C333" s="23" t="n"/>
      <c r="D333" s="23" t="n"/>
      <c r="E333" s="23" t="n"/>
      <c r="F333" s="23" t="n"/>
      <c r="G333" s="23" t="n"/>
      <c r="H333" s="23" t="n"/>
      <c r="I333" s="23" t="n"/>
    </row>
    <row r="334">
      <c r="A334" s="6" t="n"/>
      <c r="B334" s="23" t="n"/>
      <c r="C334" s="23" t="n"/>
      <c r="D334" s="23" t="n"/>
      <c r="E334" s="23" t="n"/>
      <c r="F334" s="23" t="n"/>
      <c r="G334" s="23" t="n"/>
      <c r="H334" s="23" t="n"/>
      <c r="I334" s="23" t="n"/>
    </row>
    <row r="335">
      <c r="A335" s="6" t="n"/>
      <c r="B335" s="23" t="n"/>
      <c r="C335" s="23" t="n"/>
      <c r="D335" s="23" t="n"/>
      <c r="E335" s="23" t="n"/>
      <c r="F335" s="23" t="n"/>
      <c r="G335" s="23" t="n"/>
      <c r="H335" s="23" t="n"/>
      <c r="I335" s="23" t="n"/>
    </row>
    <row r="336">
      <c r="A336" s="6" t="n"/>
      <c r="B336" s="23" t="n"/>
      <c r="C336" s="23" t="n"/>
      <c r="D336" s="23" t="n"/>
      <c r="E336" s="23" t="n"/>
      <c r="F336" s="23" t="n"/>
      <c r="G336" s="23" t="n"/>
      <c r="H336" s="23" t="n"/>
      <c r="I336" s="23" t="n"/>
    </row>
    <row r="337">
      <c r="A337" s="6" t="n"/>
      <c r="B337" s="23" t="n"/>
      <c r="C337" s="23" t="n"/>
      <c r="D337" s="23" t="n"/>
      <c r="E337" s="23" t="n"/>
      <c r="F337" s="23" t="n"/>
      <c r="G337" s="23" t="n"/>
      <c r="H337" s="23" t="n"/>
      <c r="I337" s="23" t="n"/>
    </row>
    <row r="338">
      <c r="A338" s="6" t="n"/>
      <c r="B338" s="23" t="n"/>
      <c r="C338" s="23" t="n"/>
      <c r="D338" s="23" t="n"/>
      <c r="E338" s="23" t="n"/>
      <c r="F338" s="23" t="n"/>
      <c r="G338" s="23" t="n"/>
      <c r="H338" s="23" t="n"/>
      <c r="I338" s="23" t="n"/>
    </row>
    <row r="339">
      <c r="A339" s="6" t="n"/>
      <c r="B339" s="23" t="n"/>
      <c r="C339" s="23" t="n"/>
      <c r="D339" s="23" t="n"/>
      <c r="E339" s="23" t="n"/>
      <c r="F339" s="23" t="n"/>
      <c r="G339" s="23" t="n"/>
      <c r="H339" s="23" t="n"/>
      <c r="I339" s="23" t="n"/>
    </row>
    <row r="340">
      <c r="A340" s="6" t="n"/>
      <c r="B340" s="23" t="n"/>
      <c r="C340" s="23" t="n"/>
      <c r="D340" s="23" t="n"/>
      <c r="E340" s="23" t="n"/>
      <c r="F340" s="23" t="n"/>
      <c r="G340" s="23" t="n"/>
      <c r="H340" s="23" t="n"/>
      <c r="I340" s="23" t="n"/>
    </row>
    <row r="341">
      <c r="A341" s="6" t="n"/>
      <c r="B341" s="23" t="n"/>
      <c r="C341" s="23" t="n"/>
      <c r="D341" s="23" t="n"/>
      <c r="E341" s="23" t="n"/>
      <c r="F341" s="23" t="n"/>
      <c r="G341" s="23" t="n"/>
      <c r="H341" s="23" t="n"/>
      <c r="I341" s="23" t="n"/>
    </row>
    <row r="342">
      <c r="A342" s="6" t="n"/>
      <c r="B342" s="23" t="n"/>
      <c r="C342" s="23" t="n"/>
      <c r="D342" s="23" t="n"/>
      <c r="E342" s="23" t="n"/>
      <c r="F342" s="23" t="n"/>
      <c r="G342" s="23" t="n"/>
      <c r="H342" s="23" t="n"/>
      <c r="I342" s="23" t="n"/>
    </row>
    <row r="343">
      <c r="A343" s="6" t="n"/>
      <c r="B343" s="23" t="n"/>
      <c r="C343" s="23" t="n"/>
      <c r="D343" s="23" t="n"/>
      <c r="E343" s="23" t="n"/>
      <c r="F343" s="23" t="n"/>
      <c r="G343" s="23" t="n"/>
      <c r="H343" s="23" t="n"/>
      <c r="I343" s="23" t="n"/>
    </row>
    <row r="344">
      <c r="A344" s="6" t="n"/>
      <c r="B344" s="23" t="n"/>
      <c r="C344" s="23" t="n"/>
      <c r="D344" s="23" t="n"/>
      <c r="E344" s="23" t="n"/>
      <c r="F344" s="23" t="n"/>
      <c r="G344" s="23" t="n"/>
      <c r="H344" s="23" t="n"/>
      <c r="I344" s="23" t="n"/>
    </row>
    <row r="345">
      <c r="A345" s="6" t="n"/>
      <c r="B345" s="23" t="n"/>
      <c r="C345" s="23" t="n"/>
      <c r="D345" s="23" t="n"/>
      <c r="E345" s="23" t="n"/>
      <c r="F345" s="23" t="n"/>
      <c r="G345" s="23" t="n"/>
      <c r="H345" s="23" t="n"/>
      <c r="I345" s="23" t="n"/>
    </row>
    <row r="346">
      <c r="A346" s="6" t="n"/>
      <c r="B346" s="23" t="n"/>
      <c r="C346" s="23" t="n"/>
      <c r="D346" s="23" t="n"/>
      <c r="E346" s="23" t="n"/>
      <c r="F346" s="23" t="n"/>
      <c r="G346" s="23" t="n"/>
      <c r="H346" s="23" t="n"/>
      <c r="I346" s="23" t="n"/>
    </row>
    <row r="347">
      <c r="A347" s="6" t="n"/>
      <c r="B347" s="23" t="n"/>
      <c r="C347" s="23" t="n"/>
      <c r="D347" s="23" t="n"/>
      <c r="E347" s="23" t="n"/>
      <c r="F347" s="23" t="n"/>
      <c r="G347" s="23" t="n"/>
      <c r="H347" s="23" t="n"/>
      <c r="I347" s="23" t="n"/>
    </row>
    <row r="348">
      <c r="A348" s="6" t="n"/>
      <c r="B348" s="23" t="n"/>
      <c r="C348" s="23" t="n"/>
      <c r="D348" s="23" t="n"/>
      <c r="E348" s="23" t="n"/>
      <c r="F348" s="23" t="n"/>
      <c r="G348" s="23" t="n"/>
      <c r="H348" s="23" t="n"/>
      <c r="I348" s="23" t="n"/>
    </row>
    <row r="349">
      <c r="A349" s="6" t="n"/>
      <c r="B349" s="23" t="n"/>
      <c r="C349" s="23" t="n"/>
      <c r="D349" s="23" t="n"/>
      <c r="E349" s="23" t="n"/>
      <c r="F349" s="23" t="n"/>
      <c r="G349" s="23" t="n"/>
      <c r="H349" s="23" t="n"/>
      <c r="I349" s="23" t="n"/>
    </row>
    <row r="350">
      <c r="A350" s="6" t="n"/>
      <c r="B350" s="23" t="n"/>
      <c r="C350" s="23" t="n"/>
      <c r="D350" s="23" t="n"/>
      <c r="E350" s="23" t="n"/>
      <c r="F350" s="23" t="n"/>
      <c r="G350" s="23" t="n"/>
      <c r="H350" s="23" t="n"/>
      <c r="I350" s="23" t="n"/>
    </row>
    <row r="351">
      <c r="A351" s="6" t="n"/>
      <c r="B351" s="23" t="n"/>
      <c r="C351" s="23" t="n"/>
      <c r="D351" s="23" t="n"/>
      <c r="E351" s="23" t="n"/>
      <c r="F351" s="23" t="n"/>
      <c r="G351" s="23" t="n"/>
      <c r="H351" s="23" t="n"/>
      <c r="I351" s="23" t="n"/>
    </row>
    <row r="352">
      <c r="A352" s="6" t="n"/>
      <c r="B352" s="23" t="n"/>
      <c r="C352" s="23" t="n"/>
      <c r="D352" s="23" t="n"/>
      <c r="E352" s="23" t="n"/>
      <c r="F352" s="23" t="n"/>
      <c r="G352" s="23" t="n"/>
      <c r="H352" s="23" t="n"/>
      <c r="I352" s="23" t="n"/>
    </row>
    <row r="353">
      <c r="A353" s="6" t="n"/>
      <c r="B353" s="23" t="n"/>
      <c r="C353" s="23" t="n"/>
      <c r="D353" s="23" t="n"/>
      <c r="E353" s="23" t="n"/>
      <c r="F353" s="23" t="n"/>
      <c r="G353" s="23" t="n"/>
      <c r="H353" s="23" t="n"/>
      <c r="I353" s="23" t="n"/>
    </row>
    <row r="354">
      <c r="A354" s="6" t="n"/>
      <c r="B354" s="23" t="n"/>
      <c r="C354" s="23" t="n"/>
      <c r="D354" s="23" t="n"/>
      <c r="E354" s="23" t="n"/>
      <c r="F354" s="23" t="n"/>
      <c r="G354" s="23" t="n"/>
      <c r="H354" s="23" t="n"/>
      <c r="I354" s="23" t="n"/>
    </row>
    <row r="355">
      <c r="A355" s="6" t="n"/>
      <c r="B355" s="23" t="n"/>
      <c r="C355" s="23" t="n"/>
      <c r="D355" s="23" t="n"/>
      <c r="E355" s="23" t="n"/>
      <c r="F355" s="23" t="n"/>
      <c r="G355" s="23" t="n"/>
      <c r="H355" s="23" t="n"/>
      <c r="I355" s="23" t="n"/>
    </row>
    <row r="356">
      <c r="A356" s="6" t="n"/>
      <c r="B356" s="23" t="n"/>
      <c r="C356" s="23" t="n"/>
      <c r="D356" s="23" t="n"/>
      <c r="E356" s="23" t="n"/>
      <c r="F356" s="23" t="n"/>
      <c r="G356" s="23" t="n"/>
      <c r="H356" s="23" t="n"/>
      <c r="I356" s="23" t="n"/>
    </row>
    <row r="357">
      <c r="A357" s="6" t="n"/>
      <c r="B357" s="23" t="n"/>
      <c r="C357" s="23" t="n"/>
      <c r="D357" s="23" t="n"/>
      <c r="E357" s="23" t="n"/>
      <c r="F357" s="23" t="n"/>
      <c r="G357" s="23" t="n"/>
      <c r="H357" s="23" t="n"/>
      <c r="I357" s="23" t="n"/>
    </row>
    <row r="358">
      <c r="A358" s="6" t="n"/>
      <c r="B358" s="23" t="n"/>
      <c r="C358" s="23" t="n"/>
      <c r="D358" s="23" t="n"/>
      <c r="E358" s="23" t="n"/>
      <c r="F358" s="23" t="n"/>
      <c r="G358" s="23" t="n"/>
      <c r="H358" s="23" t="n"/>
      <c r="I358" s="23" t="n"/>
    </row>
    <row r="359">
      <c r="A359" s="6" t="n"/>
      <c r="B359" s="23" t="n"/>
      <c r="C359" s="23" t="n"/>
      <c r="D359" s="23" t="n"/>
      <c r="E359" s="23" t="n"/>
      <c r="F359" s="23" t="n"/>
      <c r="G359" s="23" t="n"/>
      <c r="H359" s="23" t="n"/>
      <c r="I359" s="23" t="n"/>
    </row>
    <row r="360">
      <c r="A360" s="6" t="n"/>
      <c r="B360" s="23" t="n"/>
      <c r="C360" s="23" t="n"/>
      <c r="D360" s="23" t="n"/>
      <c r="E360" s="23" t="n"/>
      <c r="F360" s="23" t="n"/>
      <c r="G360" s="23" t="n"/>
      <c r="H360" s="23" t="n"/>
      <c r="I360" s="23" t="n"/>
    </row>
    <row r="361">
      <c r="A361" s="6" t="n"/>
      <c r="B361" s="23" t="n"/>
      <c r="C361" s="23" t="n"/>
      <c r="D361" s="23" t="n"/>
      <c r="E361" s="23" t="n"/>
      <c r="F361" s="23" t="n"/>
      <c r="G361" s="23" t="n"/>
      <c r="H361" s="23" t="n"/>
      <c r="I361" s="23" t="n"/>
    </row>
    <row r="362">
      <c r="A362" s="6" t="n"/>
      <c r="B362" s="23" t="n"/>
      <c r="C362" s="23" t="n"/>
      <c r="D362" s="23" t="n"/>
      <c r="E362" s="23" t="n"/>
      <c r="F362" s="23" t="n"/>
      <c r="G362" s="23" t="n"/>
      <c r="H362" s="23" t="n"/>
      <c r="I362" s="23" t="n"/>
    </row>
    <row r="363">
      <c r="A363" s="6" t="n"/>
      <c r="B363" s="23" t="n"/>
      <c r="C363" s="23" t="n"/>
      <c r="D363" s="23" t="n"/>
      <c r="E363" s="23" t="n"/>
      <c r="F363" s="23" t="n"/>
      <c r="G363" s="23" t="n"/>
      <c r="H363" s="23" t="n"/>
      <c r="I363" s="23" t="n"/>
    </row>
    <row r="364">
      <c r="A364" s="6" t="n"/>
      <c r="B364" s="23" t="n"/>
      <c r="C364" s="23" t="n"/>
      <c r="D364" s="23" t="n"/>
      <c r="E364" s="23" t="n"/>
      <c r="F364" s="23" t="n"/>
      <c r="G364" s="23" t="n"/>
      <c r="H364" s="23" t="n"/>
      <c r="I364" s="23" t="n"/>
    </row>
    <row r="365">
      <c r="A365" s="6" t="n"/>
      <c r="B365" s="23" t="n"/>
      <c r="C365" s="23" t="n"/>
      <c r="D365" s="23" t="n"/>
      <c r="E365" s="23" t="n"/>
      <c r="F365" s="23" t="n"/>
      <c r="G365" s="23" t="n"/>
      <c r="H365" s="23" t="n"/>
      <c r="I365" s="23" t="n"/>
    </row>
    <row r="366">
      <c r="A366" s="6" t="n"/>
      <c r="B366" s="23" t="n"/>
      <c r="C366" s="23" t="n"/>
      <c r="D366" s="23" t="n"/>
      <c r="E366" s="23" t="n"/>
      <c r="F366" s="23" t="n"/>
      <c r="G366" s="23" t="n"/>
      <c r="H366" s="23" t="n"/>
      <c r="I366" s="23" t="n"/>
    </row>
    <row r="367">
      <c r="A367" s="6" t="n"/>
      <c r="B367" s="23" t="n"/>
      <c r="C367" s="23" t="n"/>
      <c r="D367" s="23" t="n"/>
      <c r="E367" s="23" t="n"/>
      <c r="F367" s="23" t="n"/>
      <c r="G367" s="23" t="n"/>
      <c r="H367" s="23" t="n"/>
      <c r="I367" s="23" t="n"/>
    </row>
    <row r="368">
      <c r="A368" s="6" t="n"/>
      <c r="B368" s="23" t="n"/>
      <c r="C368" s="23" t="n"/>
      <c r="D368" s="23" t="n"/>
      <c r="E368" s="23" t="n"/>
      <c r="F368" s="23" t="n"/>
      <c r="G368" s="23" t="n"/>
      <c r="H368" s="23" t="n"/>
      <c r="I368" s="23" t="n"/>
    </row>
    <row r="369">
      <c r="A369" s="6" t="n"/>
      <c r="B369" s="23" t="n"/>
      <c r="C369" s="23" t="n"/>
      <c r="D369" s="23" t="n"/>
      <c r="E369" s="23" t="n"/>
      <c r="F369" s="23" t="n"/>
      <c r="G369" s="23" t="n"/>
      <c r="H369" s="23" t="n"/>
      <c r="I369" s="23" t="n"/>
    </row>
    <row r="370">
      <c r="A370" s="6" t="n"/>
      <c r="B370" s="23" t="n"/>
      <c r="C370" s="23" t="n"/>
      <c r="D370" s="23" t="n"/>
      <c r="E370" s="23" t="n"/>
      <c r="F370" s="23" t="n"/>
      <c r="G370" s="23" t="n"/>
      <c r="H370" s="23" t="n"/>
      <c r="I370" s="23" t="n"/>
    </row>
    <row r="371">
      <c r="A371" s="6" t="n"/>
      <c r="B371" s="23" t="n"/>
      <c r="C371" s="23" t="n"/>
      <c r="D371" s="23" t="n"/>
      <c r="E371" s="23" t="n"/>
      <c r="F371" s="23" t="n"/>
      <c r="G371" s="23" t="n"/>
      <c r="H371" s="23" t="n"/>
      <c r="I371" s="23" t="n"/>
    </row>
    <row r="372">
      <c r="A372" s="6" t="n"/>
      <c r="B372" s="23" t="n"/>
      <c r="C372" s="23" t="n"/>
      <c r="D372" s="23" t="n"/>
      <c r="E372" s="23" t="n"/>
      <c r="F372" s="23" t="n"/>
      <c r="G372" s="23" t="n"/>
      <c r="H372" s="23" t="n"/>
      <c r="I372" s="23" t="n"/>
    </row>
    <row r="373">
      <c r="A373" s="6" t="n"/>
      <c r="B373" s="23" t="n"/>
      <c r="C373" s="23" t="n"/>
      <c r="D373" s="23" t="n"/>
      <c r="E373" s="23" t="n"/>
      <c r="F373" s="23" t="n"/>
      <c r="G373" s="23" t="n"/>
      <c r="H373" s="23" t="n"/>
      <c r="I373" s="23" t="n"/>
    </row>
    <row r="374">
      <c r="A374" s="6" t="n"/>
      <c r="B374" s="23" t="n"/>
      <c r="C374" s="23" t="n"/>
      <c r="D374" s="23" t="n"/>
      <c r="E374" s="23" t="n"/>
      <c r="F374" s="23" t="n"/>
      <c r="G374" s="23" t="n"/>
      <c r="H374" s="23" t="n"/>
      <c r="I374" s="23" t="n"/>
    </row>
    <row r="375">
      <c r="A375" s="6" t="n"/>
      <c r="B375" s="23" t="n"/>
      <c r="C375" s="23" t="n"/>
      <c r="D375" s="23" t="n"/>
      <c r="E375" s="23" t="n"/>
      <c r="F375" s="23" t="n"/>
      <c r="G375" s="23" t="n"/>
      <c r="H375" s="23" t="n"/>
      <c r="I375" s="23" t="n"/>
    </row>
    <row r="376">
      <c r="A376" s="6" t="n"/>
      <c r="B376" s="23" t="n"/>
      <c r="C376" s="23" t="n"/>
      <c r="D376" s="23" t="n"/>
      <c r="E376" s="23" t="n"/>
      <c r="F376" s="23" t="n"/>
      <c r="G376" s="23" t="n"/>
      <c r="H376" s="23" t="n"/>
      <c r="I376" s="23" t="n"/>
    </row>
    <row r="377">
      <c r="A377" s="6" t="n"/>
      <c r="B377" s="23" t="n"/>
      <c r="C377" s="23" t="n"/>
      <c r="D377" s="23" t="n"/>
      <c r="E377" s="23" t="n"/>
      <c r="F377" s="23" t="n"/>
      <c r="G377" s="23" t="n"/>
      <c r="H377" s="23" t="n"/>
      <c r="I377" s="23" t="n"/>
    </row>
    <row r="378">
      <c r="A378" s="6" t="n"/>
      <c r="B378" s="23" t="n"/>
      <c r="C378" s="23" t="n"/>
      <c r="D378" s="23" t="n"/>
      <c r="E378" s="23" t="n"/>
      <c r="F378" s="23" t="n"/>
      <c r="G378" s="23" t="n"/>
      <c r="H378" s="23" t="n"/>
      <c r="I378" s="23" t="n"/>
    </row>
    <row r="379">
      <c r="A379" s="6" t="n"/>
      <c r="B379" s="23" t="n"/>
      <c r="C379" s="23" t="n"/>
      <c r="D379" s="23" t="n"/>
      <c r="E379" s="23" t="n"/>
      <c r="F379" s="23" t="n"/>
      <c r="G379" s="23" t="n"/>
      <c r="H379" s="23" t="n"/>
      <c r="I379" s="23" t="n"/>
    </row>
    <row r="380">
      <c r="A380" s="6" t="n"/>
      <c r="B380" s="23" t="n"/>
      <c r="C380" s="23" t="n"/>
      <c r="D380" s="23" t="n"/>
      <c r="E380" s="23" t="n"/>
      <c r="F380" s="23" t="n"/>
      <c r="G380" s="23" t="n"/>
      <c r="H380" s="23" t="n"/>
      <c r="I380" s="23" t="n"/>
    </row>
    <row r="381">
      <c r="A381" s="6" t="n"/>
      <c r="B381" s="23" t="n"/>
      <c r="C381" s="23" t="n"/>
      <c r="D381" s="23" t="n"/>
      <c r="E381" s="23" t="n"/>
      <c r="F381" s="23" t="n"/>
      <c r="G381" s="23" t="n"/>
      <c r="H381" s="23" t="n"/>
      <c r="I381" s="23" t="n"/>
    </row>
    <row r="382">
      <c r="A382" s="6" t="n"/>
      <c r="B382" s="23" t="n"/>
      <c r="C382" s="23" t="n"/>
      <c r="D382" s="23" t="n"/>
      <c r="E382" s="23" t="n"/>
      <c r="F382" s="23" t="n"/>
      <c r="G382" s="23" t="n"/>
      <c r="H382" s="23" t="n"/>
      <c r="I382" s="23" t="n"/>
    </row>
    <row r="383">
      <c r="A383" s="6" t="n"/>
      <c r="B383" s="23" t="n"/>
      <c r="C383" s="23" t="n"/>
      <c r="D383" s="23" t="n"/>
      <c r="E383" s="23" t="n"/>
      <c r="F383" s="23" t="n"/>
      <c r="G383" s="23" t="n"/>
      <c r="H383" s="23" t="n"/>
      <c r="I383" s="23" t="n"/>
    </row>
    <row r="384">
      <c r="A384" s="6" t="n"/>
      <c r="B384" s="23" t="n"/>
      <c r="C384" s="23" t="n"/>
      <c r="D384" s="23" t="n"/>
      <c r="E384" s="23" t="n"/>
      <c r="F384" s="23" t="n"/>
      <c r="G384" s="23" t="n"/>
      <c r="H384" s="23" t="n"/>
      <c r="I384" s="23" t="n"/>
    </row>
    <row r="385">
      <c r="A385" s="6" t="n"/>
      <c r="B385" s="23" t="n"/>
      <c r="C385" s="23" t="n"/>
      <c r="D385" s="23" t="n"/>
      <c r="E385" s="23" t="n"/>
      <c r="F385" s="23" t="n"/>
      <c r="G385" s="23" t="n"/>
      <c r="H385" s="23" t="n"/>
      <c r="I385" s="23" t="n"/>
    </row>
    <row r="386">
      <c r="A386" s="6" t="n"/>
      <c r="B386" s="23" t="n"/>
      <c r="C386" s="23" t="n"/>
      <c r="D386" s="23" t="n"/>
      <c r="E386" s="23" t="n"/>
      <c r="F386" s="23" t="n"/>
      <c r="G386" s="23" t="n"/>
      <c r="H386" s="23" t="n"/>
      <c r="I386" s="23" t="n"/>
    </row>
    <row r="387">
      <c r="A387" s="6" t="n"/>
      <c r="B387" s="23" t="n"/>
      <c r="C387" s="23" t="n"/>
      <c r="D387" s="23" t="n"/>
      <c r="E387" s="23" t="n"/>
      <c r="F387" s="23" t="n"/>
      <c r="G387" s="23" t="n"/>
      <c r="H387" s="23" t="n"/>
      <c r="I387" s="23" t="n"/>
    </row>
    <row r="388">
      <c r="A388" s="6" t="n"/>
      <c r="B388" s="23" t="n"/>
      <c r="C388" s="23" t="n"/>
      <c r="D388" s="23" t="n"/>
      <c r="E388" s="23" t="n"/>
      <c r="F388" s="23" t="n"/>
      <c r="G388" s="23" t="n"/>
      <c r="H388" s="23" t="n"/>
      <c r="I388" s="23" t="n"/>
    </row>
    <row r="389">
      <c r="A389" s="6" t="n"/>
      <c r="B389" s="23" t="n"/>
      <c r="C389" s="23" t="n"/>
      <c r="D389" s="23" t="n"/>
      <c r="E389" s="23" t="n"/>
      <c r="F389" s="23" t="n"/>
      <c r="G389" s="23" t="n"/>
      <c r="H389" s="23" t="n"/>
      <c r="I389" s="23" t="n"/>
    </row>
    <row r="390">
      <c r="A390" s="6" t="n"/>
      <c r="B390" s="23" t="n"/>
      <c r="C390" s="23" t="n"/>
      <c r="D390" s="23" t="n"/>
      <c r="E390" s="23" t="n"/>
      <c r="F390" s="23" t="n"/>
      <c r="G390" s="23" t="n"/>
      <c r="H390" s="23" t="n"/>
      <c r="I390" s="23" t="n"/>
    </row>
    <row r="391">
      <c r="A391" s="6" t="n"/>
      <c r="B391" s="23" t="n"/>
      <c r="C391" s="23" t="n"/>
      <c r="D391" s="23" t="n"/>
      <c r="E391" s="23" t="n"/>
      <c r="F391" s="23" t="n"/>
      <c r="G391" s="23" t="n"/>
      <c r="H391" s="23" t="n"/>
      <c r="I391" s="23" t="n"/>
    </row>
    <row r="392">
      <c r="A392" s="6" t="n"/>
      <c r="B392" s="23" t="n"/>
      <c r="C392" s="23" t="n"/>
      <c r="D392" s="23" t="n"/>
      <c r="E392" s="23" t="n"/>
      <c r="F392" s="23" t="n"/>
      <c r="G392" s="23" t="n"/>
      <c r="H392" s="23" t="n"/>
      <c r="I392" s="23" t="n"/>
    </row>
    <row r="393">
      <c r="A393" s="6" t="n"/>
      <c r="B393" s="23" t="n"/>
      <c r="C393" s="23" t="n"/>
      <c r="D393" s="23" t="n"/>
      <c r="E393" s="23" t="n"/>
      <c r="F393" s="23" t="n"/>
      <c r="G393" s="23" t="n"/>
      <c r="H393" s="23" t="n"/>
      <c r="I393" s="23" t="n"/>
    </row>
    <row r="394">
      <c r="A394" s="6" t="n"/>
      <c r="B394" s="23" t="n"/>
      <c r="C394" s="23" t="n"/>
      <c r="D394" s="23" t="n"/>
      <c r="E394" s="23" t="n"/>
      <c r="F394" s="23" t="n"/>
      <c r="G394" s="23" t="n"/>
      <c r="H394" s="23" t="n"/>
      <c r="I394" s="23" t="n"/>
    </row>
    <row r="395">
      <c r="A395" s="6" t="n"/>
      <c r="B395" s="23" t="n"/>
      <c r="C395" s="23" t="n"/>
      <c r="D395" s="23" t="n"/>
      <c r="E395" s="23" t="n"/>
      <c r="F395" s="23" t="n"/>
      <c r="G395" s="23" t="n"/>
      <c r="H395" s="23" t="n"/>
      <c r="I395" s="23" t="n"/>
    </row>
    <row r="396">
      <c r="A396" s="6" t="n"/>
      <c r="B396" s="23" t="n"/>
      <c r="C396" s="23" t="n"/>
      <c r="D396" s="23" t="n"/>
      <c r="E396" s="23" t="n"/>
      <c r="F396" s="23" t="n"/>
      <c r="G396" s="23" t="n"/>
      <c r="H396" s="23" t="n"/>
      <c r="I396" s="23" t="n"/>
    </row>
    <row r="397">
      <c r="A397" s="6" t="n"/>
      <c r="B397" s="23" t="n"/>
      <c r="C397" s="23" t="n"/>
      <c r="D397" s="23" t="n"/>
      <c r="E397" s="23" t="n"/>
      <c r="F397" s="23" t="n"/>
      <c r="G397" s="23" t="n"/>
      <c r="H397" s="23" t="n"/>
      <c r="I397" s="23" t="n"/>
    </row>
    <row r="398">
      <c r="A398" s="6" t="n"/>
      <c r="B398" s="23" t="n"/>
      <c r="C398" s="23" t="n"/>
      <c r="D398" s="23" t="n"/>
      <c r="E398" s="23" t="n"/>
      <c r="F398" s="23" t="n"/>
      <c r="G398" s="23" t="n"/>
      <c r="H398" s="23" t="n"/>
      <c r="I398" s="23" t="n"/>
    </row>
    <row r="399">
      <c r="A399" s="6" t="n"/>
      <c r="B399" s="23" t="n"/>
      <c r="C399" s="23" t="n"/>
      <c r="D399" s="23" t="n"/>
      <c r="E399" s="23" t="n"/>
      <c r="F399" s="23" t="n"/>
      <c r="G399" s="23" t="n"/>
      <c r="H399" s="23" t="n"/>
      <c r="I399" s="23" t="n"/>
    </row>
    <row r="400">
      <c r="A400" s="6" t="n"/>
      <c r="B400" s="23" t="n"/>
      <c r="C400" s="23" t="n"/>
      <c r="D400" s="23" t="n"/>
      <c r="E400" s="23" t="n"/>
      <c r="F400" s="23" t="n"/>
      <c r="G400" s="23" t="n"/>
      <c r="H400" s="23" t="n"/>
      <c r="I400" s="23" t="n"/>
    </row>
    <row r="401">
      <c r="A401" s="6" t="n"/>
      <c r="B401" s="23" t="n"/>
      <c r="C401" s="23" t="n"/>
      <c r="D401" s="23" t="n"/>
      <c r="E401" s="23" t="n"/>
      <c r="F401" s="23" t="n"/>
      <c r="G401" s="23" t="n"/>
      <c r="H401" s="23" t="n"/>
      <c r="I401" s="23" t="n"/>
    </row>
    <row r="402">
      <c r="A402" s="6" t="n"/>
      <c r="B402" s="23" t="n"/>
      <c r="C402" s="23" t="n"/>
      <c r="D402" s="23" t="n"/>
      <c r="E402" s="23" t="n"/>
      <c r="F402" s="23" t="n"/>
      <c r="G402" s="23" t="n"/>
      <c r="H402" s="23" t="n"/>
      <c r="I402" s="23" t="n"/>
    </row>
    <row r="403">
      <c r="A403" s="6" t="n"/>
      <c r="B403" s="23" t="n"/>
      <c r="C403" s="23" t="n"/>
      <c r="D403" s="23" t="n"/>
      <c r="E403" s="23" t="n"/>
      <c r="F403" s="23" t="n"/>
      <c r="G403" s="23" t="n"/>
      <c r="H403" s="23" t="n"/>
      <c r="I403" s="23" t="n"/>
    </row>
    <row r="404">
      <c r="A404" s="6" t="n"/>
      <c r="B404" s="23" t="n"/>
      <c r="C404" s="23" t="n"/>
      <c r="D404" s="23" t="n"/>
      <c r="E404" s="23" t="n"/>
      <c r="F404" s="23" t="n"/>
      <c r="G404" s="23" t="n"/>
      <c r="H404" s="23" t="n"/>
      <c r="I404" s="23" t="n"/>
    </row>
    <row r="405">
      <c r="A405" s="6" t="n"/>
      <c r="B405" s="23" t="n"/>
      <c r="C405" s="23" t="n"/>
      <c r="D405" s="23" t="n"/>
      <c r="E405" s="23" t="n"/>
      <c r="F405" s="23" t="n"/>
      <c r="G405" s="23" t="n"/>
      <c r="H405" s="23" t="n"/>
      <c r="I405" s="23" t="n"/>
    </row>
    <row r="406">
      <c r="A406" s="6" t="n"/>
      <c r="B406" s="23" t="n"/>
      <c r="C406" s="23" t="n"/>
      <c r="D406" s="23" t="n"/>
      <c r="E406" s="23" t="n"/>
      <c r="F406" s="23" t="n"/>
      <c r="G406" s="23" t="n"/>
      <c r="H406" s="23" t="n"/>
      <c r="I406" s="23" t="n"/>
    </row>
    <row r="407">
      <c r="A407" s="6" t="n"/>
      <c r="B407" s="23" t="n"/>
      <c r="C407" s="23" t="n"/>
      <c r="D407" s="23" t="n"/>
      <c r="E407" s="23" t="n"/>
      <c r="F407" s="23" t="n"/>
      <c r="G407" s="23" t="n"/>
      <c r="H407" s="23" t="n"/>
      <c r="I407" s="23" t="n"/>
    </row>
    <row r="408">
      <c r="A408" s="6" t="n"/>
      <c r="B408" s="23" t="n"/>
      <c r="C408" s="23" t="n"/>
      <c r="D408" s="23" t="n"/>
      <c r="E408" s="23" t="n"/>
      <c r="F408" s="23" t="n"/>
      <c r="G408" s="23" t="n"/>
      <c r="H408" s="23" t="n"/>
      <c r="I408" s="23" t="n"/>
    </row>
    <row r="409">
      <c r="A409" s="6" t="n"/>
      <c r="B409" s="23" t="n"/>
      <c r="C409" s="23" t="n"/>
      <c r="D409" s="23" t="n"/>
      <c r="E409" s="23" t="n"/>
      <c r="F409" s="23" t="n"/>
      <c r="G409" s="23" t="n"/>
      <c r="H409" s="23" t="n"/>
      <c r="I409" s="23" t="n"/>
    </row>
    <row r="410">
      <c r="A410" s="6" t="n"/>
      <c r="B410" s="23" t="n"/>
      <c r="C410" s="23" t="n"/>
      <c r="D410" s="23" t="n"/>
      <c r="E410" s="23" t="n"/>
      <c r="F410" s="23" t="n"/>
      <c r="G410" s="23" t="n"/>
      <c r="H410" s="23" t="n"/>
      <c r="I410" s="23" t="n"/>
    </row>
    <row r="411">
      <c r="A411" s="6" t="n"/>
      <c r="B411" s="23" t="n"/>
      <c r="C411" s="23" t="n"/>
      <c r="D411" s="23" t="n"/>
      <c r="E411" s="23" t="n"/>
      <c r="F411" s="23" t="n"/>
      <c r="G411" s="23" t="n"/>
      <c r="H411" s="23" t="n"/>
      <c r="I411" s="23" t="n"/>
    </row>
    <row r="412">
      <c r="A412" s="6" t="n"/>
      <c r="B412" s="23" t="n"/>
      <c r="C412" s="23" t="n"/>
      <c r="D412" s="23" t="n"/>
      <c r="E412" s="23" t="n"/>
      <c r="F412" s="23" t="n"/>
      <c r="G412" s="23" t="n"/>
      <c r="H412" s="23" t="n"/>
      <c r="I412" s="23" t="n"/>
    </row>
    <row r="413">
      <c r="A413" s="6" t="n"/>
      <c r="B413" s="23" t="n"/>
      <c r="C413" s="23" t="n"/>
      <c r="D413" s="23" t="n"/>
      <c r="E413" s="23" t="n"/>
      <c r="F413" s="23" t="n"/>
      <c r="G413" s="23" t="n"/>
      <c r="H413" s="23" t="n"/>
      <c r="I413" s="23" t="n"/>
    </row>
    <row r="414">
      <c r="A414" s="6" t="n"/>
      <c r="B414" s="23" t="n"/>
      <c r="C414" s="23" t="n"/>
      <c r="D414" s="23" t="n"/>
      <c r="E414" s="23" t="n"/>
      <c r="F414" s="23" t="n"/>
      <c r="G414" s="23" t="n"/>
      <c r="H414" s="23" t="n"/>
      <c r="I414" s="23" t="n"/>
    </row>
    <row r="415">
      <c r="A415" s="6" t="n"/>
      <c r="B415" s="23" t="n"/>
      <c r="C415" s="23" t="n"/>
      <c r="D415" s="23" t="n"/>
      <c r="E415" s="23" t="n"/>
      <c r="F415" s="23" t="n"/>
      <c r="G415" s="23" t="n"/>
      <c r="H415" s="23" t="n"/>
      <c r="I415" s="23" t="n"/>
    </row>
    <row r="416">
      <c r="A416" s="6" t="n"/>
      <c r="B416" s="23" t="n"/>
      <c r="C416" s="23" t="n"/>
      <c r="D416" s="23" t="n"/>
      <c r="E416" s="23" t="n"/>
      <c r="F416" s="23" t="n"/>
      <c r="G416" s="23" t="n"/>
      <c r="H416" s="23" t="n"/>
      <c r="I416" s="23" t="n"/>
    </row>
    <row r="417">
      <c r="A417" s="6" t="n"/>
      <c r="B417" s="23" t="n"/>
      <c r="C417" s="23" t="n"/>
      <c r="D417" s="23" t="n"/>
      <c r="E417" s="23" t="n"/>
      <c r="F417" s="23" t="n"/>
      <c r="G417" s="23" t="n"/>
      <c r="H417" s="23" t="n"/>
      <c r="I417" s="23" t="n"/>
    </row>
    <row r="418">
      <c r="A418" s="6" t="n"/>
      <c r="B418" s="23" t="n"/>
      <c r="C418" s="23" t="n"/>
      <c r="D418" s="23" t="n"/>
      <c r="E418" s="23" t="n"/>
      <c r="F418" s="23" t="n"/>
      <c r="G418" s="23" t="n"/>
      <c r="H418" s="23" t="n"/>
      <c r="I418" s="23" t="n"/>
    </row>
    <row r="419">
      <c r="A419" s="6" t="n"/>
      <c r="B419" s="23" t="n"/>
      <c r="C419" s="23" t="n"/>
      <c r="D419" s="23" t="n"/>
      <c r="E419" s="23" t="n"/>
      <c r="F419" s="23" t="n"/>
      <c r="G419" s="23" t="n"/>
      <c r="H419" s="23" t="n"/>
      <c r="I419" s="23" t="n"/>
    </row>
    <row r="420">
      <c r="A420" s="6" t="n"/>
      <c r="B420" s="23" t="n"/>
      <c r="C420" s="23" t="n"/>
      <c r="D420" s="23" t="n"/>
      <c r="E420" s="23" t="n"/>
      <c r="F420" s="23" t="n"/>
      <c r="G420" s="23" t="n"/>
      <c r="H420" s="23" t="n"/>
      <c r="I420" s="23" t="n"/>
    </row>
    <row r="421">
      <c r="A421" s="6" t="n"/>
      <c r="B421" s="23" t="n"/>
      <c r="C421" s="23" t="n"/>
      <c r="D421" s="23" t="n"/>
      <c r="E421" s="23" t="n"/>
      <c r="F421" s="23" t="n"/>
      <c r="G421" s="23" t="n"/>
      <c r="H421" s="23" t="n"/>
      <c r="I421" s="23" t="n"/>
    </row>
    <row r="422">
      <c r="A422" s="6" t="n"/>
      <c r="B422" s="23" t="n"/>
      <c r="C422" s="23" t="n"/>
      <c r="D422" s="23" t="n"/>
      <c r="E422" s="23" t="n"/>
      <c r="F422" s="23" t="n"/>
      <c r="G422" s="23" t="n"/>
      <c r="H422" s="23" t="n"/>
      <c r="I422" s="23" t="n"/>
    </row>
    <row r="423">
      <c r="A423" s="6" t="n"/>
      <c r="B423" s="23" t="n"/>
      <c r="C423" s="23" t="n"/>
      <c r="D423" s="23" t="n"/>
      <c r="E423" s="23" t="n"/>
      <c r="F423" s="23" t="n"/>
      <c r="G423" s="23" t="n"/>
      <c r="H423" s="23" t="n"/>
      <c r="I423" s="23" t="n"/>
    </row>
    <row r="424">
      <c r="A424" s="6" t="n"/>
      <c r="B424" s="23" t="n"/>
      <c r="C424" s="23" t="n"/>
      <c r="D424" s="23" t="n"/>
      <c r="E424" s="23" t="n"/>
      <c r="F424" s="23" t="n"/>
      <c r="G424" s="23" t="n"/>
      <c r="H424" s="23" t="n"/>
      <c r="I424" s="23" t="n"/>
    </row>
    <row r="425">
      <c r="A425" s="6" t="n"/>
      <c r="B425" s="23" t="n"/>
      <c r="C425" s="23" t="n"/>
      <c r="D425" s="23" t="n"/>
      <c r="E425" s="23" t="n"/>
      <c r="F425" s="23" t="n"/>
      <c r="G425" s="23" t="n"/>
      <c r="H425" s="23" t="n"/>
      <c r="I425" s="23" t="n"/>
    </row>
    <row r="426">
      <c r="A426" s="6" t="n"/>
      <c r="B426" s="23" t="n"/>
      <c r="C426" s="23" t="n"/>
      <c r="D426" s="23" t="n"/>
      <c r="E426" s="23" t="n"/>
      <c r="F426" s="23" t="n"/>
      <c r="G426" s="23" t="n"/>
      <c r="H426" s="23" t="n"/>
      <c r="I426" s="23" t="n"/>
    </row>
    <row r="427">
      <c r="A427" s="6" t="n"/>
      <c r="B427" s="23" t="n"/>
      <c r="C427" s="23" t="n"/>
      <c r="D427" s="23" t="n"/>
      <c r="E427" s="23" t="n"/>
      <c r="F427" s="23" t="n"/>
      <c r="G427" s="23" t="n"/>
      <c r="H427" s="23" t="n"/>
      <c r="I427" s="23" t="n"/>
    </row>
    <row r="428">
      <c r="A428" s="6" t="n"/>
      <c r="B428" s="23" t="n"/>
      <c r="C428" s="23" t="n"/>
      <c r="D428" s="23" t="n"/>
      <c r="E428" s="23" t="n"/>
      <c r="F428" s="23" t="n"/>
      <c r="G428" s="23" t="n"/>
      <c r="H428" s="23" t="n"/>
      <c r="I428" s="23" t="n"/>
    </row>
    <row r="429">
      <c r="A429" s="6" t="n"/>
      <c r="B429" s="23" t="n"/>
      <c r="C429" s="23" t="n"/>
      <c r="D429" s="23" t="n"/>
      <c r="E429" s="23" t="n"/>
      <c r="F429" s="23" t="n"/>
      <c r="G429" s="23" t="n"/>
      <c r="H429" s="23" t="n"/>
      <c r="I429" s="23" t="n"/>
    </row>
    <row r="430">
      <c r="A430" s="6" t="n"/>
      <c r="B430" s="23" t="n"/>
      <c r="C430" s="23" t="n"/>
      <c r="D430" s="23" t="n"/>
      <c r="E430" s="23" t="n"/>
      <c r="F430" s="23" t="n"/>
      <c r="G430" s="23" t="n"/>
      <c r="H430" s="23" t="n"/>
      <c r="I430" s="23" t="n"/>
    </row>
    <row r="431">
      <c r="A431" s="6" t="n"/>
      <c r="B431" s="23" t="n"/>
      <c r="C431" s="23" t="n"/>
      <c r="D431" s="23" t="n"/>
      <c r="E431" s="23" t="n"/>
      <c r="F431" s="23" t="n"/>
      <c r="G431" s="23" t="n"/>
      <c r="H431" s="23" t="n"/>
      <c r="I431" s="23" t="n"/>
    </row>
    <row r="432">
      <c r="A432" s="6" t="n"/>
      <c r="B432" s="23" t="n"/>
      <c r="C432" s="23" t="n"/>
      <c r="D432" s="23" t="n"/>
      <c r="E432" s="23" t="n"/>
      <c r="F432" s="23" t="n"/>
      <c r="G432" s="23" t="n"/>
      <c r="H432" s="23" t="n"/>
      <c r="I432" s="23" t="n"/>
    </row>
    <row r="433">
      <c r="A433" s="6" t="n"/>
      <c r="B433" s="23" t="n"/>
      <c r="C433" s="23" t="n"/>
      <c r="D433" s="23" t="n"/>
      <c r="E433" s="23" t="n"/>
      <c r="F433" s="23" t="n"/>
      <c r="G433" s="23" t="n"/>
      <c r="H433" s="23" t="n"/>
      <c r="I433" s="23" t="n"/>
    </row>
    <row r="434">
      <c r="A434" s="6" t="n"/>
      <c r="B434" s="23" t="n"/>
      <c r="C434" s="23" t="n"/>
      <c r="D434" s="23" t="n"/>
      <c r="E434" s="23" t="n"/>
      <c r="F434" s="23" t="n"/>
      <c r="G434" s="23" t="n"/>
      <c r="H434" s="23" t="n"/>
      <c r="I434" s="23" t="n"/>
    </row>
    <row r="435">
      <c r="A435" s="6" t="n"/>
      <c r="B435" s="23" t="n"/>
      <c r="C435" s="23" t="n"/>
      <c r="D435" s="23" t="n"/>
      <c r="E435" s="23" t="n"/>
      <c r="F435" s="23" t="n"/>
      <c r="G435" s="23" t="n"/>
      <c r="H435" s="23" t="n"/>
      <c r="I435" s="23" t="n"/>
    </row>
    <row r="436">
      <c r="A436" s="6" t="n"/>
      <c r="B436" s="23" t="n"/>
      <c r="C436" s="23" t="n"/>
      <c r="D436" s="23" t="n"/>
      <c r="E436" s="23" t="n"/>
      <c r="F436" s="23" t="n"/>
      <c r="G436" s="23" t="n"/>
      <c r="H436" s="23" t="n"/>
      <c r="I436" s="23" t="n"/>
    </row>
    <row r="437">
      <c r="A437" s="6" t="n"/>
      <c r="B437" s="23" t="n"/>
      <c r="C437" s="23" t="n"/>
      <c r="D437" s="23" t="n"/>
      <c r="E437" s="23" t="n"/>
      <c r="F437" s="23" t="n"/>
      <c r="G437" s="23" t="n"/>
      <c r="H437" s="23" t="n"/>
      <c r="I437" s="23" t="n"/>
    </row>
    <row r="438">
      <c r="A438" s="6" t="n"/>
      <c r="B438" s="23" t="n"/>
      <c r="C438" s="23" t="n"/>
      <c r="D438" s="23" t="n"/>
      <c r="E438" s="23" t="n"/>
      <c r="F438" s="23" t="n"/>
      <c r="G438" s="23" t="n"/>
      <c r="H438" s="23" t="n"/>
      <c r="I438" s="23" t="n"/>
    </row>
    <row r="439">
      <c r="A439" s="6" t="n"/>
      <c r="B439" s="23" t="n"/>
      <c r="C439" s="23" t="n"/>
      <c r="D439" s="23" t="n"/>
      <c r="E439" s="23" t="n"/>
      <c r="F439" s="23" t="n"/>
      <c r="G439" s="23" t="n"/>
      <c r="H439" s="23" t="n"/>
      <c r="I439" s="23" t="n"/>
    </row>
    <row r="440">
      <c r="A440" s="6" t="n"/>
      <c r="B440" s="23" t="n"/>
      <c r="C440" s="23" t="n"/>
      <c r="D440" s="23" t="n"/>
      <c r="E440" s="23" t="n"/>
      <c r="F440" s="23" t="n"/>
      <c r="G440" s="23" t="n"/>
      <c r="H440" s="23" t="n"/>
      <c r="I440" s="23" t="n"/>
    </row>
    <row r="441">
      <c r="A441" s="6" t="n"/>
      <c r="B441" s="23" t="n"/>
      <c r="C441" s="23" t="n"/>
      <c r="D441" s="23" t="n"/>
      <c r="E441" s="23" t="n"/>
      <c r="F441" s="23" t="n"/>
      <c r="G441" s="23" t="n"/>
      <c r="H441" s="23" t="n"/>
      <c r="I441" s="23" t="n"/>
    </row>
    <row r="442">
      <c r="A442" s="6" t="n"/>
      <c r="B442" s="23" t="n"/>
      <c r="C442" s="23" t="n"/>
      <c r="D442" s="23" t="n"/>
      <c r="E442" s="23" t="n"/>
      <c r="F442" s="23" t="n"/>
      <c r="G442" s="23" t="n"/>
      <c r="H442" s="23" t="n"/>
      <c r="I442" s="23" t="n"/>
    </row>
    <row r="443">
      <c r="A443" s="6" t="n"/>
      <c r="B443" s="23" t="n"/>
      <c r="C443" s="23" t="n"/>
      <c r="D443" s="23" t="n"/>
      <c r="E443" s="23" t="n"/>
      <c r="F443" s="23" t="n"/>
      <c r="G443" s="23" t="n"/>
      <c r="H443" s="23" t="n"/>
      <c r="I443" s="23" t="n"/>
    </row>
    <row r="444">
      <c r="A444" s="6" t="n"/>
      <c r="B444" s="23" t="n"/>
      <c r="C444" s="23" t="n"/>
      <c r="D444" s="23" t="n"/>
      <c r="E444" s="23" t="n"/>
      <c r="F444" s="23" t="n"/>
      <c r="G444" s="23" t="n"/>
      <c r="H444" s="23" t="n"/>
      <c r="I444" s="23" t="n"/>
    </row>
    <row r="445">
      <c r="A445" s="6" t="n"/>
      <c r="B445" s="23" t="n"/>
      <c r="C445" s="23" t="n"/>
      <c r="D445" s="23" t="n"/>
      <c r="E445" s="23" t="n"/>
      <c r="F445" s="23" t="n"/>
      <c r="G445" s="23" t="n"/>
      <c r="H445" s="23" t="n"/>
      <c r="I445" s="23" t="n"/>
    </row>
    <row r="446">
      <c r="A446" s="6" t="n"/>
      <c r="B446" s="23" t="n"/>
      <c r="C446" s="23" t="n"/>
      <c r="D446" s="23" t="n"/>
      <c r="E446" s="23" t="n"/>
      <c r="F446" s="23" t="n"/>
      <c r="G446" s="23" t="n"/>
      <c r="H446" s="23" t="n"/>
      <c r="I446" s="23" t="n"/>
    </row>
    <row r="447">
      <c r="A447" s="6" t="n"/>
      <c r="B447" s="23" t="n"/>
      <c r="C447" s="23" t="n"/>
      <c r="D447" s="23" t="n"/>
      <c r="E447" s="23" t="n"/>
      <c r="F447" s="23" t="n"/>
      <c r="G447" s="23" t="n"/>
      <c r="H447" s="23" t="n"/>
      <c r="I447" s="23" t="n"/>
    </row>
    <row r="448">
      <c r="A448" s="6" t="n"/>
      <c r="B448" s="23" t="n"/>
      <c r="C448" s="23" t="n"/>
      <c r="D448" s="23" t="n"/>
      <c r="E448" s="23" t="n"/>
      <c r="F448" s="23" t="n"/>
      <c r="G448" s="23" t="n"/>
      <c r="H448" s="23" t="n"/>
      <c r="I448" s="23" t="n"/>
    </row>
    <row r="449">
      <c r="A449" s="6" t="n"/>
      <c r="B449" s="23" t="n"/>
      <c r="C449" s="23" t="n"/>
      <c r="D449" s="23" t="n"/>
      <c r="E449" s="23" t="n"/>
      <c r="F449" s="23" t="n"/>
      <c r="G449" s="23" t="n"/>
      <c r="H449" s="23" t="n"/>
      <c r="I449" s="23" t="n"/>
    </row>
    <row r="450">
      <c r="A450" s="6" t="n"/>
      <c r="B450" s="23" t="n"/>
      <c r="C450" s="23" t="n"/>
      <c r="D450" s="23" t="n"/>
      <c r="E450" s="23" t="n"/>
      <c r="F450" s="23" t="n"/>
      <c r="G450" s="23" t="n"/>
      <c r="H450" s="23" t="n"/>
      <c r="I450" s="23" t="n"/>
    </row>
    <row r="451">
      <c r="A451" s="6" t="n"/>
      <c r="B451" s="23" t="n"/>
      <c r="C451" s="23" t="n"/>
      <c r="D451" s="23" t="n"/>
      <c r="E451" s="23" t="n"/>
      <c r="F451" s="23" t="n"/>
      <c r="G451" s="23" t="n"/>
      <c r="H451" s="23" t="n"/>
      <c r="I451" s="23" t="n"/>
    </row>
    <row r="452">
      <c r="A452" s="6" t="n"/>
      <c r="B452" s="23" t="n"/>
      <c r="C452" s="23" t="n"/>
      <c r="D452" s="23" t="n"/>
      <c r="E452" s="23" t="n"/>
      <c r="F452" s="23" t="n"/>
      <c r="G452" s="23" t="n"/>
      <c r="H452" s="23" t="n"/>
      <c r="I452" s="23" t="n"/>
    </row>
    <row r="453">
      <c r="A453" s="6" t="n"/>
      <c r="B453" s="23" t="n"/>
      <c r="C453" s="23" t="n"/>
      <c r="D453" s="23" t="n"/>
      <c r="E453" s="23" t="n"/>
      <c r="F453" s="23" t="n"/>
      <c r="G453" s="23" t="n"/>
      <c r="H453" s="23" t="n"/>
      <c r="I453" s="23" t="n"/>
    </row>
    <row r="454">
      <c r="A454" s="6" t="n"/>
      <c r="B454" s="23" t="n"/>
      <c r="C454" s="23" t="n"/>
      <c r="D454" s="23" t="n"/>
      <c r="E454" s="23" t="n"/>
      <c r="F454" s="23" t="n"/>
      <c r="G454" s="23" t="n"/>
      <c r="H454" s="23" t="n"/>
      <c r="I454" s="23" t="n"/>
    </row>
    <row r="455">
      <c r="A455" s="6" t="n"/>
      <c r="B455" s="23" t="n"/>
      <c r="C455" s="23" t="n"/>
      <c r="D455" s="23" t="n"/>
      <c r="E455" s="23" t="n"/>
      <c r="F455" s="23" t="n"/>
      <c r="G455" s="23" t="n"/>
      <c r="H455" s="23" t="n"/>
      <c r="I455" s="23" t="n"/>
    </row>
    <row r="456">
      <c r="A456" s="6" t="n"/>
      <c r="B456" s="23" t="n"/>
      <c r="C456" s="23" t="n"/>
      <c r="D456" s="23" t="n"/>
      <c r="E456" s="23" t="n"/>
      <c r="F456" s="23" t="n"/>
      <c r="G456" s="23" t="n"/>
      <c r="H456" s="23" t="n"/>
      <c r="I456" s="23" t="n"/>
    </row>
    <row r="457">
      <c r="A457" s="6" t="n"/>
      <c r="B457" s="23" t="n"/>
      <c r="C457" s="23" t="n"/>
      <c r="D457" s="23" t="n"/>
      <c r="E457" s="23" t="n"/>
      <c r="F457" s="23" t="n"/>
      <c r="G457" s="23" t="n"/>
      <c r="H457" s="23" t="n"/>
      <c r="I457" s="23" t="n"/>
    </row>
    <row r="458">
      <c r="A458" s="6" t="n"/>
      <c r="B458" s="23" t="n"/>
      <c r="C458" s="23" t="n"/>
      <c r="D458" s="23" t="n"/>
      <c r="E458" s="23" t="n"/>
      <c r="F458" s="23" t="n"/>
      <c r="G458" s="23" t="n"/>
      <c r="H458" s="23" t="n"/>
      <c r="I458" s="23" t="n"/>
    </row>
    <row r="459">
      <c r="A459" s="6" t="n"/>
      <c r="B459" s="23" t="n"/>
      <c r="C459" s="23" t="n"/>
      <c r="D459" s="23" t="n"/>
      <c r="E459" s="23" t="n"/>
      <c r="F459" s="23" t="n"/>
      <c r="G459" s="23" t="n"/>
      <c r="H459" s="23" t="n"/>
      <c r="I459" s="23" t="n"/>
    </row>
    <row r="460">
      <c r="A460" s="6" t="n"/>
      <c r="B460" s="23" t="n"/>
      <c r="C460" s="23" t="n"/>
      <c r="D460" s="23" t="n"/>
      <c r="E460" s="23" t="n"/>
      <c r="F460" s="23" t="n"/>
      <c r="G460" s="23" t="n"/>
      <c r="H460" s="23" t="n"/>
      <c r="I460" s="23" t="n"/>
    </row>
    <row r="461">
      <c r="A461" s="6" t="n"/>
      <c r="B461" s="23" t="n"/>
      <c r="C461" s="23" t="n"/>
      <c r="D461" s="23" t="n"/>
      <c r="E461" s="23" t="n"/>
      <c r="F461" s="23" t="n"/>
      <c r="G461" s="23" t="n"/>
      <c r="H461" s="23" t="n"/>
      <c r="I461" s="23" t="n"/>
    </row>
    <row r="462">
      <c r="A462" s="6" t="n"/>
      <c r="B462" s="23" t="n"/>
      <c r="C462" s="23" t="n"/>
      <c r="D462" s="23" t="n"/>
      <c r="E462" s="23" t="n"/>
      <c r="F462" s="23" t="n"/>
      <c r="G462" s="23" t="n"/>
      <c r="H462" s="23" t="n"/>
      <c r="I462" s="23" t="n"/>
    </row>
    <row r="463">
      <c r="A463" s="6" t="n"/>
      <c r="B463" s="23" t="n"/>
      <c r="C463" s="23" t="n"/>
      <c r="D463" s="23" t="n"/>
      <c r="E463" s="23" t="n"/>
      <c r="F463" s="23" t="n"/>
      <c r="G463" s="23" t="n"/>
      <c r="H463" s="23" t="n"/>
      <c r="I463" s="23" t="n"/>
    </row>
    <row r="464">
      <c r="A464" s="6" t="n"/>
      <c r="B464" s="23" t="n"/>
      <c r="C464" s="23" t="n"/>
      <c r="D464" s="23" t="n"/>
      <c r="E464" s="23" t="n"/>
      <c r="F464" s="23" t="n"/>
      <c r="G464" s="23" t="n"/>
      <c r="H464" s="23" t="n"/>
      <c r="I464" s="23" t="n"/>
    </row>
    <row r="465">
      <c r="A465" s="6" t="n"/>
      <c r="B465" s="23" t="n"/>
      <c r="C465" s="23" t="n"/>
      <c r="D465" s="23" t="n"/>
      <c r="E465" s="23" t="n"/>
      <c r="F465" s="23" t="n"/>
      <c r="G465" s="23" t="n"/>
      <c r="H465" s="23" t="n"/>
      <c r="I465" s="23" t="n"/>
    </row>
    <row r="466">
      <c r="A466" s="6" t="n"/>
      <c r="B466" s="23" t="n"/>
      <c r="C466" s="23" t="n"/>
      <c r="D466" s="23" t="n"/>
      <c r="E466" s="23" t="n"/>
      <c r="F466" s="23" t="n"/>
      <c r="G466" s="23" t="n"/>
      <c r="H466" s="23" t="n"/>
      <c r="I466" s="23" t="n"/>
    </row>
    <row r="467">
      <c r="A467" s="6" t="n"/>
      <c r="B467" s="23" t="n"/>
      <c r="C467" s="23" t="n"/>
      <c r="D467" s="23" t="n"/>
      <c r="E467" s="23" t="n"/>
      <c r="F467" s="23" t="n"/>
      <c r="G467" s="23" t="n"/>
      <c r="H467" s="23" t="n"/>
      <c r="I467" s="23" t="n"/>
    </row>
    <row r="468">
      <c r="A468" s="6" t="n"/>
      <c r="B468" s="23" t="n"/>
      <c r="C468" s="23" t="n"/>
      <c r="D468" s="23" t="n"/>
      <c r="E468" s="23" t="n"/>
      <c r="F468" s="23" t="n"/>
      <c r="G468" s="23" t="n"/>
      <c r="H468" s="23" t="n"/>
      <c r="I468" s="23" t="n"/>
    </row>
    <row r="469">
      <c r="A469" s="6" t="n"/>
      <c r="B469" s="23" t="n"/>
      <c r="C469" s="23" t="n"/>
      <c r="D469" s="23" t="n"/>
      <c r="E469" s="23" t="n"/>
      <c r="F469" s="23" t="n"/>
      <c r="G469" s="23" t="n"/>
      <c r="H469" s="23" t="n"/>
      <c r="I469" s="23" t="n"/>
    </row>
    <row r="470">
      <c r="A470" s="6" t="n"/>
      <c r="B470" s="23" t="n"/>
      <c r="C470" s="23" t="n"/>
      <c r="D470" s="23" t="n"/>
      <c r="E470" s="23" t="n"/>
      <c r="F470" s="23" t="n"/>
      <c r="G470" s="23" t="n"/>
      <c r="H470" s="23" t="n"/>
      <c r="I470" s="23" t="n"/>
    </row>
    <row r="471">
      <c r="A471" s="6" t="n"/>
      <c r="B471" s="23" t="n"/>
      <c r="C471" s="23" t="n"/>
      <c r="D471" s="23" t="n"/>
      <c r="E471" s="23" t="n"/>
      <c r="F471" s="23" t="n"/>
      <c r="G471" s="23" t="n"/>
      <c r="H471" s="23" t="n"/>
      <c r="I471" s="23" t="n"/>
    </row>
    <row r="472">
      <c r="A472" s="6" t="n"/>
      <c r="B472" s="23" t="n"/>
      <c r="C472" s="23" t="n"/>
      <c r="D472" s="23" t="n"/>
      <c r="E472" s="23" t="n"/>
      <c r="F472" s="23" t="n"/>
      <c r="G472" s="23" t="n"/>
      <c r="H472" s="23" t="n"/>
      <c r="I472" s="23" t="n"/>
    </row>
    <row r="473">
      <c r="A473" s="6" t="n"/>
      <c r="B473" s="23" t="n"/>
      <c r="C473" s="23" t="n"/>
      <c r="D473" s="23" t="n"/>
      <c r="E473" s="23" t="n"/>
      <c r="F473" s="23" t="n"/>
      <c r="G473" s="23" t="n"/>
      <c r="H473" s="23" t="n"/>
      <c r="I473" s="23" t="n"/>
    </row>
    <row r="474">
      <c r="A474" s="6" t="n"/>
      <c r="B474" s="23" t="n"/>
      <c r="C474" s="23" t="n"/>
      <c r="D474" s="23" t="n"/>
      <c r="E474" s="23" t="n"/>
      <c r="F474" s="23" t="n"/>
      <c r="G474" s="23" t="n"/>
      <c r="H474" s="23" t="n"/>
      <c r="I474" s="23" t="n"/>
    </row>
    <row r="475">
      <c r="A475" s="6" t="n"/>
      <c r="B475" s="23" t="n"/>
      <c r="C475" s="23" t="n"/>
      <c r="D475" s="23" t="n"/>
      <c r="E475" s="23" t="n"/>
      <c r="F475" s="23" t="n"/>
      <c r="G475" s="23" t="n"/>
      <c r="H475" s="23" t="n"/>
      <c r="I475" s="23" t="n"/>
    </row>
    <row r="476">
      <c r="A476" s="6" t="n"/>
      <c r="B476" s="23" t="n"/>
      <c r="C476" s="23" t="n"/>
      <c r="D476" s="23" t="n"/>
      <c r="E476" s="23" t="n"/>
      <c r="F476" s="23" t="n"/>
      <c r="G476" s="23" t="n"/>
      <c r="H476" s="23" t="n"/>
      <c r="I476" s="23" t="n"/>
    </row>
    <row r="477">
      <c r="A477" s="6" t="n"/>
      <c r="B477" s="23" t="n"/>
      <c r="C477" s="23" t="n"/>
      <c r="D477" s="23" t="n"/>
      <c r="E477" s="23" t="n"/>
      <c r="F477" s="23" t="n"/>
      <c r="G477" s="23" t="n"/>
      <c r="H477" s="23" t="n"/>
      <c r="I477" s="23" t="n"/>
    </row>
    <row r="478">
      <c r="A478" s="6" t="n"/>
      <c r="B478" s="23" t="n"/>
      <c r="C478" s="23" t="n"/>
      <c r="D478" s="23" t="n"/>
      <c r="E478" s="23" t="n"/>
      <c r="F478" s="23" t="n"/>
      <c r="G478" s="23" t="n"/>
      <c r="H478" s="23" t="n"/>
      <c r="I478" s="23" t="n"/>
    </row>
    <row r="479">
      <c r="A479" s="6" t="n"/>
      <c r="B479" s="23" t="n"/>
      <c r="C479" s="23" t="n"/>
      <c r="D479" s="23" t="n"/>
      <c r="E479" s="23" t="n"/>
      <c r="F479" s="23" t="n"/>
      <c r="G479" s="23" t="n"/>
      <c r="H479" s="23" t="n"/>
      <c r="I479" s="23" t="n"/>
    </row>
    <row r="480">
      <c r="A480" s="6" t="n"/>
      <c r="B480" s="23" t="n"/>
      <c r="C480" s="23" t="n"/>
      <c r="D480" s="23" t="n"/>
      <c r="E480" s="23" t="n"/>
      <c r="F480" s="23" t="n"/>
      <c r="G480" s="23" t="n"/>
      <c r="H480" s="23" t="n"/>
      <c r="I480" s="23" t="n"/>
    </row>
    <row r="481">
      <c r="A481" s="6" t="n"/>
      <c r="B481" s="23" t="n"/>
      <c r="C481" s="23" t="n"/>
      <c r="D481" s="23" t="n"/>
      <c r="E481" s="23" t="n"/>
      <c r="F481" s="23" t="n"/>
      <c r="G481" s="23" t="n"/>
      <c r="H481" s="23" t="n"/>
      <c r="I481" s="23" t="n"/>
    </row>
    <row r="482">
      <c r="A482" s="6" t="n"/>
      <c r="B482" s="23" t="n"/>
      <c r="C482" s="23" t="n"/>
      <c r="D482" s="23" t="n"/>
      <c r="E482" s="23" t="n"/>
      <c r="F482" s="23" t="n"/>
      <c r="G482" s="23" t="n"/>
      <c r="H482" s="23" t="n"/>
      <c r="I482" s="23" t="n"/>
    </row>
    <row r="483">
      <c r="A483" s="6" t="n"/>
      <c r="B483" s="23" t="n"/>
      <c r="C483" s="23" t="n"/>
      <c r="D483" s="23" t="n"/>
      <c r="E483" s="23" t="n"/>
      <c r="F483" s="23" t="n"/>
      <c r="G483" s="23" t="n"/>
      <c r="H483" s="23" t="n"/>
      <c r="I483" s="23" t="n"/>
    </row>
    <row r="484">
      <c r="A484" s="6" t="n"/>
      <c r="B484" s="23" t="n"/>
      <c r="C484" s="23" t="n"/>
      <c r="D484" s="23" t="n"/>
      <c r="E484" s="23" t="n"/>
      <c r="F484" s="23" t="n"/>
      <c r="G484" s="23" t="n"/>
      <c r="H484" s="23" t="n"/>
      <c r="I484" s="23" t="n"/>
    </row>
    <row r="485">
      <c r="A485" s="6" t="n"/>
      <c r="B485" s="23" t="n"/>
      <c r="C485" s="23" t="n"/>
      <c r="D485" s="23" t="n"/>
      <c r="E485" s="23" t="n"/>
      <c r="F485" s="23" t="n"/>
      <c r="G485" s="23" t="n"/>
      <c r="H485" s="23" t="n"/>
      <c r="I485" s="23" t="n"/>
    </row>
    <row r="486">
      <c r="A486" s="6" t="n"/>
      <c r="B486" s="23" t="n"/>
      <c r="C486" s="23" t="n"/>
      <c r="D486" s="23" t="n"/>
      <c r="E486" s="23" t="n"/>
      <c r="F486" s="23" t="n"/>
      <c r="G486" s="23" t="n"/>
      <c r="H486" s="23" t="n"/>
      <c r="I486" s="23" t="n"/>
    </row>
    <row r="487">
      <c r="A487" s="6" t="n"/>
      <c r="B487" s="23" t="n"/>
      <c r="C487" s="23" t="n"/>
      <c r="D487" s="23" t="n"/>
      <c r="E487" s="23" t="n"/>
      <c r="F487" s="23" t="n"/>
      <c r="G487" s="23" t="n"/>
      <c r="H487" s="23" t="n"/>
      <c r="I487" s="23" t="n"/>
    </row>
    <row r="488">
      <c r="A488" s="6" t="n"/>
      <c r="B488" s="23" t="n"/>
      <c r="C488" s="23" t="n"/>
      <c r="D488" s="23" t="n"/>
      <c r="E488" s="23" t="n"/>
      <c r="F488" s="23" t="n"/>
      <c r="G488" s="23" t="n"/>
      <c r="H488" s="23" t="n"/>
      <c r="I488" s="23" t="n"/>
    </row>
    <row r="489">
      <c r="A489" s="6" t="n"/>
      <c r="B489" s="23" t="n"/>
      <c r="C489" s="23" t="n"/>
      <c r="D489" s="23" t="n"/>
      <c r="E489" s="23" t="n"/>
      <c r="F489" s="23" t="n"/>
      <c r="G489" s="23" t="n"/>
      <c r="H489" s="23" t="n"/>
      <c r="I489" s="23" t="n"/>
    </row>
    <row r="490">
      <c r="A490" s="6" t="n"/>
      <c r="B490" s="23" t="n"/>
      <c r="C490" s="23" t="n"/>
      <c r="D490" s="23" t="n"/>
      <c r="E490" s="23" t="n"/>
      <c r="F490" s="23" t="n"/>
      <c r="G490" s="23" t="n"/>
      <c r="H490" s="23" t="n"/>
      <c r="I490" s="23" t="n"/>
    </row>
    <row r="491">
      <c r="A491" s="6" t="n"/>
      <c r="B491" s="23" t="n"/>
      <c r="C491" s="23" t="n"/>
      <c r="D491" s="23" t="n"/>
      <c r="E491" s="23" t="n"/>
      <c r="F491" s="23" t="n"/>
      <c r="G491" s="23" t="n"/>
      <c r="H491" s="23" t="n"/>
      <c r="I491" s="23" t="n"/>
    </row>
    <row r="492">
      <c r="A492" s="6" t="n"/>
      <c r="B492" s="23" t="n"/>
      <c r="C492" s="23" t="n"/>
      <c r="D492" s="23" t="n"/>
      <c r="E492" s="23" t="n"/>
      <c r="F492" s="23" t="n"/>
      <c r="G492" s="23" t="n"/>
      <c r="H492" s="23" t="n"/>
      <c r="I492" s="23" t="n"/>
    </row>
    <row r="493">
      <c r="A493" s="6" t="n"/>
      <c r="B493" s="23" t="n"/>
      <c r="C493" s="23" t="n"/>
      <c r="D493" s="23" t="n"/>
      <c r="E493" s="23" t="n"/>
      <c r="F493" s="23" t="n"/>
      <c r="G493" s="23" t="n"/>
      <c r="H493" s="23" t="n"/>
      <c r="I493" s="23" t="n"/>
    </row>
    <row r="494">
      <c r="A494" s="6" t="n"/>
      <c r="B494" s="23" t="n"/>
      <c r="C494" s="23" t="n"/>
      <c r="D494" s="23" t="n"/>
      <c r="E494" s="23" t="n"/>
      <c r="F494" s="23" t="n"/>
      <c r="G494" s="23" t="n"/>
      <c r="H494" s="23" t="n"/>
      <c r="I494" s="23" t="n"/>
    </row>
    <row r="495">
      <c r="A495" s="6" t="n"/>
      <c r="B495" s="23" t="n"/>
      <c r="C495" s="23" t="n"/>
      <c r="D495" s="23" t="n"/>
      <c r="E495" s="23" t="n"/>
      <c r="F495" s="23" t="n"/>
      <c r="G495" s="23" t="n"/>
      <c r="H495" s="23" t="n"/>
      <c r="I495" s="23" t="n"/>
    </row>
    <row r="496">
      <c r="A496" s="6" t="n"/>
      <c r="B496" s="23" t="n"/>
      <c r="C496" s="23" t="n"/>
      <c r="D496" s="23" t="n"/>
      <c r="E496" s="23" t="n"/>
      <c r="F496" s="23" t="n"/>
      <c r="G496" s="23" t="n"/>
      <c r="H496" s="23" t="n"/>
      <c r="I496" s="23" t="n"/>
    </row>
    <row r="497">
      <c r="A497" s="6" t="n"/>
      <c r="B497" s="23" t="n"/>
      <c r="C497" s="23" t="n"/>
      <c r="D497" s="23" t="n"/>
      <c r="E497" s="23" t="n"/>
      <c r="F497" s="23" t="n"/>
      <c r="G497" s="23" t="n"/>
      <c r="H497" s="23" t="n"/>
      <c r="I497" s="23" t="n"/>
    </row>
    <row r="498">
      <c r="A498" s="23" t="n"/>
      <c r="B498" s="23" t="n"/>
      <c r="C498" s="23" t="n"/>
      <c r="D498" s="23" t="n"/>
      <c r="E498" s="23" t="n"/>
      <c r="F498" s="23" t="n"/>
      <c r="G498" s="23" t="n"/>
      <c r="H498" s="23" t="n"/>
      <c r="I498" s="23" t="n"/>
    </row>
    <row r="499">
      <c r="A499" s="23" t="n"/>
      <c r="B499" s="23" t="n"/>
      <c r="C499" s="23" t="n"/>
      <c r="D499" s="23" t="n"/>
      <c r="E499" s="23" t="n"/>
      <c r="F499" s="23" t="n"/>
      <c r="G499" s="23" t="n"/>
      <c r="H499" s="23" t="n"/>
      <c r="I499" s="23" t="n"/>
    </row>
    <row r="500">
      <c r="A500" s="23" t="n"/>
      <c r="B500" s="23" t="n"/>
      <c r="C500" s="23" t="n"/>
      <c r="D500" s="23" t="n"/>
      <c r="E500" s="23" t="n"/>
      <c r="F500" s="23" t="n"/>
      <c r="G500" s="23" t="n"/>
      <c r="H500" s="23" t="n"/>
      <c r="I500" s="23" t="n"/>
    </row>
  </sheetData>
  <dataValidations count="2">
    <dataValidation sqref="G2:G497" showDropDown="0" showInputMessage="0" showErrorMessage="0" allowBlank="0" type="list">
      <formula1>"Positivo,Neutro,Negativo"</formula1>
    </dataValidation>
    <dataValidation sqref="H2:H497" showDropDown="0" showInputMessage="0" showErrorMessage="0" allowBlank="0" type="list">
      <formula1>"Baixo,Médio,Alto"</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4.25"/>
  <cols>
    <col width="16" customWidth="1" style="1" min="1" max="8"/>
  </cols>
  <sheetData>
    <row r="1" ht="24" customHeight="1" s="1">
      <c r="A1" s="4" t="inlineStr">
        <is>
          <t>Cidade</t>
        </is>
      </c>
      <c r="B1" s="4" t="inlineStr">
        <is>
          <t>UF</t>
        </is>
      </c>
      <c r="C1" s="4" t="inlineStr">
        <is>
          <t>Latitude</t>
        </is>
      </c>
      <c r="D1" s="4" t="inlineStr">
        <is>
          <t>Longitude</t>
        </is>
      </c>
      <c r="E1" s="4" t="inlineStr">
        <is>
          <t>IAC</t>
        </is>
      </c>
      <c r="F1" s="4" t="inlineStr">
        <is>
          <t>INP</t>
        </is>
      </c>
      <c r="G1" s="4" t="inlineStr">
        <is>
          <t>Eventos</t>
        </is>
      </c>
      <c r="H1" s="4" t="inlineStr">
        <is>
          <t>Público</t>
        </is>
      </c>
    </row>
    <row r="2">
      <c r="A2" s="23" t="inlineStr">
        <is>
          <t>Rio de Janeiro</t>
        </is>
      </c>
      <c r="B2" s="23" t="inlineStr">
        <is>
          <t>RJ</t>
        </is>
      </c>
      <c r="C2" s="14" t="n">
        <v>-22.9068</v>
      </c>
      <c r="D2" s="14" t="n">
        <v>-43.1729</v>
      </c>
      <c r="E2" s="14">
        <f>_xludf.XLOOKUP(A2,'04_Radar_IAC'!A:A,'04_Radar_IAC'!J:J,0)</f>
        <v/>
      </c>
      <c r="F2" s="14">
        <f>_xludf.XLOOKUP(A2,'05_Radar_INP'!A:A,'05_Radar_INP'!J:J,0)</f>
        <v/>
      </c>
      <c r="G2" s="23">
        <f>COUNTIF('02_Eventos'!E:E,A2)</f>
        <v/>
      </c>
      <c r="H2" s="23">
        <f>SUMIF('02_Eventos'!E:E,A2,'02_Eventos'!H:H)</f>
        <v/>
      </c>
    </row>
    <row r="3">
      <c r="A3" s="23" t="inlineStr">
        <is>
          <t>São Paulo</t>
        </is>
      </c>
      <c r="B3" s="23" t="inlineStr">
        <is>
          <t>SP</t>
        </is>
      </c>
      <c r="C3" s="14" t="n">
        <v>-23.5505</v>
      </c>
      <c r="D3" s="14" t="n">
        <v>-46.6333</v>
      </c>
      <c r="E3" s="14">
        <f>_xludf.XLOOKUP(A3,'04_Radar_IAC'!A:A,'04_Radar_IAC'!J:J,0)</f>
        <v/>
      </c>
      <c r="F3" s="14">
        <f>_xludf.XLOOKUP(A3,'05_Radar_INP'!A:A,'05_Radar_INP'!J:J,0)</f>
        <v/>
      </c>
      <c r="G3" s="23">
        <f>COUNTIF('02_Eventos'!E:E,A3)</f>
        <v/>
      </c>
      <c r="H3" s="23">
        <f>SUMIF('02_Eventos'!E:E,A3,'02_Eventos'!H:H)</f>
        <v/>
      </c>
    </row>
    <row r="4">
      <c r="A4" s="23" t="inlineStr">
        <is>
          <t>Belo Horizonte</t>
        </is>
      </c>
      <c r="B4" s="23" t="inlineStr">
        <is>
          <t>MG</t>
        </is>
      </c>
      <c r="C4" s="14" t="n">
        <v>-19.9167</v>
      </c>
      <c r="D4" s="14" t="n">
        <v>-43.9345</v>
      </c>
      <c r="E4" s="14">
        <f>_xludf.XLOOKUP(A4,'04_Radar_IAC'!A:A,'04_Radar_IAC'!J:J,0)</f>
        <v/>
      </c>
      <c r="F4" s="14">
        <f>_xludf.XLOOKUP(A4,'05_Radar_INP'!A:A,'05_Radar_INP'!J:J,0)</f>
        <v/>
      </c>
      <c r="G4" s="23">
        <f>COUNTIF('02_Eventos'!E:E,A4)</f>
        <v/>
      </c>
      <c r="H4" s="23">
        <f>SUMIF('02_Eventos'!E:E,A4,'02_Eventos'!H:H)</f>
        <v/>
      </c>
    </row>
    <row r="5">
      <c r="A5" s="23" t="inlineStr">
        <is>
          <t>Salvador</t>
        </is>
      </c>
      <c r="B5" s="23" t="inlineStr">
        <is>
          <t>BA</t>
        </is>
      </c>
      <c r="C5" s="14" t="n">
        <v>-12.9777</v>
      </c>
      <c r="D5" s="14" t="n">
        <v>-38.5016</v>
      </c>
      <c r="E5" s="14">
        <f>_xludf.XLOOKUP(A5,'04_Radar_IAC'!A:A,'04_Radar_IAC'!J:J,0)</f>
        <v/>
      </c>
      <c r="F5" s="14">
        <f>_xludf.XLOOKUP(A5,'05_Radar_INP'!A:A,'05_Radar_INP'!J:J,0)</f>
        <v/>
      </c>
      <c r="G5" s="23">
        <f>COUNTIF('02_Eventos'!E:E,A5)</f>
        <v/>
      </c>
      <c r="H5" s="23">
        <f>SUMIF('02_Eventos'!E:E,A5,'02_Eventos'!H:H)</f>
        <v/>
      </c>
    </row>
    <row r="6">
      <c r="A6" s="23" t="inlineStr">
        <is>
          <t>Recife</t>
        </is>
      </c>
      <c r="B6" s="23" t="inlineStr">
        <is>
          <t>PE</t>
        </is>
      </c>
      <c r="C6" s="14" t="n">
        <v>-8.047599999999999</v>
      </c>
      <c r="D6" s="14" t="n">
        <v>-34.877</v>
      </c>
      <c r="E6" s="14">
        <f>_xludf.XLOOKUP(A6,'04_Radar_IAC'!A:A,'04_Radar_IAC'!J:J,0)</f>
        <v/>
      </c>
      <c r="F6" s="14">
        <f>_xludf.XLOOKUP(A6,'05_Radar_INP'!A:A,'05_Radar_INP'!J:J,0)</f>
        <v/>
      </c>
      <c r="G6" s="23">
        <f>COUNTIF('02_Eventos'!E:E,A6)</f>
        <v/>
      </c>
      <c r="H6" s="23">
        <f>SUMIF('02_Eventos'!E:E,A6,'02_Eventos'!H:H)</f>
        <v/>
      </c>
    </row>
    <row r="7">
      <c r="A7" s="23" t="inlineStr">
        <is>
          <t>Fortaleza</t>
        </is>
      </c>
      <c r="B7" s="23" t="inlineStr">
        <is>
          <t>CE</t>
        </is>
      </c>
      <c r="C7" s="14" t="n">
        <v>-3.7319</v>
      </c>
      <c r="D7" s="14" t="n">
        <v>-38.5267</v>
      </c>
      <c r="E7" s="14">
        <f>_xludf.XLOOKUP(A7,'04_Radar_IAC'!A:A,'04_Radar_IAC'!J:J,0)</f>
        <v/>
      </c>
      <c r="F7" s="14">
        <f>_xludf.XLOOKUP(A7,'05_Radar_INP'!A:A,'05_Radar_INP'!J:J,0)</f>
        <v/>
      </c>
      <c r="G7" s="23">
        <f>COUNTIF('02_Eventos'!E:E,A7)</f>
        <v/>
      </c>
      <c r="H7" s="23">
        <f>SUMIF('02_Eventos'!E:E,A7,'02_Eventos'!H:H)</f>
        <v/>
      </c>
    </row>
    <row r="8">
      <c r="A8" s="23" t="inlineStr">
        <is>
          <t>Brasília</t>
        </is>
      </c>
      <c r="B8" s="23" t="inlineStr">
        <is>
          <t>DF</t>
        </is>
      </c>
      <c r="C8" s="14" t="n">
        <v>-15.7939</v>
      </c>
      <c r="D8" s="14" t="n">
        <v>-47.8828</v>
      </c>
      <c r="E8" s="14">
        <f>_xludf.XLOOKUP(A8,'04_Radar_IAC'!A:A,'04_Radar_IAC'!J:J,0)</f>
        <v/>
      </c>
      <c r="F8" s="14">
        <f>_xludf.XLOOKUP(A8,'05_Radar_INP'!A:A,'05_Radar_INP'!J:J,0)</f>
        <v/>
      </c>
      <c r="G8" s="23">
        <f>COUNTIF('02_Eventos'!E:E,A8)</f>
        <v/>
      </c>
      <c r="H8" s="23">
        <f>SUMIF('02_Eventos'!E:E,A8,'02_Eventos'!H:H)</f>
        <v/>
      </c>
    </row>
    <row r="9">
      <c r="A9" s="23" t="inlineStr">
        <is>
          <t>Porto Alegre</t>
        </is>
      </c>
      <c r="B9" s="23" t="inlineStr">
        <is>
          <t>RS</t>
        </is>
      </c>
      <c r="C9" s="14" t="n">
        <v>-30.0346</v>
      </c>
      <c r="D9" s="14" t="n">
        <v>-51.2177</v>
      </c>
      <c r="E9" s="14">
        <f>_xludf.XLOOKUP(A9,'04_Radar_IAC'!A:A,'04_Radar_IAC'!J:J,0)</f>
        <v/>
      </c>
      <c r="F9" s="14">
        <f>_xludf.XLOOKUP(A9,'05_Radar_INP'!A:A,'05_Radar_INP'!J:J,0)</f>
        <v/>
      </c>
      <c r="G9" s="23">
        <f>COUNTIF('02_Eventos'!E:E,A9)</f>
        <v/>
      </c>
      <c r="H9" s="23">
        <f>SUMIF('02_Eventos'!E:E,A9,'02_Eventos'!H:H)</f>
        <v/>
      </c>
    </row>
    <row r="10">
      <c r="A10" s="23" t="n"/>
      <c r="B10" s="23" t="n"/>
      <c r="C10" s="14" t="n"/>
      <c r="D10" s="14" t="n"/>
      <c r="E10" s="14" t="n"/>
      <c r="F10" s="14" t="n"/>
      <c r="G10" s="23" t="n"/>
      <c r="H10" s="23" t="n"/>
    </row>
    <row r="11">
      <c r="A11" s="23" t="n"/>
      <c r="B11" s="23" t="n"/>
      <c r="C11" s="14" t="n"/>
      <c r="D11" s="14" t="n"/>
      <c r="E11" s="14" t="n"/>
      <c r="F11" s="14" t="n"/>
      <c r="G11" s="23" t="n"/>
      <c r="H11" s="23" t="n"/>
    </row>
    <row r="12">
      <c r="A12" s="23" t="n"/>
      <c r="B12" s="23" t="n"/>
      <c r="C12" s="14" t="n"/>
      <c r="D12" s="14" t="n"/>
      <c r="E12" s="14" t="n"/>
      <c r="F12" s="14" t="n"/>
      <c r="G12" s="23" t="n"/>
      <c r="H12" s="23" t="n"/>
    </row>
    <row r="13">
      <c r="A13" s="23" t="n"/>
      <c r="B13" s="23" t="n"/>
      <c r="C13" s="14" t="n"/>
      <c r="D13" s="14" t="n"/>
      <c r="E13" s="14" t="n"/>
      <c r="F13" s="14" t="n"/>
      <c r="G13" s="23" t="n"/>
      <c r="H13" s="23" t="n"/>
    </row>
    <row r="14">
      <c r="A14" s="23" t="n"/>
      <c r="B14" s="23" t="n"/>
      <c r="C14" s="14" t="n"/>
      <c r="D14" s="14" t="n"/>
      <c r="E14" s="14" t="n"/>
      <c r="F14" s="14" t="n"/>
      <c r="G14" s="23" t="n"/>
      <c r="H14" s="23" t="n"/>
    </row>
    <row r="15">
      <c r="A15" s="23" t="n"/>
      <c r="B15" s="23" t="n"/>
      <c r="C15" s="14" t="n"/>
      <c r="D15" s="14" t="n"/>
      <c r="E15" s="14" t="n"/>
      <c r="F15" s="14" t="n"/>
      <c r="G15" s="23" t="n"/>
      <c r="H15" s="23" t="n"/>
    </row>
    <row r="16">
      <c r="A16" s="23" t="n"/>
      <c r="B16" s="23" t="n"/>
      <c r="C16" s="14" t="n"/>
      <c r="D16" s="14" t="n"/>
      <c r="E16" s="14" t="n"/>
      <c r="F16" s="14" t="n"/>
      <c r="G16" s="23" t="n"/>
      <c r="H16" s="23" t="n"/>
    </row>
    <row r="17">
      <c r="C17" s="14" t="n"/>
      <c r="D17" s="14" t="n"/>
      <c r="E17" s="14" t="n"/>
      <c r="F17" s="14" t="n"/>
    </row>
    <row r="18">
      <c r="C18" s="14" t="n"/>
      <c r="D18" s="14" t="n"/>
      <c r="E18" s="14" t="n"/>
      <c r="F18" s="14" t="n"/>
    </row>
    <row r="19">
      <c r="C19" s="14" t="n"/>
      <c r="D19" s="14" t="n"/>
      <c r="E19" s="14" t="n"/>
      <c r="F19" s="14" t="n"/>
    </row>
    <row r="20">
      <c r="C20" s="14" t="n"/>
      <c r="D20" s="14" t="n"/>
      <c r="E20" s="14" t="n"/>
      <c r="F20" s="14" t="n"/>
    </row>
    <row r="21">
      <c r="C21" s="14" t="n"/>
      <c r="D21" s="14" t="n"/>
      <c r="E21" s="14" t="n"/>
      <c r="F21" s="14" t="n"/>
    </row>
    <row r="22">
      <c r="C22" s="14" t="n"/>
      <c r="D22" s="14" t="n"/>
      <c r="E22" s="14" t="n"/>
      <c r="F22" s="14" t="n"/>
    </row>
    <row r="23">
      <c r="C23" s="14" t="n"/>
      <c r="D23" s="14" t="n"/>
      <c r="E23" s="14" t="n"/>
      <c r="F23" s="14" t="n"/>
    </row>
    <row r="24">
      <c r="C24" s="14" t="n"/>
      <c r="D24" s="14" t="n"/>
      <c r="E24" s="14" t="n"/>
      <c r="F24" s="14" t="n"/>
    </row>
    <row r="25">
      <c r="C25" s="14" t="n"/>
      <c r="D25" s="14" t="n"/>
      <c r="E25" s="14" t="n"/>
      <c r="F25" s="14" t="n"/>
    </row>
    <row r="26">
      <c r="C26" s="14" t="n"/>
      <c r="D26" s="14" t="n"/>
      <c r="E26" s="14" t="n"/>
      <c r="F26" s="14" t="n"/>
    </row>
    <row r="27">
      <c r="C27" s="14" t="n"/>
      <c r="D27" s="14" t="n"/>
      <c r="E27" s="14" t="n"/>
      <c r="F27" s="14" t="n"/>
    </row>
    <row r="28">
      <c r="C28" s="14" t="n"/>
      <c r="D28" s="14" t="n"/>
      <c r="E28" s="14" t="n"/>
      <c r="F28" s="14" t="n"/>
    </row>
    <row r="29">
      <c r="C29" s="14" t="n"/>
      <c r="D29" s="14" t="n"/>
      <c r="E29" s="14" t="n"/>
      <c r="F29" s="14" t="n"/>
    </row>
    <row r="30">
      <c r="C30" s="14" t="n"/>
      <c r="D30" s="14" t="n"/>
      <c r="E30" s="14" t="n"/>
      <c r="F30" s="14" t="n"/>
    </row>
    <row r="31">
      <c r="C31" s="14" t="n"/>
      <c r="D31" s="14" t="n"/>
      <c r="E31" s="14" t="n"/>
      <c r="F31" s="14" t="n"/>
    </row>
    <row r="32">
      <c r="C32" s="14" t="n"/>
      <c r="D32" s="14" t="n"/>
      <c r="E32" s="14" t="n"/>
      <c r="F32" s="14" t="n"/>
    </row>
    <row r="33">
      <c r="C33" s="14" t="n"/>
      <c r="D33" s="14" t="n"/>
      <c r="E33" s="14" t="n"/>
      <c r="F33" s="14" t="n"/>
    </row>
    <row r="34">
      <c r="C34" s="14" t="n"/>
      <c r="D34" s="14" t="n"/>
      <c r="E34" s="14" t="n"/>
      <c r="F34" s="14" t="n"/>
    </row>
    <row r="35">
      <c r="C35" s="14" t="n"/>
      <c r="D35" s="14" t="n"/>
      <c r="E35" s="14" t="n"/>
      <c r="F35" s="14" t="n"/>
    </row>
    <row r="36">
      <c r="C36" s="14" t="n"/>
      <c r="D36" s="14" t="n"/>
      <c r="E36" s="14" t="n"/>
      <c r="F36" s="14" t="n"/>
    </row>
    <row r="37">
      <c r="C37" s="14" t="n"/>
      <c r="D37" s="14" t="n"/>
      <c r="E37" s="14" t="n"/>
      <c r="F37" s="14" t="n"/>
    </row>
    <row r="38">
      <c r="C38" s="14" t="n"/>
      <c r="D38" s="14" t="n"/>
      <c r="E38" s="14" t="n"/>
      <c r="F38" s="14" t="n"/>
    </row>
    <row r="39">
      <c r="C39" s="14" t="n"/>
      <c r="D39" s="14" t="n"/>
      <c r="E39" s="14" t="n"/>
      <c r="F39" s="14" t="n"/>
    </row>
    <row r="40">
      <c r="C40" s="14" t="n"/>
      <c r="D40" s="14" t="n"/>
      <c r="E40" s="14" t="n"/>
      <c r="F40" s="14" t="n"/>
    </row>
    <row r="41">
      <c r="C41" s="14" t="n"/>
      <c r="D41" s="14" t="n"/>
      <c r="E41" s="14" t="n"/>
      <c r="F41" s="14" t="n"/>
    </row>
    <row r="42">
      <c r="C42" s="14" t="n"/>
      <c r="D42" s="14" t="n"/>
      <c r="E42" s="14" t="n"/>
      <c r="F42" s="14" t="n"/>
    </row>
    <row r="43">
      <c r="C43" s="14" t="n"/>
      <c r="D43" s="14" t="n"/>
      <c r="E43" s="14" t="n"/>
      <c r="F43" s="14" t="n"/>
    </row>
    <row r="44">
      <c r="C44" s="14" t="n"/>
      <c r="D44" s="14" t="n"/>
      <c r="E44" s="14" t="n"/>
      <c r="F44" s="14" t="n"/>
    </row>
    <row r="45">
      <c r="C45" s="14" t="n"/>
      <c r="D45" s="14" t="n"/>
      <c r="E45" s="14" t="n"/>
      <c r="F45" s="14" t="n"/>
    </row>
    <row r="46">
      <c r="C46" s="14" t="n"/>
      <c r="D46" s="14" t="n"/>
      <c r="E46" s="14" t="n"/>
      <c r="F46" s="14" t="n"/>
    </row>
    <row r="47">
      <c r="C47" s="14" t="n"/>
      <c r="D47" s="14" t="n"/>
      <c r="E47" s="14" t="n"/>
      <c r="F47" s="14" t="n"/>
    </row>
    <row r="48">
      <c r="C48" s="14" t="n"/>
      <c r="D48" s="14" t="n"/>
      <c r="E48" s="14" t="n"/>
      <c r="F48" s="14" t="n"/>
    </row>
    <row r="49">
      <c r="C49" s="14" t="n"/>
      <c r="D49" s="14" t="n"/>
      <c r="E49" s="14" t="n"/>
      <c r="F49" s="14" t="n"/>
    </row>
    <row r="50">
      <c r="C50" s="14" t="n"/>
      <c r="D50" s="14" t="n"/>
      <c r="E50" s="14" t="n"/>
      <c r="F50" s="14" t="n"/>
    </row>
    <row r="51">
      <c r="C51" s="14" t="n"/>
      <c r="D51" s="14" t="n"/>
      <c r="E51" s="14" t="n"/>
      <c r="F51" s="14" t="n"/>
    </row>
    <row r="52">
      <c r="C52" s="14" t="n"/>
      <c r="D52" s="14" t="n"/>
      <c r="E52" s="14" t="n"/>
      <c r="F52" s="14" t="n"/>
    </row>
    <row r="53">
      <c r="C53" s="14" t="n"/>
      <c r="D53" s="14" t="n"/>
      <c r="E53" s="14" t="n"/>
      <c r="F53" s="14" t="n"/>
    </row>
    <row r="54">
      <c r="C54" s="14" t="n"/>
      <c r="D54" s="14" t="n"/>
      <c r="E54" s="14" t="n"/>
      <c r="F54" s="14" t="n"/>
    </row>
    <row r="55">
      <c r="C55" s="14" t="n"/>
      <c r="D55" s="14" t="n"/>
      <c r="E55" s="14" t="n"/>
      <c r="F55" s="14" t="n"/>
    </row>
    <row r="56">
      <c r="C56" s="14" t="n"/>
      <c r="D56" s="14" t="n"/>
      <c r="E56" s="14" t="n"/>
      <c r="F56" s="14" t="n"/>
    </row>
    <row r="57">
      <c r="C57" s="14" t="n"/>
      <c r="D57" s="14" t="n"/>
      <c r="E57" s="14" t="n"/>
      <c r="F57" s="14" t="n"/>
    </row>
    <row r="58">
      <c r="C58" s="14" t="n"/>
      <c r="D58" s="14" t="n"/>
      <c r="E58" s="14" t="n"/>
      <c r="F58" s="14" t="n"/>
    </row>
    <row r="59">
      <c r="C59" s="14" t="n"/>
      <c r="D59" s="14" t="n"/>
      <c r="E59" s="14" t="n"/>
      <c r="F59" s="14" t="n"/>
    </row>
    <row r="60">
      <c r="C60" s="14" t="n"/>
      <c r="D60" s="14" t="n"/>
      <c r="E60" s="14" t="n"/>
      <c r="F60" s="14" t="n"/>
    </row>
    <row r="61">
      <c r="C61" s="14" t="n"/>
      <c r="D61" s="14" t="n"/>
      <c r="E61" s="14" t="n"/>
      <c r="F61" s="14" t="n"/>
    </row>
    <row r="62">
      <c r="C62" s="14" t="n"/>
      <c r="D62" s="14" t="n"/>
      <c r="E62" s="14" t="n"/>
      <c r="F62" s="14" t="n"/>
    </row>
    <row r="63">
      <c r="C63" s="14" t="n"/>
      <c r="D63" s="14" t="n"/>
      <c r="E63" s="14" t="n"/>
      <c r="F63" s="14" t="n"/>
    </row>
    <row r="64">
      <c r="C64" s="14" t="n"/>
      <c r="D64" s="14" t="n"/>
      <c r="E64" s="14" t="n"/>
      <c r="F64" s="14" t="n"/>
    </row>
    <row r="65">
      <c r="C65" s="14" t="n"/>
      <c r="D65" s="14" t="n"/>
      <c r="E65" s="14" t="n"/>
      <c r="F65" s="14" t="n"/>
    </row>
    <row r="66">
      <c r="C66" s="14" t="n"/>
      <c r="D66" s="14" t="n"/>
      <c r="E66" s="14" t="n"/>
      <c r="F66" s="14" t="n"/>
    </row>
    <row r="67">
      <c r="C67" s="14" t="n"/>
      <c r="D67" s="14" t="n"/>
      <c r="E67" s="14" t="n"/>
      <c r="F67" s="14" t="n"/>
    </row>
    <row r="68">
      <c r="C68" s="14" t="n"/>
      <c r="D68" s="14" t="n"/>
      <c r="E68" s="14" t="n"/>
      <c r="F68" s="14" t="n"/>
    </row>
    <row r="69">
      <c r="C69" s="14" t="n"/>
      <c r="D69" s="14" t="n"/>
      <c r="E69" s="14" t="n"/>
      <c r="F69" s="14" t="n"/>
    </row>
    <row r="70">
      <c r="C70" s="14" t="n"/>
      <c r="D70" s="14" t="n"/>
      <c r="E70" s="14" t="n"/>
      <c r="F70" s="14" t="n"/>
    </row>
    <row r="71">
      <c r="C71" s="14" t="n"/>
      <c r="D71" s="14" t="n"/>
      <c r="E71" s="14" t="n"/>
      <c r="F71" s="14" t="n"/>
    </row>
    <row r="72">
      <c r="C72" s="14" t="n"/>
      <c r="D72" s="14" t="n"/>
      <c r="E72" s="14" t="n"/>
      <c r="F72" s="14" t="n"/>
    </row>
    <row r="73">
      <c r="C73" s="14" t="n"/>
      <c r="D73" s="14" t="n"/>
      <c r="E73" s="14" t="n"/>
      <c r="F73" s="14" t="n"/>
    </row>
    <row r="74">
      <c r="C74" s="14" t="n"/>
      <c r="D74" s="14" t="n"/>
      <c r="E74" s="14" t="n"/>
      <c r="F74" s="14" t="n"/>
    </row>
    <row r="75">
      <c r="C75" s="14" t="n"/>
      <c r="D75" s="14" t="n"/>
      <c r="E75" s="14" t="n"/>
      <c r="F75" s="14" t="n"/>
    </row>
    <row r="76">
      <c r="C76" s="14" t="n"/>
      <c r="D76" s="14" t="n"/>
      <c r="E76" s="14" t="n"/>
      <c r="F76" s="14" t="n"/>
    </row>
    <row r="77">
      <c r="C77" s="14" t="n"/>
      <c r="D77" s="14" t="n"/>
      <c r="E77" s="14" t="n"/>
      <c r="F77" s="14" t="n"/>
    </row>
    <row r="78">
      <c r="C78" s="14" t="n"/>
      <c r="D78" s="14" t="n"/>
      <c r="E78" s="14" t="n"/>
      <c r="F78" s="14" t="n"/>
    </row>
    <row r="79">
      <c r="C79" s="14" t="n"/>
      <c r="D79" s="14" t="n"/>
      <c r="E79" s="14" t="n"/>
      <c r="F79" s="14" t="n"/>
    </row>
    <row r="80">
      <c r="C80" s="14" t="n"/>
      <c r="D80" s="14" t="n"/>
      <c r="E80" s="14" t="n"/>
      <c r="F80" s="14" t="n"/>
    </row>
    <row r="81">
      <c r="C81" s="14" t="n"/>
      <c r="D81" s="14" t="n"/>
      <c r="E81" s="14" t="n"/>
      <c r="F81" s="14" t="n"/>
    </row>
    <row r="82">
      <c r="C82" s="14" t="n"/>
      <c r="D82" s="14" t="n"/>
      <c r="E82" s="14" t="n"/>
      <c r="F82" s="14" t="n"/>
    </row>
    <row r="83">
      <c r="C83" s="14" t="n"/>
      <c r="D83" s="14" t="n"/>
      <c r="E83" s="14" t="n"/>
      <c r="F83" s="14" t="n"/>
    </row>
    <row r="84">
      <c r="C84" s="14" t="n"/>
      <c r="D84" s="14" t="n"/>
      <c r="E84" s="14" t="n"/>
      <c r="F84" s="14" t="n"/>
    </row>
    <row r="85">
      <c r="C85" s="14" t="n"/>
      <c r="D85" s="14" t="n"/>
      <c r="E85" s="14" t="n"/>
      <c r="F85" s="14" t="n"/>
    </row>
    <row r="86">
      <c r="C86" s="14" t="n"/>
      <c r="D86" s="14" t="n"/>
      <c r="E86" s="14" t="n"/>
      <c r="F86" s="14" t="n"/>
    </row>
    <row r="87">
      <c r="C87" s="14" t="n"/>
      <c r="D87" s="14" t="n"/>
      <c r="E87" s="14" t="n"/>
      <c r="F87" s="14" t="n"/>
    </row>
    <row r="88">
      <c r="C88" s="14" t="n"/>
      <c r="D88" s="14" t="n"/>
      <c r="E88" s="14" t="n"/>
      <c r="F88" s="14" t="n"/>
    </row>
    <row r="89">
      <c r="C89" s="14" t="n"/>
      <c r="D89" s="14" t="n"/>
      <c r="E89" s="14" t="n"/>
      <c r="F89" s="14" t="n"/>
    </row>
    <row r="90">
      <c r="C90" s="14" t="n"/>
      <c r="D90" s="14" t="n"/>
      <c r="E90" s="14" t="n"/>
      <c r="F90" s="14" t="n"/>
    </row>
    <row r="91">
      <c r="C91" s="14" t="n"/>
      <c r="D91" s="14" t="n"/>
      <c r="E91" s="14" t="n"/>
      <c r="F91" s="14" t="n"/>
    </row>
    <row r="92">
      <c r="C92" s="14" t="n"/>
      <c r="D92" s="14" t="n"/>
      <c r="E92" s="14" t="n"/>
      <c r="F92" s="14" t="n"/>
    </row>
    <row r="93">
      <c r="C93" s="14" t="n"/>
      <c r="D93" s="14" t="n"/>
      <c r="E93" s="14" t="n"/>
      <c r="F93" s="14" t="n"/>
    </row>
    <row r="94">
      <c r="C94" s="14" t="n"/>
      <c r="D94" s="14" t="n"/>
      <c r="E94" s="14" t="n"/>
      <c r="F94" s="14" t="n"/>
    </row>
    <row r="95">
      <c r="C95" s="14" t="n"/>
      <c r="D95" s="14" t="n"/>
      <c r="E95" s="14" t="n"/>
      <c r="F95" s="14" t="n"/>
    </row>
    <row r="96">
      <c r="C96" s="14" t="n"/>
      <c r="D96" s="14" t="n"/>
      <c r="E96" s="14" t="n"/>
      <c r="F96" s="14" t="n"/>
    </row>
    <row r="97">
      <c r="C97" s="14" t="n"/>
      <c r="D97" s="14" t="n"/>
      <c r="E97" s="14" t="n"/>
      <c r="F97" s="14" t="n"/>
    </row>
    <row r="98">
      <c r="C98" s="14" t="n"/>
      <c r="D98" s="14" t="n"/>
      <c r="E98" s="14" t="n"/>
      <c r="F98" s="14" t="n"/>
    </row>
    <row r="99">
      <c r="C99" s="14" t="n"/>
      <c r="D99" s="14" t="n"/>
      <c r="E99" s="14" t="n"/>
      <c r="F99" s="14" t="n"/>
    </row>
    <row r="100">
      <c r="C100" s="14" t="n"/>
      <c r="D100" s="14" t="n"/>
      <c r="E100" s="14" t="n"/>
      <c r="F100" s="14"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200"/>
  <sheetViews>
    <sheetView workbookViewId="0">
      <selection activeCell="A1" sqref="A1"/>
    </sheetView>
  </sheetViews>
  <sheetFormatPr baseColWidth="8" defaultRowHeight="14.25"/>
  <cols>
    <col width="20" customWidth="1" style="1" min="1" max="8"/>
  </cols>
  <sheetData>
    <row r="1" ht="24" customHeight="1" s="1">
      <c r="A1" s="4" t="inlineStr">
        <is>
          <t>Patrocinador</t>
        </is>
      </c>
      <c r="B1" s="4" t="inlineStr">
        <is>
          <t>Segmento</t>
        </is>
      </c>
      <c r="C1" s="4" t="inlineStr">
        <is>
          <t>Status</t>
        </is>
      </c>
      <c r="D1" s="4" t="inlineStr">
        <is>
          <t>Nº Ativações</t>
        </is>
      </c>
      <c r="E1" s="4" t="inlineStr">
        <is>
          <t>Público Alcançado</t>
        </is>
      </c>
      <c r="F1" s="4" t="inlineStr">
        <is>
          <t>Cidades</t>
        </is>
      </c>
      <c r="G1" s="4" t="inlineStr">
        <is>
          <t>Investimento Estimado</t>
        </is>
      </c>
      <c r="H1" s="4" t="inlineStr">
        <is>
          <t>Observações</t>
        </is>
      </c>
    </row>
    <row r="2">
      <c r="A2" s="23" t="inlineStr">
        <is>
          <t>Visa</t>
        </is>
      </c>
      <c r="B2" s="23" t="inlineStr">
        <is>
          <t>Serviços financeiros</t>
        </is>
      </c>
      <c r="C2" s="23" t="inlineStr">
        <is>
          <t>Ativo</t>
        </is>
      </c>
      <c r="D2" s="23">
        <f>COUNTIF('02_Eventos'!I:I,A2)</f>
        <v/>
      </c>
      <c r="E2" s="23">
        <f>SUMIF('02_Eventos'!I:I,A2,'02_Eventos'!H:H)</f>
        <v/>
      </c>
      <c r="F2" s="23">
        <f>COUNTA(_xlfn.UNIQUE(_xlfn._xlws.FILTER('02_Eventos'!E:E,'02_Eventos'!I:I=A2,"")))</f>
        <v/>
      </c>
      <c r="G2" s="15" t="n">
        <v>0</v>
      </c>
      <c r="H2" s="23" t="n"/>
    </row>
    <row r="3">
      <c r="A3" s="23" t="inlineStr">
        <is>
          <t>Adidas</t>
        </is>
      </c>
      <c r="B3" s="23" t="inlineStr">
        <is>
          <t>Material esportivo</t>
        </is>
      </c>
      <c r="C3" s="23" t="inlineStr">
        <is>
          <t>Ativo</t>
        </is>
      </c>
      <c r="D3" s="23">
        <f>COUNTIF('02_Eventos'!I:I,A3)</f>
        <v/>
      </c>
      <c r="E3" s="23">
        <f>SUMIF('02_Eventos'!I:I,A3,'02_Eventos'!H:H)</f>
        <v/>
      </c>
      <c r="F3" s="23">
        <f>COUNTA(_xlfn.UNIQUE(_xlfn._xlws.FILTER('02_Eventos'!E:E,'02_Eventos'!I:I=A3,"")))</f>
        <v/>
      </c>
      <c r="G3" s="15" t="n">
        <v>0</v>
      </c>
      <c r="H3" s="23" t="n"/>
    </row>
    <row r="4">
      <c r="A4" s="23" t="inlineStr">
        <is>
          <t>Itaú</t>
        </is>
      </c>
      <c r="B4" s="23" t="inlineStr">
        <is>
          <t>Banco</t>
        </is>
      </c>
      <c r="C4" s="23" t="inlineStr">
        <is>
          <t>Ativo</t>
        </is>
      </c>
      <c r="D4" s="23">
        <f>COUNTIF('02_Eventos'!I:I,A4)</f>
        <v/>
      </c>
      <c r="E4" s="23">
        <f>SUMIF('02_Eventos'!I:I,A4,'02_Eventos'!H:H)</f>
        <v/>
      </c>
      <c r="F4" s="23">
        <f>COUNTA(_xlfn.UNIQUE(_xlfn._xlws.FILTER('02_Eventos'!E:E,'02_Eventos'!I:I=A4,"")))</f>
        <v/>
      </c>
      <c r="G4" s="15" t="n">
        <v>0</v>
      </c>
      <c r="H4" s="23" t="n"/>
    </row>
    <row r="5">
      <c r="A5" s="23" t="inlineStr">
        <is>
          <t>Coca-Cola</t>
        </is>
      </c>
      <c r="B5" s="23" t="inlineStr">
        <is>
          <t>Bebidas</t>
        </is>
      </c>
      <c r="C5" s="23" t="inlineStr">
        <is>
          <t>Ativo</t>
        </is>
      </c>
      <c r="D5" s="23">
        <f>COUNTIF('02_Eventos'!I:I,A5)</f>
        <v/>
      </c>
      <c r="E5" s="23">
        <f>SUMIF('02_Eventos'!I:I,A5,'02_Eventos'!H:H)</f>
        <v/>
      </c>
      <c r="F5" s="23">
        <f>COUNTA(_xlfn.UNIQUE(_xlfn._xlws.FILTER('02_Eventos'!E:E,'02_Eventos'!I:I=A5,"")))</f>
        <v/>
      </c>
      <c r="G5" s="15" t="n">
        <v>0</v>
      </c>
      <c r="H5" s="23" t="n"/>
    </row>
    <row r="6">
      <c r="A6" s="23" t="inlineStr">
        <is>
          <t>Banco do Brasil</t>
        </is>
      </c>
      <c r="B6" s="23" t="inlineStr">
        <is>
          <t>Banco</t>
        </is>
      </c>
      <c r="C6" s="23" t="inlineStr">
        <is>
          <t>Prospect</t>
        </is>
      </c>
      <c r="D6" s="23">
        <f>COUNTIF('02_Eventos'!I:I,A6)</f>
        <v/>
      </c>
      <c r="E6" s="23">
        <f>SUMIF('02_Eventos'!I:I,A6,'02_Eventos'!H:H)</f>
        <v/>
      </c>
      <c r="F6" s="23">
        <f>COUNTA(_xlfn.UNIQUE(_xlfn._xlws.FILTER('02_Eventos'!E:E,'02_Eventos'!I:I=A6,"")))</f>
        <v/>
      </c>
      <c r="G6" s="15" t="n">
        <v>0</v>
      </c>
      <c r="H6" s="23" t="n"/>
    </row>
    <row r="7">
      <c r="A7" s="23" t="n"/>
      <c r="B7" s="23" t="n"/>
      <c r="C7" s="23" t="n"/>
      <c r="D7" s="23" t="n"/>
      <c r="E7" s="23" t="n"/>
      <c r="F7" s="23" t="n"/>
      <c r="G7" s="15" t="n"/>
      <c r="H7" s="23" t="n"/>
    </row>
    <row r="8">
      <c r="A8" s="23" t="n"/>
      <c r="B8" s="23" t="n"/>
      <c r="C8" s="23" t="n"/>
      <c r="D8" s="23" t="n"/>
      <c r="E8" s="23" t="n"/>
      <c r="F8" s="23" t="n"/>
      <c r="G8" s="15" t="n"/>
      <c r="H8" s="23" t="n"/>
    </row>
    <row r="9">
      <c r="A9" s="23" t="n"/>
      <c r="B9" s="23" t="n"/>
      <c r="C9" s="23" t="n"/>
      <c r="D9" s="23" t="n"/>
      <c r="E9" s="23" t="n"/>
      <c r="F9" s="23" t="n"/>
      <c r="G9" s="15" t="n"/>
      <c r="H9" s="23" t="n"/>
    </row>
    <row r="10">
      <c r="A10" s="23" t="n"/>
      <c r="B10" s="23" t="n"/>
      <c r="C10" s="23" t="n"/>
      <c r="D10" s="23" t="n"/>
      <c r="E10" s="23" t="n"/>
      <c r="F10" s="23" t="n"/>
      <c r="G10" s="15" t="n"/>
      <c r="H10" s="23" t="n"/>
    </row>
    <row r="11">
      <c r="A11" s="23" t="n"/>
      <c r="B11" s="23" t="n"/>
      <c r="C11" s="23" t="n"/>
      <c r="D11" s="23" t="n"/>
      <c r="E11" s="23" t="n"/>
      <c r="F11" s="23" t="n"/>
      <c r="G11" s="15" t="n"/>
      <c r="H11" s="23" t="n"/>
    </row>
    <row r="12">
      <c r="A12" s="23" t="n"/>
      <c r="B12" s="23" t="n"/>
      <c r="C12" s="23" t="n"/>
      <c r="D12" s="23" t="n"/>
      <c r="E12" s="23" t="n"/>
      <c r="F12" s="23" t="n"/>
      <c r="G12" s="15" t="n"/>
      <c r="H12" s="23" t="n"/>
    </row>
    <row r="13">
      <c r="A13" s="23" t="n"/>
      <c r="B13" s="23" t="n"/>
      <c r="C13" s="23" t="n"/>
      <c r="D13" s="23" t="n"/>
      <c r="E13" s="23" t="n"/>
      <c r="F13" s="23" t="n"/>
      <c r="G13" s="15" t="n"/>
      <c r="H13" s="23" t="n"/>
    </row>
    <row r="14">
      <c r="A14" s="23" t="n"/>
      <c r="B14" s="23" t="n"/>
      <c r="C14" s="23" t="n"/>
      <c r="D14" s="23" t="n"/>
      <c r="E14" s="23" t="n"/>
      <c r="F14" s="23" t="n"/>
      <c r="G14" s="15" t="n"/>
      <c r="H14" s="23" t="n"/>
    </row>
    <row r="15">
      <c r="A15" s="23" t="n"/>
      <c r="B15" s="23" t="n"/>
      <c r="C15" s="23" t="n"/>
      <c r="D15" s="23" t="n"/>
      <c r="E15" s="23" t="n"/>
      <c r="F15" s="23" t="n"/>
      <c r="G15" s="15" t="n"/>
      <c r="H15" s="23" t="n"/>
    </row>
    <row r="16">
      <c r="A16" s="23" t="n"/>
      <c r="B16" s="23" t="n"/>
      <c r="C16" s="23" t="n"/>
      <c r="D16" s="23" t="n"/>
      <c r="E16" s="23" t="n"/>
      <c r="F16" s="23" t="n"/>
      <c r="G16" s="15" t="n"/>
      <c r="H16" s="23" t="n"/>
    </row>
    <row r="17">
      <c r="G17" s="15" t="n"/>
    </row>
    <row r="18">
      <c r="G18" s="15" t="n"/>
    </row>
    <row r="19">
      <c r="G19" s="15" t="n"/>
    </row>
    <row r="20">
      <c r="G20" s="15" t="n"/>
    </row>
    <row r="21">
      <c r="G21" s="15" t="n"/>
    </row>
    <row r="22">
      <c r="G22" s="15" t="n"/>
    </row>
    <row r="23">
      <c r="G23" s="15" t="n"/>
    </row>
    <row r="24">
      <c r="G24" s="15" t="n"/>
    </row>
    <row r="25">
      <c r="G25" s="15" t="n"/>
    </row>
    <row r="26">
      <c r="G26" s="15" t="n"/>
    </row>
    <row r="27">
      <c r="G27" s="15" t="n"/>
    </row>
    <row r="28">
      <c r="G28" s="15" t="n"/>
    </row>
    <row r="29">
      <c r="G29" s="15" t="n"/>
    </row>
    <row r="30">
      <c r="G30" s="15" t="n"/>
    </row>
    <row r="31">
      <c r="G31" s="15" t="n"/>
    </row>
    <row r="32">
      <c r="G32" s="15" t="n"/>
    </row>
    <row r="33">
      <c r="G33" s="15" t="n"/>
    </row>
    <row r="34">
      <c r="G34" s="15" t="n"/>
    </row>
    <row r="35">
      <c r="G35" s="15" t="n"/>
    </row>
    <row r="36">
      <c r="G36" s="15" t="n"/>
    </row>
    <row r="37">
      <c r="G37" s="15" t="n"/>
    </row>
    <row r="38">
      <c r="G38" s="15" t="n"/>
    </row>
    <row r="39">
      <c r="G39" s="15" t="n"/>
    </row>
    <row r="40">
      <c r="G40" s="15" t="n"/>
    </row>
    <row r="41">
      <c r="G41" s="15" t="n"/>
    </row>
    <row r="42">
      <c r="G42" s="15" t="n"/>
    </row>
    <row r="43">
      <c r="G43" s="15" t="n"/>
    </row>
    <row r="44">
      <c r="G44" s="15" t="n"/>
    </row>
    <row r="45">
      <c r="G45" s="15" t="n"/>
    </row>
    <row r="46">
      <c r="G46" s="15" t="n"/>
    </row>
    <row r="47">
      <c r="G47" s="15" t="n"/>
    </row>
    <row r="48">
      <c r="G48" s="15" t="n"/>
    </row>
    <row r="49">
      <c r="G49" s="15" t="n"/>
    </row>
    <row r="50">
      <c r="G50" s="15" t="n"/>
    </row>
    <row r="51">
      <c r="G51" s="15" t="n"/>
    </row>
    <row r="52">
      <c r="G52" s="15" t="n"/>
    </row>
    <row r="53">
      <c r="G53" s="15" t="n"/>
    </row>
    <row r="54">
      <c r="G54" s="15" t="n"/>
    </row>
    <row r="55">
      <c r="G55" s="15" t="n"/>
    </row>
    <row r="56">
      <c r="G56" s="15" t="n"/>
    </row>
    <row r="57">
      <c r="G57" s="15" t="n"/>
    </row>
    <row r="58">
      <c r="G58" s="15" t="n"/>
    </row>
    <row r="59">
      <c r="G59" s="15" t="n"/>
    </row>
    <row r="60">
      <c r="G60" s="15" t="n"/>
    </row>
    <row r="61">
      <c r="G61" s="15" t="n"/>
    </row>
    <row r="62">
      <c r="G62" s="15" t="n"/>
    </row>
    <row r="63">
      <c r="G63" s="15" t="n"/>
    </row>
    <row r="64">
      <c r="G64" s="15" t="n"/>
    </row>
    <row r="65">
      <c r="G65" s="15" t="n"/>
    </row>
    <row r="66">
      <c r="G66" s="15" t="n"/>
    </row>
    <row r="67">
      <c r="G67" s="15" t="n"/>
    </row>
    <row r="68">
      <c r="G68" s="15" t="n"/>
    </row>
    <row r="69">
      <c r="G69" s="15" t="n"/>
    </row>
    <row r="70">
      <c r="G70" s="15" t="n"/>
    </row>
    <row r="71">
      <c r="G71" s="15" t="n"/>
    </row>
    <row r="72">
      <c r="G72" s="15" t="n"/>
    </row>
    <row r="73">
      <c r="G73" s="15" t="n"/>
    </row>
    <row r="74">
      <c r="G74" s="15" t="n"/>
    </row>
    <row r="75">
      <c r="G75" s="15" t="n"/>
    </row>
    <row r="76">
      <c r="G76" s="15" t="n"/>
    </row>
    <row r="77">
      <c r="G77" s="15" t="n"/>
    </row>
    <row r="78">
      <c r="G78" s="15" t="n"/>
    </row>
    <row r="79">
      <c r="G79" s="15" t="n"/>
    </row>
    <row r="80">
      <c r="G80" s="15" t="n"/>
    </row>
    <row r="81">
      <c r="G81" s="15" t="n"/>
    </row>
    <row r="82">
      <c r="G82" s="15" t="n"/>
    </row>
    <row r="83">
      <c r="G83" s="15" t="n"/>
    </row>
    <row r="84">
      <c r="G84" s="15" t="n"/>
    </row>
    <row r="85">
      <c r="G85" s="15" t="n"/>
    </row>
    <row r="86">
      <c r="G86" s="15" t="n"/>
    </row>
    <row r="87">
      <c r="G87" s="15" t="n"/>
    </row>
    <row r="88">
      <c r="G88" s="15" t="n"/>
    </row>
    <row r="89">
      <c r="G89" s="15" t="n"/>
    </row>
    <row r="90">
      <c r="G90" s="15" t="n"/>
    </row>
    <row r="91">
      <c r="G91" s="15" t="n"/>
    </row>
    <row r="92">
      <c r="G92" s="15" t="n"/>
    </row>
    <row r="93">
      <c r="G93" s="15" t="n"/>
    </row>
    <row r="94">
      <c r="G94" s="15" t="n"/>
    </row>
    <row r="95">
      <c r="G95" s="15" t="n"/>
    </row>
    <row r="96">
      <c r="G96" s="15" t="n"/>
    </row>
    <row r="97">
      <c r="G97" s="15" t="n"/>
    </row>
    <row r="98">
      <c r="G98" s="15" t="n"/>
    </row>
    <row r="99">
      <c r="G99" s="15" t="n"/>
    </row>
    <row r="100">
      <c r="G100" s="15" t="n"/>
    </row>
    <row r="101">
      <c r="G101" s="15" t="n"/>
    </row>
    <row r="102">
      <c r="G102" s="15" t="n"/>
    </row>
    <row r="103">
      <c r="G103" s="15" t="n"/>
    </row>
    <row r="104">
      <c r="G104" s="15" t="n"/>
    </row>
    <row r="105">
      <c r="G105" s="15" t="n"/>
    </row>
    <row r="106">
      <c r="G106" s="15" t="n"/>
    </row>
    <row r="107">
      <c r="G107" s="15" t="n"/>
    </row>
    <row r="108">
      <c r="G108" s="15" t="n"/>
    </row>
    <row r="109">
      <c r="G109" s="15" t="n"/>
    </row>
    <row r="110">
      <c r="G110" s="15" t="n"/>
    </row>
    <row r="111">
      <c r="G111" s="15" t="n"/>
    </row>
    <row r="112">
      <c r="G112" s="15" t="n"/>
    </row>
    <row r="113">
      <c r="G113" s="15" t="n"/>
    </row>
    <row r="114">
      <c r="G114" s="15" t="n"/>
    </row>
    <row r="115">
      <c r="G115" s="15" t="n"/>
    </row>
    <row r="116">
      <c r="G116" s="15" t="n"/>
    </row>
    <row r="117">
      <c r="G117" s="15" t="n"/>
    </row>
    <row r="118">
      <c r="G118" s="15" t="n"/>
    </row>
    <row r="119">
      <c r="G119" s="15" t="n"/>
    </row>
    <row r="120">
      <c r="G120" s="15" t="n"/>
    </row>
    <row r="121">
      <c r="G121" s="15" t="n"/>
    </row>
    <row r="122">
      <c r="G122" s="15" t="n"/>
    </row>
    <row r="123">
      <c r="G123" s="15" t="n"/>
    </row>
    <row r="124">
      <c r="G124" s="15" t="n"/>
    </row>
    <row r="125">
      <c r="G125" s="15" t="n"/>
    </row>
    <row r="126">
      <c r="G126" s="15" t="n"/>
    </row>
    <row r="127">
      <c r="G127" s="15" t="n"/>
    </row>
    <row r="128">
      <c r="G128" s="15" t="n"/>
    </row>
    <row r="129">
      <c r="G129" s="15" t="n"/>
    </row>
    <row r="130">
      <c r="G130" s="15" t="n"/>
    </row>
    <row r="131">
      <c r="G131" s="15" t="n"/>
    </row>
    <row r="132">
      <c r="G132" s="15" t="n"/>
    </row>
    <row r="133">
      <c r="G133" s="15" t="n"/>
    </row>
    <row r="134">
      <c r="G134" s="15" t="n"/>
    </row>
    <row r="135">
      <c r="G135" s="15" t="n"/>
    </row>
    <row r="136">
      <c r="G136" s="15" t="n"/>
    </row>
    <row r="137">
      <c r="G137" s="15" t="n"/>
    </row>
    <row r="138">
      <c r="G138" s="15" t="n"/>
    </row>
    <row r="139">
      <c r="G139" s="15" t="n"/>
    </row>
    <row r="140">
      <c r="G140" s="15" t="n"/>
    </row>
    <row r="141">
      <c r="G141" s="15" t="n"/>
    </row>
    <row r="142">
      <c r="G142" s="15" t="n"/>
    </row>
    <row r="143">
      <c r="G143" s="15" t="n"/>
    </row>
    <row r="144">
      <c r="G144" s="15" t="n"/>
    </row>
    <row r="145">
      <c r="G145" s="15" t="n"/>
    </row>
    <row r="146">
      <c r="G146" s="15" t="n"/>
    </row>
    <row r="147">
      <c r="G147" s="15" t="n"/>
    </row>
    <row r="148">
      <c r="G148" s="15" t="n"/>
    </row>
    <row r="149">
      <c r="G149" s="15" t="n"/>
    </row>
    <row r="150">
      <c r="G150" s="15" t="n"/>
    </row>
    <row r="151">
      <c r="G151" s="15" t="n"/>
    </row>
    <row r="152">
      <c r="G152" s="15" t="n"/>
    </row>
    <row r="153">
      <c r="G153" s="15" t="n"/>
    </row>
    <row r="154">
      <c r="G154" s="15" t="n"/>
    </row>
    <row r="155">
      <c r="G155" s="15" t="n"/>
    </row>
    <row r="156">
      <c r="G156" s="15" t="n"/>
    </row>
    <row r="157">
      <c r="G157" s="15" t="n"/>
    </row>
    <row r="158">
      <c r="G158" s="15" t="n"/>
    </row>
    <row r="159">
      <c r="G159" s="15" t="n"/>
    </row>
    <row r="160">
      <c r="G160" s="15" t="n"/>
    </row>
    <row r="161">
      <c r="G161" s="15" t="n"/>
    </row>
    <row r="162">
      <c r="G162" s="15" t="n"/>
    </row>
    <row r="163">
      <c r="G163" s="15" t="n"/>
    </row>
    <row r="164">
      <c r="G164" s="15" t="n"/>
    </row>
    <row r="165">
      <c r="G165" s="15" t="n"/>
    </row>
    <row r="166">
      <c r="G166" s="15" t="n"/>
    </row>
    <row r="167">
      <c r="G167" s="15" t="n"/>
    </row>
    <row r="168">
      <c r="G168" s="15" t="n"/>
    </row>
    <row r="169">
      <c r="G169" s="15" t="n"/>
    </row>
    <row r="170">
      <c r="G170" s="15" t="n"/>
    </row>
    <row r="171">
      <c r="G171" s="15" t="n"/>
    </row>
    <row r="172">
      <c r="G172" s="15" t="n"/>
    </row>
    <row r="173">
      <c r="G173" s="15" t="n"/>
    </row>
    <row r="174">
      <c r="G174" s="15" t="n"/>
    </row>
    <row r="175">
      <c r="G175" s="15" t="n"/>
    </row>
    <row r="176">
      <c r="G176" s="15" t="n"/>
    </row>
    <row r="177">
      <c r="G177" s="15" t="n"/>
    </row>
    <row r="178">
      <c r="G178" s="15" t="n"/>
    </row>
    <row r="179">
      <c r="G179" s="15" t="n"/>
    </row>
    <row r="180">
      <c r="G180" s="15" t="n"/>
    </row>
    <row r="181">
      <c r="G181" s="15" t="n"/>
    </row>
    <row r="182">
      <c r="G182" s="15" t="n"/>
    </row>
    <row r="183">
      <c r="G183" s="15" t="n"/>
    </row>
    <row r="184">
      <c r="G184" s="15" t="n"/>
    </row>
    <row r="185">
      <c r="G185" s="15" t="n"/>
    </row>
    <row r="186">
      <c r="G186" s="15" t="n"/>
    </row>
    <row r="187">
      <c r="G187" s="15" t="n"/>
    </row>
    <row r="188">
      <c r="G188" s="15" t="n"/>
    </row>
    <row r="189">
      <c r="G189" s="15" t="n"/>
    </row>
    <row r="190">
      <c r="G190" s="15" t="n"/>
    </row>
    <row r="191">
      <c r="G191" s="15" t="n"/>
    </row>
    <row r="192">
      <c r="G192" s="15" t="n"/>
    </row>
    <row r="193">
      <c r="G193" s="15" t="n"/>
    </row>
    <row r="194">
      <c r="G194" s="15" t="n"/>
    </row>
    <row r="195">
      <c r="G195" s="15" t="n"/>
    </row>
    <row r="196">
      <c r="G196" s="15" t="n"/>
    </row>
    <row r="197">
      <c r="G197" s="15" t="n"/>
    </row>
    <row r="198">
      <c r="G198" s="15" t="n"/>
    </row>
    <row r="199">
      <c r="G199" s="15" t="n"/>
    </row>
    <row r="200">
      <c r="G200" s="15" t="n"/>
    </row>
  </sheetData>
  <dataValidations count="1">
    <dataValidation sqref="C2:C200" showDropDown="0" showInputMessage="0" showErrorMessage="0" allowBlank="0" type="list">
      <formula1>"Ativo,Prospect,Inativo"</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4.25"/>
  <cols>
    <col width="18" customWidth="1" style="1" min="1" max="10"/>
  </cols>
  <sheetData>
    <row r="1" ht="24" customHeight="1" s="1">
      <c r="A1" s="4" t="inlineStr">
        <is>
          <t>Cidade</t>
        </is>
      </c>
      <c r="B1" s="4" t="inlineStr">
        <is>
          <t>UF</t>
        </is>
      </c>
      <c r="C1" s="4" t="inlineStr">
        <is>
          <t>Região</t>
        </is>
      </c>
      <c r="D1" s="4" t="inlineStr">
        <is>
          <t>População</t>
        </is>
      </c>
      <c r="E1" s="4" t="inlineStr">
        <is>
          <t>Estádio/Arena</t>
        </is>
      </c>
      <c r="F1" s="4" t="inlineStr">
        <is>
          <t>Aeroporto</t>
        </is>
      </c>
      <c r="G1" s="4" t="inlineStr">
        <is>
          <t>IAC</t>
        </is>
      </c>
      <c r="H1" s="4" t="inlineStr">
        <is>
          <t>INP</t>
        </is>
      </c>
      <c r="I1" s="4" t="inlineStr">
        <is>
          <t>Eventos</t>
        </is>
      </c>
      <c r="J1" s="4" t="inlineStr">
        <is>
          <t>Observações</t>
        </is>
      </c>
    </row>
    <row r="2">
      <c r="A2" s="23" t="inlineStr">
        <is>
          <t>Rio de Janeiro</t>
        </is>
      </c>
      <c r="B2" s="23" t="inlineStr">
        <is>
          <t>RJ</t>
        </is>
      </c>
      <c r="C2" s="23" t="inlineStr">
        <is>
          <t>Sudeste</t>
        </is>
      </c>
      <c r="D2" s="23" t="n">
        <v>0</v>
      </c>
      <c r="E2" s="23" t="inlineStr">
        <is>
          <t>A definir</t>
        </is>
      </c>
      <c r="F2" s="23" t="inlineStr">
        <is>
          <t>A definir</t>
        </is>
      </c>
      <c r="G2" s="23">
        <f>_xludf.XLOOKUP(A2,'04_Radar_IAC'!A:A,'04_Radar_IAC'!J:J,0)</f>
        <v/>
      </c>
      <c r="H2" s="23">
        <f>_xludf.XLOOKUP(A2,'05_Radar_INP'!A:A,'05_Radar_INP'!J:J,0)</f>
        <v/>
      </c>
      <c r="I2" s="23">
        <f>COUNTIF('02_Eventos'!E:E,A2)</f>
        <v/>
      </c>
      <c r="J2" s="23" t="n"/>
    </row>
    <row r="3">
      <c r="A3" s="23" t="inlineStr">
        <is>
          <t>São Paulo</t>
        </is>
      </c>
      <c r="B3" s="23" t="inlineStr">
        <is>
          <t>SP</t>
        </is>
      </c>
      <c r="C3" s="23" t="inlineStr">
        <is>
          <t>Sudeste</t>
        </is>
      </c>
      <c r="D3" s="23" t="n">
        <v>0</v>
      </c>
      <c r="E3" s="23" t="inlineStr">
        <is>
          <t>A definir</t>
        </is>
      </c>
      <c r="F3" s="23" t="inlineStr">
        <is>
          <t>A definir</t>
        </is>
      </c>
      <c r="G3" s="23">
        <f>_xludf.XLOOKUP(A3,'04_Radar_IAC'!A:A,'04_Radar_IAC'!J:J,0)</f>
        <v/>
      </c>
      <c r="H3" s="23">
        <f>_xludf.XLOOKUP(A3,'05_Radar_INP'!A:A,'05_Radar_INP'!J:J,0)</f>
        <v/>
      </c>
      <c r="I3" s="23">
        <f>COUNTIF('02_Eventos'!E:E,A3)</f>
        <v/>
      </c>
      <c r="J3" s="23" t="n"/>
    </row>
    <row r="4">
      <c r="A4" s="23" t="inlineStr">
        <is>
          <t>Belo Horizonte</t>
        </is>
      </c>
      <c r="B4" s="23" t="inlineStr">
        <is>
          <t>MG</t>
        </is>
      </c>
      <c r="C4" s="23" t="inlineStr">
        <is>
          <t>Sudeste</t>
        </is>
      </c>
      <c r="D4" s="23" t="n">
        <v>0</v>
      </c>
      <c r="E4" s="23" t="inlineStr">
        <is>
          <t>A definir</t>
        </is>
      </c>
      <c r="F4" s="23" t="inlineStr">
        <is>
          <t>A definir</t>
        </is>
      </c>
      <c r="G4" s="23">
        <f>_xludf.XLOOKUP(A4,'04_Radar_IAC'!A:A,'04_Radar_IAC'!J:J,0)</f>
        <v/>
      </c>
      <c r="H4" s="23">
        <f>_xludf.XLOOKUP(A4,'05_Radar_INP'!A:A,'05_Radar_INP'!J:J,0)</f>
        <v/>
      </c>
      <c r="I4" s="23">
        <f>COUNTIF('02_Eventos'!E:E,A4)</f>
        <v/>
      </c>
      <c r="J4" s="23" t="n"/>
    </row>
    <row r="5">
      <c r="A5" s="23" t="inlineStr">
        <is>
          <t>Salvador</t>
        </is>
      </c>
      <c r="B5" s="23" t="inlineStr">
        <is>
          <t>BA</t>
        </is>
      </c>
      <c r="C5" s="23" t="inlineStr">
        <is>
          <t>Nordeste</t>
        </is>
      </c>
      <c r="D5" s="23" t="n">
        <v>0</v>
      </c>
      <c r="E5" s="23" t="inlineStr">
        <is>
          <t>A definir</t>
        </is>
      </c>
      <c r="F5" s="23" t="inlineStr">
        <is>
          <t>A definir</t>
        </is>
      </c>
      <c r="G5" s="23">
        <f>_xludf.XLOOKUP(A5,'04_Radar_IAC'!A:A,'04_Radar_IAC'!J:J,0)</f>
        <v/>
      </c>
      <c r="H5" s="23">
        <f>_xludf.XLOOKUP(A5,'05_Radar_INP'!A:A,'05_Radar_INP'!J:J,0)</f>
        <v/>
      </c>
      <c r="I5" s="23">
        <f>COUNTIF('02_Eventos'!E:E,A5)</f>
        <v/>
      </c>
      <c r="J5" s="23" t="n"/>
    </row>
    <row r="6">
      <c r="A6" s="23" t="inlineStr">
        <is>
          <t>Recife</t>
        </is>
      </c>
      <c r="B6" s="23" t="inlineStr">
        <is>
          <t>PE</t>
        </is>
      </c>
      <c r="C6" s="23" t="inlineStr">
        <is>
          <t>Nordeste</t>
        </is>
      </c>
      <c r="D6" s="23" t="n">
        <v>0</v>
      </c>
      <c r="E6" s="23" t="inlineStr">
        <is>
          <t>A definir</t>
        </is>
      </c>
      <c r="F6" s="23" t="inlineStr">
        <is>
          <t>A definir</t>
        </is>
      </c>
      <c r="G6" s="23">
        <f>_xludf.XLOOKUP(A6,'04_Radar_IAC'!A:A,'04_Radar_IAC'!J:J,0)</f>
        <v/>
      </c>
      <c r="H6" s="23">
        <f>_xludf.XLOOKUP(A6,'05_Radar_INP'!A:A,'05_Radar_INP'!J:J,0)</f>
        <v/>
      </c>
      <c r="I6" s="23">
        <f>COUNTIF('02_Eventos'!E:E,A6)</f>
        <v/>
      </c>
      <c r="J6" s="23" t="n"/>
    </row>
    <row r="7">
      <c r="A7" s="23" t="inlineStr">
        <is>
          <t>Fortaleza</t>
        </is>
      </c>
      <c r="B7" s="23" t="inlineStr">
        <is>
          <t>CE</t>
        </is>
      </c>
      <c r="C7" s="23" t="inlineStr">
        <is>
          <t>Nordeste</t>
        </is>
      </c>
      <c r="D7" s="23" t="n">
        <v>0</v>
      </c>
      <c r="E7" s="23" t="inlineStr">
        <is>
          <t>A definir</t>
        </is>
      </c>
      <c r="F7" s="23" t="inlineStr">
        <is>
          <t>A definir</t>
        </is>
      </c>
      <c r="G7" s="23">
        <f>_xludf.XLOOKUP(A7,'04_Radar_IAC'!A:A,'04_Radar_IAC'!J:J,0)</f>
        <v/>
      </c>
      <c r="H7" s="23">
        <f>_xludf.XLOOKUP(A7,'05_Radar_INP'!A:A,'05_Radar_INP'!J:J,0)</f>
        <v/>
      </c>
      <c r="I7" s="23">
        <f>COUNTIF('02_Eventos'!E:E,A7)</f>
        <v/>
      </c>
      <c r="J7" s="23" t="n"/>
    </row>
    <row r="8">
      <c r="A8" s="23" t="inlineStr">
        <is>
          <t>Brasília</t>
        </is>
      </c>
      <c r="B8" s="23" t="inlineStr">
        <is>
          <t>DF</t>
        </is>
      </c>
      <c r="C8" s="23" t="inlineStr">
        <is>
          <t>Centro-Oeste</t>
        </is>
      </c>
      <c r="D8" s="23" t="n">
        <v>0</v>
      </c>
      <c r="E8" s="23" t="inlineStr">
        <is>
          <t>A definir</t>
        </is>
      </c>
      <c r="F8" s="23" t="inlineStr">
        <is>
          <t>A definir</t>
        </is>
      </c>
      <c r="G8" s="23">
        <f>_xludf.XLOOKUP(A8,'04_Radar_IAC'!A:A,'04_Radar_IAC'!J:J,0)</f>
        <v/>
      </c>
      <c r="H8" s="23">
        <f>_xludf.XLOOKUP(A8,'05_Radar_INP'!A:A,'05_Radar_INP'!J:J,0)</f>
        <v/>
      </c>
      <c r="I8" s="23">
        <f>COUNTIF('02_Eventos'!E:E,A8)</f>
        <v/>
      </c>
      <c r="J8" s="23" t="n"/>
    </row>
    <row r="9">
      <c r="A9" s="23" t="inlineStr">
        <is>
          <t>Porto Alegre</t>
        </is>
      </c>
      <c r="B9" s="23" t="inlineStr">
        <is>
          <t>RS</t>
        </is>
      </c>
      <c r="C9" s="23" t="inlineStr">
        <is>
          <t>Sul</t>
        </is>
      </c>
      <c r="D9" s="23" t="n">
        <v>0</v>
      </c>
      <c r="E9" s="23" t="inlineStr">
        <is>
          <t>A definir</t>
        </is>
      </c>
      <c r="F9" s="23" t="inlineStr">
        <is>
          <t>A definir</t>
        </is>
      </c>
      <c r="G9" s="23">
        <f>_xludf.XLOOKUP(A9,'04_Radar_IAC'!A:A,'04_Radar_IAC'!J:J,0)</f>
        <v/>
      </c>
      <c r="H9" s="23">
        <f>_xludf.XLOOKUP(A9,'05_Radar_INP'!A:A,'05_Radar_INP'!J:J,0)</f>
        <v/>
      </c>
      <c r="I9" s="23">
        <f>COUNTIF('02_Eventos'!E:E,A9)</f>
        <v/>
      </c>
      <c r="J9" s="23" t="n"/>
    </row>
  </sheetData>
  <conditionalFormatting sqref="G2:H100">
    <cfRule type="colorScale" priority="1">
      <colorScale>
        <cfvo type="min"/>
        <cfvo type="percentile" val="50"/>
        <cfvo type="max"/>
        <color rgb="FFF4CCCC"/>
        <color rgb="FFFFF2CC"/>
        <color rgb="FFE2F0D9"/>
      </colorScale>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500"/>
  <sheetViews>
    <sheetView workbookViewId="0">
      <selection activeCell="A1" sqref="A1"/>
    </sheetView>
  </sheetViews>
  <sheetFormatPr baseColWidth="8" defaultRowHeight="14.25"/>
  <cols>
    <col width="19" customWidth="1" style="1" min="1" max="10"/>
  </cols>
  <sheetData>
    <row r="1" ht="24" customHeight="1" s="1">
      <c r="A1" s="4" t="inlineStr">
        <is>
          <t>ID</t>
        </is>
      </c>
      <c r="B1" s="4" t="inlineStr">
        <is>
          <t>Projeto</t>
        </is>
      </c>
      <c r="C1" s="4" t="inlineStr">
        <is>
          <t>Cidade/UF</t>
        </is>
      </c>
      <c r="D1" s="4" t="inlineStr">
        <is>
          <t>Eixo</t>
        </is>
      </c>
      <c r="E1" s="4" t="inlineStr">
        <is>
          <t>Responsável</t>
        </is>
      </c>
      <c r="F1" s="4" t="inlineStr">
        <is>
          <t>Início</t>
        </is>
      </c>
      <c r="G1" s="4" t="inlineStr">
        <is>
          <t>Fim</t>
        </is>
      </c>
      <c r="H1" s="4" t="inlineStr">
        <is>
          <t>Status</t>
        </is>
      </c>
      <c r="I1" s="4" t="inlineStr">
        <is>
          <t>Beneficiários</t>
        </is>
      </c>
      <c r="J1" s="4" t="inlineStr">
        <is>
          <t>Resultado Esperado</t>
        </is>
      </c>
    </row>
    <row r="2">
      <c r="A2" s="23" t="inlineStr">
        <is>
          <t>LEG-001</t>
        </is>
      </c>
      <c r="B2" s="23" t="inlineStr">
        <is>
          <t>Futebol para Meninas</t>
        </is>
      </c>
      <c r="C2" s="23" t="inlineStr">
        <is>
          <t>Rio de Janeiro/RJ</t>
        </is>
      </c>
      <c r="D2" s="23" t="inlineStr">
        <is>
          <t>Social</t>
        </is>
      </c>
      <c r="E2" s="23" t="inlineStr">
        <is>
          <t>ONG Parceira</t>
        </is>
      </c>
      <c r="F2" s="6" t="n">
        <v>46235</v>
      </c>
      <c r="G2" s="6" t="n">
        <v>46600</v>
      </c>
      <c r="H2" s="23" t="inlineStr">
        <is>
          <t>Em execução</t>
        </is>
      </c>
      <c r="I2" s="23" t="n">
        <v>1200</v>
      </c>
      <c r="J2" s="23" t="inlineStr">
        <is>
          <t>Ampliar acesso ao esporte</t>
        </is>
      </c>
    </row>
    <row r="3">
      <c r="A3" s="23" t="inlineStr">
        <is>
          <t>LEG-002</t>
        </is>
      </c>
      <c r="B3" s="23" t="inlineStr">
        <is>
          <t>Formação de Treinadoras</t>
        </is>
      </c>
      <c r="C3" s="23" t="inlineStr">
        <is>
          <t>São Paulo/SP</t>
        </is>
      </c>
      <c r="D3" s="23" t="inlineStr">
        <is>
          <t>Capacitação</t>
        </is>
      </c>
      <c r="E3" s="23" t="inlineStr">
        <is>
          <t>Federação</t>
        </is>
      </c>
      <c r="F3" s="6" t="n">
        <v>46266</v>
      </c>
      <c r="G3" s="6" t="n">
        <v>46568</v>
      </c>
      <c r="H3" s="23" t="inlineStr">
        <is>
          <t>Planejado</t>
        </is>
      </c>
      <c r="I3" s="23" t="n">
        <v>250</v>
      </c>
      <c r="J3" s="23" t="inlineStr">
        <is>
          <t>Qualificar profissionais</t>
        </is>
      </c>
    </row>
    <row r="4">
      <c r="A4" s="23" t="inlineStr">
        <is>
          <t>LEG-003</t>
        </is>
      </c>
      <c r="B4" s="23" t="inlineStr">
        <is>
          <t>Campos do Futuro</t>
        </is>
      </c>
      <c r="C4" s="23" t="inlineStr">
        <is>
          <t>Salvador/BA</t>
        </is>
      </c>
      <c r="D4" s="23" t="inlineStr">
        <is>
          <t>Infraestrutura</t>
        </is>
      </c>
      <c r="E4" s="23" t="inlineStr">
        <is>
          <t>Prefeitura</t>
        </is>
      </c>
      <c r="F4" s="6" t="n">
        <v>46296</v>
      </c>
      <c r="G4" s="6" t="n">
        <v>46661</v>
      </c>
      <c r="H4" s="23" t="inlineStr">
        <is>
          <t>Planejado</t>
        </is>
      </c>
      <c r="I4" s="23" t="n">
        <v>5000</v>
      </c>
      <c r="J4" s="23" t="inlineStr">
        <is>
          <t>Revitalizar espaços esportivos</t>
        </is>
      </c>
    </row>
    <row r="5">
      <c r="A5" s="23" t="n"/>
      <c r="B5" s="23" t="n"/>
      <c r="C5" s="23" t="n"/>
      <c r="D5" s="23" t="n"/>
      <c r="E5" s="23" t="n"/>
      <c r="F5" s="6" t="n"/>
      <c r="G5" s="6" t="n"/>
      <c r="H5" s="23" t="n"/>
      <c r="I5" s="23" t="n"/>
      <c r="J5" s="23" t="n"/>
    </row>
    <row r="6">
      <c r="A6" s="23" t="n"/>
      <c r="B6" s="23" t="n"/>
      <c r="C6" s="23" t="n"/>
      <c r="D6" s="23" t="n"/>
      <c r="E6" s="23" t="n"/>
      <c r="F6" s="6" t="n"/>
      <c r="G6" s="6" t="n"/>
      <c r="H6" s="23" t="n"/>
      <c r="I6" s="23" t="n"/>
      <c r="J6" s="23" t="n"/>
    </row>
    <row r="7">
      <c r="A7" s="23" t="n"/>
      <c r="B7" s="23" t="n"/>
      <c r="C7" s="23" t="n"/>
      <c r="D7" s="23" t="n"/>
      <c r="E7" s="23" t="n"/>
      <c r="F7" s="6" t="n"/>
      <c r="G7" s="6" t="n"/>
      <c r="H7" s="23" t="n"/>
      <c r="I7" s="23" t="n"/>
      <c r="J7" s="23" t="n"/>
    </row>
    <row r="8">
      <c r="A8" s="23" t="n"/>
      <c r="B8" s="23" t="n"/>
      <c r="C8" s="23" t="n"/>
      <c r="D8" s="23" t="n"/>
      <c r="E8" s="23" t="n"/>
      <c r="F8" s="6" t="n"/>
      <c r="G8" s="6" t="n"/>
      <c r="H8" s="23" t="n"/>
      <c r="I8" s="23" t="n"/>
      <c r="J8" s="23" t="n"/>
    </row>
    <row r="9">
      <c r="A9" s="23" t="n"/>
      <c r="B9" s="23" t="n"/>
      <c r="C9" s="23" t="n"/>
      <c r="D9" s="23" t="n"/>
      <c r="E9" s="23" t="n"/>
      <c r="F9" s="6" t="n"/>
      <c r="G9" s="6" t="n"/>
      <c r="H9" s="23" t="n"/>
      <c r="I9" s="23" t="n"/>
      <c r="J9" s="23" t="n"/>
    </row>
    <row r="10">
      <c r="A10" s="23" t="n"/>
      <c r="B10" s="23" t="n"/>
      <c r="C10" s="23" t="n"/>
      <c r="D10" s="23" t="n"/>
      <c r="E10" s="23" t="n"/>
      <c r="F10" s="6" t="n"/>
      <c r="G10" s="6" t="n"/>
      <c r="H10" s="23" t="n"/>
      <c r="I10" s="23" t="n"/>
      <c r="J10" s="23" t="n"/>
    </row>
    <row r="11">
      <c r="A11" s="23" t="n"/>
      <c r="B11" s="23" t="n"/>
      <c r="C11" s="23" t="n"/>
      <c r="D11" s="23" t="n"/>
      <c r="E11" s="23" t="n"/>
      <c r="F11" s="6" t="n"/>
      <c r="G11" s="6" t="n"/>
      <c r="H11" s="23" t="n"/>
      <c r="I11" s="23" t="n"/>
      <c r="J11" s="23" t="n"/>
    </row>
    <row r="12">
      <c r="A12" s="23" t="n"/>
      <c r="B12" s="23" t="n"/>
      <c r="C12" s="23" t="n"/>
      <c r="D12" s="23" t="n"/>
      <c r="E12" s="23" t="n"/>
      <c r="F12" s="6" t="n"/>
      <c r="G12" s="6" t="n"/>
      <c r="H12" s="23" t="n"/>
      <c r="I12" s="23" t="n"/>
      <c r="J12" s="23" t="n"/>
    </row>
    <row r="13">
      <c r="A13" s="23" t="n"/>
      <c r="B13" s="23" t="n"/>
      <c r="C13" s="23" t="n"/>
      <c r="D13" s="23" t="n"/>
      <c r="E13" s="23" t="n"/>
      <c r="F13" s="6" t="n"/>
      <c r="G13" s="6" t="n"/>
      <c r="H13" s="23" t="n"/>
      <c r="I13" s="23" t="n"/>
      <c r="J13" s="23" t="n"/>
    </row>
    <row r="14">
      <c r="A14" s="23" t="n"/>
      <c r="B14" s="23" t="n"/>
      <c r="C14" s="23" t="n"/>
      <c r="D14" s="23" t="n"/>
      <c r="E14" s="23" t="n"/>
      <c r="F14" s="6" t="n"/>
      <c r="G14" s="6" t="n"/>
      <c r="H14" s="23" t="n"/>
      <c r="I14" s="23" t="n"/>
      <c r="J14" s="23" t="n"/>
    </row>
    <row r="15">
      <c r="A15" s="23" t="n"/>
      <c r="B15" s="23" t="n"/>
      <c r="C15" s="23" t="n"/>
      <c r="D15" s="23" t="n"/>
      <c r="E15" s="23" t="n"/>
      <c r="F15" s="6" t="n"/>
      <c r="G15" s="6" t="n"/>
      <c r="H15" s="23" t="n"/>
      <c r="I15" s="23" t="n"/>
      <c r="J15" s="23" t="n"/>
    </row>
    <row r="16">
      <c r="A16" s="23" t="n"/>
      <c r="B16" s="23" t="n"/>
      <c r="C16" s="23" t="n"/>
      <c r="D16" s="23" t="n"/>
      <c r="E16" s="23" t="n"/>
      <c r="F16" s="6" t="n"/>
      <c r="G16" s="6" t="n"/>
      <c r="H16" s="23" t="n"/>
      <c r="I16" s="23" t="n"/>
      <c r="J16" s="23" t="n"/>
    </row>
    <row r="17">
      <c r="F17" s="6" t="n"/>
      <c r="G17" s="6" t="n"/>
    </row>
    <row r="18">
      <c r="F18" s="6" t="n"/>
      <c r="G18" s="6" t="n"/>
    </row>
    <row r="19">
      <c r="F19" s="6" t="n"/>
      <c r="G19" s="6" t="n"/>
    </row>
    <row r="20">
      <c r="F20" s="6" t="n"/>
      <c r="G20" s="6" t="n"/>
    </row>
    <row r="21">
      <c r="F21" s="6" t="n"/>
      <c r="G21" s="6" t="n"/>
    </row>
    <row r="22">
      <c r="F22" s="6" t="n"/>
      <c r="G22" s="6" t="n"/>
    </row>
    <row r="23">
      <c r="F23" s="6" t="n"/>
      <c r="G23" s="6" t="n"/>
    </row>
    <row r="24">
      <c r="F24" s="6" t="n"/>
      <c r="G24" s="6" t="n"/>
    </row>
    <row r="25">
      <c r="F25" s="6" t="n"/>
      <c r="G25" s="6" t="n"/>
    </row>
    <row r="26">
      <c r="F26" s="6" t="n"/>
      <c r="G26" s="6" t="n"/>
    </row>
    <row r="27">
      <c r="F27" s="6" t="n"/>
      <c r="G27" s="6" t="n"/>
    </row>
    <row r="28">
      <c r="F28" s="6" t="n"/>
      <c r="G28" s="6" t="n"/>
    </row>
    <row r="29">
      <c r="F29" s="6" t="n"/>
      <c r="G29" s="6" t="n"/>
    </row>
    <row r="30">
      <c r="F30" s="6" t="n"/>
      <c r="G30" s="6" t="n"/>
    </row>
    <row r="31">
      <c r="F31" s="6" t="n"/>
      <c r="G31" s="6" t="n"/>
    </row>
    <row r="32">
      <c r="F32" s="6" t="n"/>
      <c r="G32" s="6" t="n"/>
    </row>
    <row r="33">
      <c r="F33" s="6" t="n"/>
      <c r="G33" s="6" t="n"/>
    </row>
    <row r="34">
      <c r="F34" s="6" t="n"/>
      <c r="G34" s="6" t="n"/>
    </row>
    <row r="35">
      <c r="F35" s="6" t="n"/>
      <c r="G35" s="6" t="n"/>
    </row>
    <row r="36">
      <c r="F36" s="6" t="n"/>
      <c r="G36" s="6" t="n"/>
    </row>
    <row r="37">
      <c r="F37" s="6" t="n"/>
      <c r="G37" s="6" t="n"/>
    </row>
    <row r="38">
      <c r="F38" s="6" t="n"/>
      <c r="G38" s="6" t="n"/>
    </row>
    <row r="39">
      <c r="F39" s="6" t="n"/>
      <c r="G39" s="6" t="n"/>
    </row>
    <row r="40">
      <c r="F40" s="6" t="n"/>
      <c r="G40" s="6" t="n"/>
    </row>
    <row r="41">
      <c r="F41" s="6" t="n"/>
      <c r="G41" s="6" t="n"/>
    </row>
    <row r="42">
      <c r="F42" s="6" t="n"/>
      <c r="G42" s="6" t="n"/>
    </row>
    <row r="43">
      <c r="F43" s="6" t="n"/>
      <c r="G43" s="6" t="n"/>
    </row>
    <row r="44">
      <c r="F44" s="6" t="n"/>
      <c r="G44" s="6" t="n"/>
    </row>
    <row r="45">
      <c r="F45" s="6" t="n"/>
      <c r="G45" s="6" t="n"/>
    </row>
    <row r="46">
      <c r="F46" s="6" t="n"/>
      <c r="G46" s="6" t="n"/>
    </row>
    <row r="47">
      <c r="F47" s="6" t="n"/>
      <c r="G47" s="6" t="n"/>
    </row>
    <row r="48">
      <c r="F48" s="6" t="n"/>
      <c r="G48" s="6" t="n"/>
    </row>
    <row r="49">
      <c r="F49" s="6" t="n"/>
      <c r="G49" s="6" t="n"/>
    </row>
    <row r="50">
      <c r="F50" s="6" t="n"/>
      <c r="G50" s="6" t="n"/>
    </row>
    <row r="51">
      <c r="F51" s="6" t="n"/>
      <c r="G51" s="6" t="n"/>
    </row>
    <row r="52">
      <c r="F52" s="6" t="n"/>
      <c r="G52" s="6" t="n"/>
    </row>
    <row r="53">
      <c r="F53" s="6" t="n"/>
      <c r="G53" s="6" t="n"/>
    </row>
    <row r="54">
      <c r="F54" s="6" t="n"/>
      <c r="G54" s="6" t="n"/>
    </row>
    <row r="55">
      <c r="F55" s="6" t="n"/>
      <c r="G55" s="6" t="n"/>
    </row>
    <row r="56">
      <c r="F56" s="6" t="n"/>
      <c r="G56" s="6" t="n"/>
    </row>
    <row r="57">
      <c r="F57" s="6" t="n"/>
      <c r="G57" s="6" t="n"/>
    </row>
    <row r="58">
      <c r="F58" s="6" t="n"/>
      <c r="G58" s="6" t="n"/>
    </row>
    <row r="59">
      <c r="F59" s="6" t="n"/>
      <c r="G59" s="6" t="n"/>
    </row>
    <row r="60">
      <c r="F60" s="6" t="n"/>
      <c r="G60" s="6" t="n"/>
    </row>
    <row r="61">
      <c r="F61" s="6" t="n"/>
      <c r="G61" s="6" t="n"/>
    </row>
    <row r="62">
      <c r="F62" s="6" t="n"/>
      <c r="G62" s="6" t="n"/>
    </row>
    <row r="63">
      <c r="F63" s="6" t="n"/>
      <c r="G63" s="6" t="n"/>
    </row>
    <row r="64">
      <c r="F64" s="6" t="n"/>
      <c r="G64" s="6" t="n"/>
    </row>
    <row r="65">
      <c r="F65" s="6" t="n"/>
      <c r="G65" s="6" t="n"/>
    </row>
    <row r="66">
      <c r="F66" s="6" t="n"/>
      <c r="G66" s="6" t="n"/>
    </row>
    <row r="67">
      <c r="F67" s="6" t="n"/>
      <c r="G67" s="6" t="n"/>
    </row>
    <row r="68">
      <c r="F68" s="6" t="n"/>
      <c r="G68" s="6" t="n"/>
    </row>
    <row r="69">
      <c r="F69" s="6" t="n"/>
      <c r="G69" s="6" t="n"/>
    </row>
    <row r="70">
      <c r="F70" s="6" t="n"/>
      <c r="G70" s="6" t="n"/>
    </row>
    <row r="71">
      <c r="F71" s="6" t="n"/>
      <c r="G71" s="6" t="n"/>
    </row>
    <row r="72">
      <c r="F72" s="6" t="n"/>
      <c r="G72" s="6" t="n"/>
    </row>
    <row r="73">
      <c r="F73" s="6" t="n"/>
      <c r="G73" s="6" t="n"/>
    </row>
    <row r="74">
      <c r="F74" s="6" t="n"/>
      <c r="G74" s="6" t="n"/>
    </row>
    <row r="75">
      <c r="F75" s="6" t="n"/>
      <c r="G75" s="6" t="n"/>
    </row>
    <row r="76">
      <c r="F76" s="6" t="n"/>
      <c r="G76" s="6" t="n"/>
    </row>
    <row r="77">
      <c r="F77" s="6" t="n"/>
      <c r="G77" s="6" t="n"/>
    </row>
    <row r="78">
      <c r="F78" s="6" t="n"/>
      <c r="G78" s="6" t="n"/>
    </row>
    <row r="79">
      <c r="F79" s="6" t="n"/>
      <c r="G79" s="6" t="n"/>
    </row>
    <row r="80">
      <c r="F80" s="6" t="n"/>
      <c r="G80" s="6" t="n"/>
    </row>
    <row r="81">
      <c r="F81" s="6" t="n"/>
      <c r="G81" s="6" t="n"/>
    </row>
    <row r="82">
      <c r="F82" s="6" t="n"/>
      <c r="G82" s="6" t="n"/>
    </row>
    <row r="83">
      <c r="F83" s="6" t="n"/>
      <c r="G83" s="6" t="n"/>
    </row>
    <row r="84">
      <c r="F84" s="6" t="n"/>
      <c r="G84" s="6" t="n"/>
    </row>
    <row r="85">
      <c r="F85" s="6" t="n"/>
      <c r="G85" s="6" t="n"/>
    </row>
    <row r="86">
      <c r="F86" s="6" t="n"/>
      <c r="G86" s="6" t="n"/>
    </row>
    <row r="87">
      <c r="F87" s="6" t="n"/>
      <c r="G87" s="6" t="n"/>
    </row>
    <row r="88">
      <c r="F88" s="6" t="n"/>
      <c r="G88" s="6" t="n"/>
    </row>
    <row r="89">
      <c r="F89" s="6" t="n"/>
      <c r="G89" s="6" t="n"/>
    </row>
    <row r="90">
      <c r="F90" s="6" t="n"/>
      <c r="G90" s="6" t="n"/>
    </row>
    <row r="91">
      <c r="F91" s="6" t="n"/>
      <c r="G91" s="6" t="n"/>
    </row>
    <row r="92">
      <c r="F92" s="6" t="n"/>
      <c r="G92" s="6" t="n"/>
    </row>
    <row r="93">
      <c r="F93" s="6" t="n"/>
      <c r="G93" s="6" t="n"/>
    </row>
    <row r="94">
      <c r="F94" s="6" t="n"/>
      <c r="G94" s="6" t="n"/>
    </row>
    <row r="95">
      <c r="F95" s="6" t="n"/>
      <c r="G95" s="6" t="n"/>
    </row>
    <row r="96">
      <c r="F96" s="6" t="n"/>
      <c r="G96" s="6" t="n"/>
    </row>
    <row r="97">
      <c r="F97" s="6" t="n"/>
      <c r="G97" s="6" t="n"/>
    </row>
    <row r="98">
      <c r="F98" s="6" t="n"/>
      <c r="G98" s="6" t="n"/>
    </row>
    <row r="99">
      <c r="F99" s="6" t="n"/>
      <c r="G99" s="6" t="n"/>
    </row>
    <row r="100">
      <c r="F100" s="6" t="n"/>
      <c r="G100" s="6" t="n"/>
    </row>
    <row r="101">
      <c r="F101" s="6" t="n"/>
      <c r="G101" s="6" t="n"/>
    </row>
    <row r="102">
      <c r="F102" s="6" t="n"/>
      <c r="G102" s="6" t="n"/>
    </row>
    <row r="103">
      <c r="F103" s="6" t="n"/>
      <c r="G103" s="6" t="n"/>
    </row>
    <row r="104">
      <c r="F104" s="6" t="n"/>
      <c r="G104" s="6" t="n"/>
    </row>
    <row r="105">
      <c r="F105" s="6" t="n"/>
      <c r="G105" s="6" t="n"/>
    </row>
    <row r="106">
      <c r="F106" s="6" t="n"/>
      <c r="G106" s="6" t="n"/>
    </row>
    <row r="107">
      <c r="F107" s="6" t="n"/>
      <c r="G107" s="6" t="n"/>
    </row>
    <row r="108">
      <c r="F108" s="6" t="n"/>
      <c r="G108" s="6" t="n"/>
    </row>
    <row r="109">
      <c r="F109" s="6" t="n"/>
      <c r="G109" s="6" t="n"/>
    </row>
    <row r="110">
      <c r="F110" s="6" t="n"/>
      <c r="G110" s="6" t="n"/>
    </row>
    <row r="111">
      <c r="F111" s="6" t="n"/>
      <c r="G111" s="6" t="n"/>
    </row>
    <row r="112">
      <c r="F112" s="6" t="n"/>
      <c r="G112" s="6" t="n"/>
    </row>
    <row r="113">
      <c r="F113" s="6" t="n"/>
      <c r="G113" s="6" t="n"/>
    </row>
    <row r="114">
      <c r="F114" s="6" t="n"/>
      <c r="G114" s="6" t="n"/>
    </row>
    <row r="115">
      <c r="F115" s="6" t="n"/>
      <c r="G115" s="6" t="n"/>
    </row>
    <row r="116">
      <c r="F116" s="6" t="n"/>
      <c r="G116" s="6" t="n"/>
    </row>
    <row r="117">
      <c r="F117" s="6" t="n"/>
      <c r="G117" s="6" t="n"/>
    </row>
    <row r="118">
      <c r="F118" s="6" t="n"/>
      <c r="G118" s="6" t="n"/>
    </row>
    <row r="119">
      <c r="F119" s="6" t="n"/>
      <c r="G119" s="6" t="n"/>
    </row>
    <row r="120">
      <c r="F120" s="6" t="n"/>
      <c r="G120" s="6" t="n"/>
    </row>
    <row r="121">
      <c r="F121" s="6" t="n"/>
      <c r="G121" s="6" t="n"/>
    </row>
    <row r="122">
      <c r="F122" s="6" t="n"/>
      <c r="G122" s="6" t="n"/>
    </row>
    <row r="123">
      <c r="F123" s="6" t="n"/>
      <c r="G123" s="6" t="n"/>
    </row>
    <row r="124">
      <c r="F124" s="6" t="n"/>
      <c r="G124" s="6" t="n"/>
    </row>
    <row r="125">
      <c r="F125" s="6" t="n"/>
      <c r="G125" s="6" t="n"/>
    </row>
    <row r="126">
      <c r="F126" s="6" t="n"/>
      <c r="G126" s="6" t="n"/>
    </row>
    <row r="127">
      <c r="F127" s="6" t="n"/>
      <c r="G127" s="6" t="n"/>
    </row>
    <row r="128">
      <c r="F128" s="6" t="n"/>
      <c r="G128" s="6" t="n"/>
    </row>
    <row r="129">
      <c r="F129" s="6" t="n"/>
      <c r="G129" s="6" t="n"/>
    </row>
    <row r="130">
      <c r="F130" s="6" t="n"/>
      <c r="G130" s="6" t="n"/>
    </row>
    <row r="131">
      <c r="F131" s="6" t="n"/>
      <c r="G131" s="6" t="n"/>
    </row>
    <row r="132">
      <c r="F132" s="6" t="n"/>
      <c r="G132" s="6" t="n"/>
    </row>
    <row r="133">
      <c r="F133" s="6" t="n"/>
      <c r="G133" s="6" t="n"/>
    </row>
    <row r="134">
      <c r="F134" s="6" t="n"/>
      <c r="G134" s="6" t="n"/>
    </row>
    <row r="135">
      <c r="F135" s="6" t="n"/>
      <c r="G135" s="6" t="n"/>
    </row>
    <row r="136">
      <c r="F136" s="6" t="n"/>
      <c r="G136" s="6" t="n"/>
    </row>
    <row r="137">
      <c r="F137" s="6" t="n"/>
      <c r="G137" s="6" t="n"/>
    </row>
    <row r="138">
      <c r="F138" s="6" t="n"/>
      <c r="G138" s="6" t="n"/>
    </row>
    <row r="139">
      <c r="F139" s="6" t="n"/>
      <c r="G139" s="6" t="n"/>
    </row>
    <row r="140">
      <c r="F140" s="6" t="n"/>
      <c r="G140" s="6" t="n"/>
    </row>
    <row r="141">
      <c r="F141" s="6" t="n"/>
      <c r="G141" s="6" t="n"/>
    </row>
    <row r="142">
      <c r="F142" s="6" t="n"/>
      <c r="G142" s="6" t="n"/>
    </row>
    <row r="143">
      <c r="F143" s="6" t="n"/>
      <c r="G143" s="6" t="n"/>
    </row>
    <row r="144">
      <c r="F144" s="6" t="n"/>
      <c r="G144" s="6" t="n"/>
    </row>
    <row r="145">
      <c r="F145" s="6" t="n"/>
      <c r="G145" s="6" t="n"/>
    </row>
    <row r="146">
      <c r="F146" s="6" t="n"/>
      <c r="G146" s="6" t="n"/>
    </row>
    <row r="147">
      <c r="F147" s="6" t="n"/>
      <c r="G147" s="6" t="n"/>
    </row>
    <row r="148">
      <c r="F148" s="6" t="n"/>
      <c r="G148" s="6" t="n"/>
    </row>
    <row r="149">
      <c r="F149" s="6" t="n"/>
      <c r="G149" s="6" t="n"/>
    </row>
    <row r="150">
      <c r="F150" s="6" t="n"/>
      <c r="G150" s="6" t="n"/>
    </row>
    <row r="151">
      <c r="F151" s="6" t="n"/>
      <c r="G151" s="6" t="n"/>
    </row>
    <row r="152">
      <c r="F152" s="6" t="n"/>
      <c r="G152" s="6" t="n"/>
    </row>
    <row r="153">
      <c r="F153" s="6" t="n"/>
      <c r="G153" s="6" t="n"/>
    </row>
    <row r="154">
      <c r="F154" s="6" t="n"/>
      <c r="G154" s="6" t="n"/>
    </row>
    <row r="155">
      <c r="F155" s="6" t="n"/>
      <c r="G155" s="6" t="n"/>
    </row>
    <row r="156">
      <c r="F156" s="6" t="n"/>
      <c r="G156" s="6" t="n"/>
    </row>
    <row r="157">
      <c r="F157" s="6" t="n"/>
      <c r="G157" s="6" t="n"/>
    </row>
    <row r="158">
      <c r="F158" s="6" t="n"/>
      <c r="G158" s="6" t="n"/>
    </row>
    <row r="159">
      <c r="F159" s="6" t="n"/>
      <c r="G159" s="6" t="n"/>
    </row>
    <row r="160">
      <c r="F160" s="6" t="n"/>
      <c r="G160" s="6" t="n"/>
    </row>
    <row r="161">
      <c r="F161" s="6" t="n"/>
      <c r="G161" s="6" t="n"/>
    </row>
    <row r="162">
      <c r="F162" s="6" t="n"/>
      <c r="G162" s="6" t="n"/>
    </row>
    <row r="163">
      <c r="F163" s="6" t="n"/>
      <c r="G163" s="6" t="n"/>
    </row>
    <row r="164">
      <c r="F164" s="6" t="n"/>
      <c r="G164" s="6" t="n"/>
    </row>
    <row r="165">
      <c r="F165" s="6" t="n"/>
      <c r="G165" s="6" t="n"/>
    </row>
    <row r="166">
      <c r="F166" s="6" t="n"/>
      <c r="G166" s="6" t="n"/>
    </row>
    <row r="167">
      <c r="F167" s="6" t="n"/>
      <c r="G167" s="6" t="n"/>
    </row>
    <row r="168">
      <c r="F168" s="6" t="n"/>
      <c r="G168" s="6" t="n"/>
    </row>
    <row r="169">
      <c r="F169" s="6" t="n"/>
      <c r="G169" s="6" t="n"/>
    </row>
    <row r="170">
      <c r="F170" s="6" t="n"/>
      <c r="G170" s="6" t="n"/>
    </row>
    <row r="171">
      <c r="F171" s="6" t="n"/>
      <c r="G171" s="6" t="n"/>
    </row>
    <row r="172">
      <c r="F172" s="6" t="n"/>
      <c r="G172" s="6" t="n"/>
    </row>
    <row r="173">
      <c r="F173" s="6" t="n"/>
      <c r="G173" s="6" t="n"/>
    </row>
    <row r="174">
      <c r="F174" s="6" t="n"/>
      <c r="G174" s="6" t="n"/>
    </row>
    <row r="175">
      <c r="F175" s="6" t="n"/>
      <c r="G175" s="6" t="n"/>
    </row>
    <row r="176">
      <c r="F176" s="6" t="n"/>
      <c r="G176" s="6" t="n"/>
    </row>
    <row r="177">
      <c r="F177" s="6" t="n"/>
      <c r="G177" s="6" t="n"/>
    </row>
    <row r="178">
      <c r="F178" s="6" t="n"/>
      <c r="G178" s="6" t="n"/>
    </row>
    <row r="179">
      <c r="F179" s="6" t="n"/>
      <c r="G179" s="6" t="n"/>
    </row>
    <row r="180">
      <c r="F180" s="6" t="n"/>
      <c r="G180" s="6" t="n"/>
    </row>
    <row r="181">
      <c r="F181" s="6" t="n"/>
      <c r="G181" s="6" t="n"/>
    </row>
    <row r="182">
      <c r="F182" s="6" t="n"/>
      <c r="G182" s="6" t="n"/>
    </row>
    <row r="183">
      <c r="F183" s="6" t="n"/>
      <c r="G183" s="6" t="n"/>
    </row>
    <row r="184">
      <c r="F184" s="6" t="n"/>
      <c r="G184" s="6" t="n"/>
    </row>
    <row r="185">
      <c r="F185" s="6" t="n"/>
      <c r="G185" s="6" t="n"/>
    </row>
    <row r="186">
      <c r="F186" s="6" t="n"/>
      <c r="G186" s="6" t="n"/>
    </row>
    <row r="187">
      <c r="F187" s="6" t="n"/>
      <c r="G187" s="6" t="n"/>
    </row>
    <row r="188">
      <c r="F188" s="6" t="n"/>
      <c r="G188" s="6" t="n"/>
    </row>
    <row r="189">
      <c r="F189" s="6" t="n"/>
      <c r="G189" s="6" t="n"/>
    </row>
    <row r="190">
      <c r="F190" s="6" t="n"/>
      <c r="G190" s="6" t="n"/>
    </row>
    <row r="191">
      <c r="F191" s="6" t="n"/>
      <c r="G191" s="6" t="n"/>
    </row>
    <row r="192">
      <c r="F192" s="6" t="n"/>
      <c r="G192" s="6" t="n"/>
    </row>
    <row r="193">
      <c r="F193" s="6" t="n"/>
      <c r="G193" s="6" t="n"/>
    </row>
    <row r="194">
      <c r="F194" s="6" t="n"/>
      <c r="G194" s="6" t="n"/>
    </row>
    <row r="195">
      <c r="F195" s="6" t="n"/>
      <c r="G195" s="6" t="n"/>
    </row>
    <row r="196">
      <c r="F196" s="6" t="n"/>
      <c r="G196" s="6" t="n"/>
    </row>
    <row r="197">
      <c r="F197" s="6" t="n"/>
      <c r="G197" s="6" t="n"/>
    </row>
    <row r="198">
      <c r="F198" s="6" t="n"/>
      <c r="G198" s="6" t="n"/>
    </row>
    <row r="199">
      <c r="F199" s="6" t="n"/>
      <c r="G199" s="6" t="n"/>
    </row>
    <row r="200">
      <c r="F200" s="6" t="n"/>
      <c r="G200" s="6" t="n"/>
    </row>
    <row r="201">
      <c r="F201" s="6" t="n"/>
      <c r="G201" s="6" t="n"/>
    </row>
    <row r="202">
      <c r="F202" s="6" t="n"/>
      <c r="G202" s="6" t="n"/>
    </row>
    <row r="203">
      <c r="F203" s="6" t="n"/>
      <c r="G203" s="6" t="n"/>
    </row>
    <row r="204">
      <c r="F204" s="6" t="n"/>
      <c r="G204" s="6" t="n"/>
    </row>
    <row r="205">
      <c r="F205" s="6" t="n"/>
      <c r="G205" s="6" t="n"/>
    </row>
    <row r="206">
      <c r="F206" s="6" t="n"/>
      <c r="G206" s="6" t="n"/>
    </row>
    <row r="207">
      <c r="F207" s="6" t="n"/>
      <c r="G207" s="6" t="n"/>
    </row>
    <row r="208">
      <c r="F208" s="6" t="n"/>
      <c r="G208" s="6" t="n"/>
    </row>
    <row r="209">
      <c r="F209" s="6" t="n"/>
      <c r="G209" s="6" t="n"/>
    </row>
    <row r="210">
      <c r="F210" s="6" t="n"/>
      <c r="G210" s="6" t="n"/>
    </row>
    <row r="211">
      <c r="F211" s="6" t="n"/>
      <c r="G211" s="6" t="n"/>
    </row>
    <row r="212">
      <c r="F212" s="6" t="n"/>
      <c r="G212" s="6" t="n"/>
    </row>
    <row r="213">
      <c r="F213" s="6" t="n"/>
      <c r="G213" s="6" t="n"/>
    </row>
    <row r="214">
      <c r="F214" s="6" t="n"/>
      <c r="G214" s="6" t="n"/>
    </row>
    <row r="215">
      <c r="F215" s="6" t="n"/>
      <c r="G215" s="6" t="n"/>
    </row>
    <row r="216">
      <c r="F216" s="6" t="n"/>
      <c r="G216" s="6" t="n"/>
    </row>
    <row r="217">
      <c r="F217" s="6" t="n"/>
      <c r="G217" s="6" t="n"/>
    </row>
    <row r="218">
      <c r="F218" s="6" t="n"/>
      <c r="G218" s="6" t="n"/>
    </row>
    <row r="219">
      <c r="F219" s="6" t="n"/>
      <c r="G219" s="6" t="n"/>
    </row>
    <row r="220">
      <c r="F220" s="6" t="n"/>
      <c r="G220" s="6" t="n"/>
    </row>
    <row r="221">
      <c r="F221" s="6" t="n"/>
      <c r="G221" s="6" t="n"/>
    </row>
    <row r="222">
      <c r="F222" s="6" t="n"/>
      <c r="G222" s="6" t="n"/>
    </row>
    <row r="223">
      <c r="F223" s="6" t="n"/>
      <c r="G223" s="6" t="n"/>
    </row>
    <row r="224">
      <c r="F224" s="6" t="n"/>
      <c r="G224" s="6" t="n"/>
    </row>
    <row r="225">
      <c r="F225" s="6" t="n"/>
      <c r="G225" s="6" t="n"/>
    </row>
    <row r="226">
      <c r="F226" s="6" t="n"/>
      <c r="G226" s="6" t="n"/>
    </row>
    <row r="227">
      <c r="F227" s="6" t="n"/>
      <c r="G227" s="6" t="n"/>
    </row>
    <row r="228">
      <c r="F228" s="6" t="n"/>
      <c r="G228" s="6" t="n"/>
    </row>
    <row r="229">
      <c r="F229" s="6" t="n"/>
      <c r="G229" s="6" t="n"/>
    </row>
    <row r="230">
      <c r="F230" s="6" t="n"/>
      <c r="G230" s="6" t="n"/>
    </row>
    <row r="231">
      <c r="F231" s="6" t="n"/>
      <c r="G231" s="6" t="n"/>
    </row>
    <row r="232">
      <c r="F232" s="6" t="n"/>
      <c r="G232" s="6" t="n"/>
    </row>
    <row r="233">
      <c r="F233" s="6" t="n"/>
      <c r="G233" s="6" t="n"/>
    </row>
    <row r="234">
      <c r="F234" s="6" t="n"/>
      <c r="G234" s="6" t="n"/>
    </row>
    <row r="235">
      <c r="F235" s="6" t="n"/>
      <c r="G235" s="6" t="n"/>
    </row>
    <row r="236">
      <c r="F236" s="6" t="n"/>
      <c r="G236" s="6" t="n"/>
    </row>
    <row r="237">
      <c r="F237" s="6" t="n"/>
      <c r="G237" s="6" t="n"/>
    </row>
    <row r="238">
      <c r="F238" s="6" t="n"/>
      <c r="G238" s="6" t="n"/>
    </row>
    <row r="239">
      <c r="F239" s="6" t="n"/>
      <c r="G239" s="6" t="n"/>
    </row>
    <row r="240">
      <c r="F240" s="6" t="n"/>
      <c r="G240" s="6" t="n"/>
    </row>
    <row r="241">
      <c r="F241" s="6" t="n"/>
      <c r="G241" s="6" t="n"/>
    </row>
    <row r="242">
      <c r="F242" s="6" t="n"/>
      <c r="G242" s="6" t="n"/>
    </row>
    <row r="243">
      <c r="F243" s="6" t="n"/>
      <c r="G243" s="6" t="n"/>
    </row>
    <row r="244">
      <c r="F244" s="6" t="n"/>
      <c r="G244" s="6" t="n"/>
    </row>
    <row r="245">
      <c r="F245" s="6" t="n"/>
      <c r="G245" s="6" t="n"/>
    </row>
    <row r="246">
      <c r="F246" s="6" t="n"/>
      <c r="G246" s="6" t="n"/>
    </row>
    <row r="247">
      <c r="F247" s="6" t="n"/>
      <c r="G247" s="6" t="n"/>
    </row>
    <row r="248">
      <c r="F248" s="6" t="n"/>
      <c r="G248" s="6" t="n"/>
    </row>
    <row r="249">
      <c r="F249" s="6" t="n"/>
      <c r="G249" s="6" t="n"/>
    </row>
    <row r="250">
      <c r="F250" s="6" t="n"/>
      <c r="G250" s="6" t="n"/>
    </row>
    <row r="251">
      <c r="F251" s="6" t="n"/>
      <c r="G251" s="6" t="n"/>
    </row>
    <row r="252">
      <c r="F252" s="6" t="n"/>
      <c r="G252" s="6" t="n"/>
    </row>
    <row r="253">
      <c r="F253" s="6" t="n"/>
      <c r="G253" s="6" t="n"/>
    </row>
    <row r="254">
      <c r="F254" s="6" t="n"/>
      <c r="G254" s="6" t="n"/>
    </row>
    <row r="255">
      <c r="F255" s="6" t="n"/>
      <c r="G255" s="6" t="n"/>
    </row>
    <row r="256">
      <c r="F256" s="6" t="n"/>
      <c r="G256" s="6" t="n"/>
    </row>
    <row r="257">
      <c r="F257" s="6" t="n"/>
      <c r="G257" s="6" t="n"/>
    </row>
    <row r="258">
      <c r="F258" s="6" t="n"/>
      <c r="G258" s="6" t="n"/>
    </row>
    <row r="259">
      <c r="F259" s="6" t="n"/>
      <c r="G259" s="6" t="n"/>
    </row>
    <row r="260">
      <c r="F260" s="6" t="n"/>
      <c r="G260" s="6" t="n"/>
    </row>
    <row r="261">
      <c r="F261" s="6" t="n"/>
      <c r="G261" s="6" t="n"/>
    </row>
    <row r="262">
      <c r="F262" s="6" t="n"/>
      <c r="G262" s="6" t="n"/>
    </row>
    <row r="263">
      <c r="F263" s="6" t="n"/>
      <c r="G263" s="6" t="n"/>
    </row>
    <row r="264">
      <c r="F264" s="6" t="n"/>
      <c r="G264" s="6" t="n"/>
    </row>
    <row r="265">
      <c r="F265" s="6" t="n"/>
      <c r="G265" s="6" t="n"/>
    </row>
    <row r="266">
      <c r="F266" s="6" t="n"/>
      <c r="G266" s="6" t="n"/>
    </row>
    <row r="267">
      <c r="F267" s="6" t="n"/>
      <c r="G267" s="6" t="n"/>
    </row>
    <row r="268">
      <c r="F268" s="6" t="n"/>
      <c r="G268" s="6" t="n"/>
    </row>
    <row r="269">
      <c r="F269" s="6" t="n"/>
      <c r="G269" s="6" t="n"/>
    </row>
    <row r="270">
      <c r="F270" s="6" t="n"/>
      <c r="G270" s="6" t="n"/>
    </row>
    <row r="271">
      <c r="F271" s="6" t="n"/>
      <c r="G271" s="6" t="n"/>
    </row>
    <row r="272">
      <c r="F272" s="6" t="n"/>
      <c r="G272" s="6" t="n"/>
    </row>
    <row r="273">
      <c r="F273" s="6" t="n"/>
      <c r="G273" s="6" t="n"/>
    </row>
    <row r="274">
      <c r="F274" s="6" t="n"/>
      <c r="G274" s="6" t="n"/>
    </row>
    <row r="275">
      <c r="F275" s="6" t="n"/>
      <c r="G275" s="6" t="n"/>
    </row>
    <row r="276">
      <c r="F276" s="6" t="n"/>
      <c r="G276" s="6" t="n"/>
    </row>
    <row r="277">
      <c r="F277" s="6" t="n"/>
      <c r="G277" s="6" t="n"/>
    </row>
    <row r="278">
      <c r="F278" s="6" t="n"/>
      <c r="G278" s="6" t="n"/>
    </row>
    <row r="279">
      <c r="F279" s="6" t="n"/>
      <c r="G279" s="6" t="n"/>
    </row>
    <row r="280">
      <c r="F280" s="6" t="n"/>
      <c r="G280" s="6" t="n"/>
    </row>
    <row r="281">
      <c r="F281" s="6" t="n"/>
      <c r="G281" s="6" t="n"/>
    </row>
    <row r="282">
      <c r="F282" s="6" t="n"/>
      <c r="G282" s="6" t="n"/>
    </row>
    <row r="283">
      <c r="F283" s="6" t="n"/>
      <c r="G283" s="6" t="n"/>
    </row>
    <row r="284">
      <c r="F284" s="6" t="n"/>
      <c r="G284" s="6" t="n"/>
    </row>
    <row r="285">
      <c r="F285" s="6" t="n"/>
      <c r="G285" s="6" t="n"/>
    </row>
    <row r="286">
      <c r="F286" s="6" t="n"/>
      <c r="G286" s="6" t="n"/>
    </row>
    <row r="287">
      <c r="F287" s="6" t="n"/>
      <c r="G287" s="6" t="n"/>
    </row>
    <row r="288">
      <c r="F288" s="6" t="n"/>
      <c r="G288" s="6" t="n"/>
    </row>
    <row r="289">
      <c r="F289" s="6" t="n"/>
      <c r="G289" s="6" t="n"/>
    </row>
    <row r="290">
      <c r="F290" s="6" t="n"/>
      <c r="G290" s="6" t="n"/>
    </row>
    <row r="291">
      <c r="F291" s="6" t="n"/>
      <c r="G291" s="6" t="n"/>
    </row>
    <row r="292">
      <c r="F292" s="6" t="n"/>
      <c r="G292" s="6" t="n"/>
    </row>
    <row r="293">
      <c r="F293" s="6" t="n"/>
      <c r="G293" s="6" t="n"/>
    </row>
    <row r="294">
      <c r="F294" s="6" t="n"/>
      <c r="G294" s="6" t="n"/>
    </row>
    <row r="295">
      <c r="F295" s="6" t="n"/>
      <c r="G295" s="6" t="n"/>
    </row>
    <row r="296">
      <c r="F296" s="6" t="n"/>
      <c r="G296" s="6" t="n"/>
    </row>
    <row r="297">
      <c r="F297" s="6" t="n"/>
      <c r="G297" s="6" t="n"/>
    </row>
    <row r="298">
      <c r="F298" s="6" t="n"/>
      <c r="G298" s="6" t="n"/>
    </row>
    <row r="299">
      <c r="F299" s="6" t="n"/>
      <c r="G299" s="6" t="n"/>
    </row>
    <row r="300">
      <c r="F300" s="6" t="n"/>
      <c r="G300" s="6" t="n"/>
    </row>
    <row r="301">
      <c r="F301" s="6" t="n"/>
      <c r="G301" s="6" t="n"/>
    </row>
    <row r="302">
      <c r="F302" s="6" t="n"/>
      <c r="G302" s="6" t="n"/>
    </row>
    <row r="303">
      <c r="F303" s="6" t="n"/>
      <c r="G303" s="6" t="n"/>
    </row>
    <row r="304">
      <c r="F304" s="6" t="n"/>
      <c r="G304" s="6" t="n"/>
    </row>
    <row r="305">
      <c r="F305" s="6" t="n"/>
      <c r="G305" s="6" t="n"/>
    </row>
    <row r="306">
      <c r="F306" s="6" t="n"/>
      <c r="G306" s="6" t="n"/>
    </row>
    <row r="307">
      <c r="F307" s="6" t="n"/>
      <c r="G307" s="6" t="n"/>
    </row>
    <row r="308">
      <c r="F308" s="6" t="n"/>
      <c r="G308" s="6" t="n"/>
    </row>
    <row r="309">
      <c r="F309" s="6" t="n"/>
      <c r="G309" s="6" t="n"/>
    </row>
    <row r="310">
      <c r="F310" s="6" t="n"/>
      <c r="G310" s="6" t="n"/>
    </row>
    <row r="311">
      <c r="F311" s="6" t="n"/>
      <c r="G311" s="6" t="n"/>
    </row>
    <row r="312">
      <c r="F312" s="6" t="n"/>
      <c r="G312" s="6" t="n"/>
    </row>
    <row r="313">
      <c r="F313" s="6" t="n"/>
      <c r="G313" s="6" t="n"/>
    </row>
    <row r="314">
      <c r="F314" s="6" t="n"/>
      <c r="G314" s="6" t="n"/>
    </row>
    <row r="315">
      <c r="F315" s="6" t="n"/>
      <c r="G315" s="6" t="n"/>
    </row>
    <row r="316">
      <c r="F316" s="6" t="n"/>
      <c r="G316" s="6" t="n"/>
    </row>
    <row r="317">
      <c r="F317" s="6" t="n"/>
      <c r="G317" s="6" t="n"/>
    </row>
    <row r="318">
      <c r="F318" s="6" t="n"/>
      <c r="G318" s="6" t="n"/>
    </row>
    <row r="319">
      <c r="F319" s="6" t="n"/>
      <c r="G319" s="6" t="n"/>
    </row>
    <row r="320">
      <c r="F320" s="6" t="n"/>
      <c r="G320" s="6" t="n"/>
    </row>
    <row r="321">
      <c r="F321" s="6" t="n"/>
      <c r="G321" s="6" t="n"/>
    </row>
    <row r="322">
      <c r="F322" s="6" t="n"/>
      <c r="G322" s="6" t="n"/>
    </row>
    <row r="323">
      <c r="F323" s="6" t="n"/>
      <c r="G323" s="6" t="n"/>
    </row>
    <row r="324">
      <c r="F324" s="6" t="n"/>
      <c r="G324" s="6" t="n"/>
    </row>
    <row r="325">
      <c r="F325" s="6" t="n"/>
      <c r="G325" s="6" t="n"/>
    </row>
    <row r="326">
      <c r="F326" s="6" t="n"/>
      <c r="G326" s="6" t="n"/>
    </row>
    <row r="327">
      <c r="F327" s="6" t="n"/>
      <c r="G327" s="6" t="n"/>
    </row>
    <row r="328">
      <c r="F328" s="6" t="n"/>
      <c r="G328" s="6" t="n"/>
    </row>
    <row r="329">
      <c r="F329" s="6" t="n"/>
      <c r="G329" s="6" t="n"/>
    </row>
    <row r="330">
      <c r="F330" s="6" t="n"/>
      <c r="G330" s="6" t="n"/>
    </row>
    <row r="331">
      <c r="F331" s="6" t="n"/>
      <c r="G331" s="6" t="n"/>
    </row>
    <row r="332">
      <c r="F332" s="6" t="n"/>
      <c r="G332" s="6" t="n"/>
    </row>
    <row r="333">
      <c r="F333" s="6" t="n"/>
      <c r="G333" s="6" t="n"/>
    </row>
    <row r="334">
      <c r="F334" s="6" t="n"/>
      <c r="G334" s="6" t="n"/>
    </row>
    <row r="335">
      <c r="F335" s="6" t="n"/>
      <c r="G335" s="6" t="n"/>
    </row>
    <row r="336">
      <c r="F336" s="6" t="n"/>
      <c r="G336" s="6" t="n"/>
    </row>
    <row r="337">
      <c r="F337" s="6" t="n"/>
      <c r="G337" s="6" t="n"/>
    </row>
    <row r="338">
      <c r="F338" s="6" t="n"/>
      <c r="G338" s="6" t="n"/>
    </row>
    <row r="339">
      <c r="F339" s="6" t="n"/>
      <c r="G339" s="6" t="n"/>
    </row>
    <row r="340">
      <c r="F340" s="6" t="n"/>
      <c r="G340" s="6" t="n"/>
    </row>
    <row r="341">
      <c r="F341" s="6" t="n"/>
      <c r="G341" s="6" t="n"/>
    </row>
    <row r="342">
      <c r="F342" s="6" t="n"/>
      <c r="G342" s="6" t="n"/>
    </row>
    <row r="343">
      <c r="F343" s="6" t="n"/>
      <c r="G343" s="6" t="n"/>
    </row>
    <row r="344">
      <c r="F344" s="6" t="n"/>
      <c r="G344" s="6" t="n"/>
    </row>
    <row r="345">
      <c r="F345" s="6" t="n"/>
      <c r="G345" s="6" t="n"/>
    </row>
    <row r="346">
      <c r="F346" s="6" t="n"/>
      <c r="G346" s="6" t="n"/>
    </row>
    <row r="347">
      <c r="F347" s="6" t="n"/>
      <c r="G347" s="6" t="n"/>
    </row>
    <row r="348">
      <c r="F348" s="6" t="n"/>
      <c r="G348" s="6" t="n"/>
    </row>
    <row r="349">
      <c r="F349" s="6" t="n"/>
      <c r="G349" s="6" t="n"/>
    </row>
    <row r="350">
      <c r="F350" s="6" t="n"/>
      <c r="G350" s="6" t="n"/>
    </row>
    <row r="351">
      <c r="F351" s="6" t="n"/>
      <c r="G351" s="6" t="n"/>
    </row>
    <row r="352">
      <c r="F352" s="6" t="n"/>
      <c r="G352" s="6" t="n"/>
    </row>
    <row r="353">
      <c r="F353" s="6" t="n"/>
      <c r="G353" s="6" t="n"/>
    </row>
    <row r="354">
      <c r="F354" s="6" t="n"/>
      <c r="G354" s="6" t="n"/>
    </row>
    <row r="355">
      <c r="F355" s="6" t="n"/>
      <c r="G355" s="6" t="n"/>
    </row>
    <row r="356">
      <c r="F356" s="6" t="n"/>
      <c r="G356" s="6" t="n"/>
    </row>
    <row r="357">
      <c r="F357" s="6" t="n"/>
      <c r="G357" s="6" t="n"/>
    </row>
    <row r="358">
      <c r="F358" s="6" t="n"/>
      <c r="G358" s="6" t="n"/>
    </row>
    <row r="359">
      <c r="F359" s="6" t="n"/>
      <c r="G359" s="6" t="n"/>
    </row>
    <row r="360">
      <c r="F360" s="6" t="n"/>
      <c r="G360" s="6" t="n"/>
    </row>
    <row r="361">
      <c r="F361" s="6" t="n"/>
      <c r="G361" s="6" t="n"/>
    </row>
    <row r="362">
      <c r="F362" s="6" t="n"/>
      <c r="G362" s="6" t="n"/>
    </row>
    <row r="363">
      <c r="F363" s="6" t="n"/>
      <c r="G363" s="6" t="n"/>
    </row>
    <row r="364">
      <c r="F364" s="6" t="n"/>
      <c r="G364" s="6" t="n"/>
    </row>
    <row r="365">
      <c r="F365" s="6" t="n"/>
      <c r="G365" s="6" t="n"/>
    </row>
    <row r="366">
      <c r="F366" s="6" t="n"/>
      <c r="G366" s="6" t="n"/>
    </row>
    <row r="367">
      <c r="F367" s="6" t="n"/>
      <c r="G367" s="6" t="n"/>
    </row>
    <row r="368">
      <c r="F368" s="6" t="n"/>
      <c r="G368" s="6" t="n"/>
    </row>
    <row r="369">
      <c r="F369" s="6" t="n"/>
      <c r="G369" s="6" t="n"/>
    </row>
    <row r="370">
      <c r="F370" s="6" t="n"/>
      <c r="G370" s="6" t="n"/>
    </row>
    <row r="371">
      <c r="F371" s="6" t="n"/>
      <c r="G371" s="6" t="n"/>
    </row>
    <row r="372">
      <c r="F372" s="6" t="n"/>
      <c r="G372" s="6" t="n"/>
    </row>
    <row r="373">
      <c r="F373" s="6" t="n"/>
      <c r="G373" s="6" t="n"/>
    </row>
    <row r="374">
      <c r="F374" s="6" t="n"/>
      <c r="G374" s="6" t="n"/>
    </row>
    <row r="375">
      <c r="F375" s="6" t="n"/>
      <c r="G375" s="6" t="n"/>
    </row>
    <row r="376">
      <c r="F376" s="6" t="n"/>
      <c r="G376" s="6" t="n"/>
    </row>
    <row r="377">
      <c r="F377" s="6" t="n"/>
      <c r="G377" s="6" t="n"/>
    </row>
    <row r="378">
      <c r="F378" s="6" t="n"/>
      <c r="G378" s="6" t="n"/>
    </row>
    <row r="379">
      <c r="F379" s="6" t="n"/>
      <c r="G379" s="6" t="n"/>
    </row>
    <row r="380">
      <c r="F380" s="6" t="n"/>
      <c r="G380" s="6" t="n"/>
    </row>
    <row r="381">
      <c r="F381" s="6" t="n"/>
      <c r="G381" s="6" t="n"/>
    </row>
    <row r="382">
      <c r="F382" s="6" t="n"/>
      <c r="G382" s="6" t="n"/>
    </row>
    <row r="383">
      <c r="F383" s="6" t="n"/>
      <c r="G383" s="6" t="n"/>
    </row>
    <row r="384">
      <c r="F384" s="6" t="n"/>
      <c r="G384" s="6" t="n"/>
    </row>
    <row r="385">
      <c r="F385" s="6" t="n"/>
      <c r="G385" s="6" t="n"/>
    </row>
    <row r="386">
      <c r="F386" s="6" t="n"/>
      <c r="G386" s="6" t="n"/>
    </row>
    <row r="387">
      <c r="F387" s="6" t="n"/>
      <c r="G387" s="6" t="n"/>
    </row>
    <row r="388">
      <c r="F388" s="6" t="n"/>
      <c r="G388" s="6" t="n"/>
    </row>
    <row r="389">
      <c r="F389" s="6" t="n"/>
      <c r="G389" s="6" t="n"/>
    </row>
    <row r="390">
      <c r="F390" s="6" t="n"/>
      <c r="G390" s="6" t="n"/>
    </row>
    <row r="391">
      <c r="F391" s="6" t="n"/>
      <c r="G391" s="6" t="n"/>
    </row>
    <row r="392">
      <c r="F392" s="6" t="n"/>
      <c r="G392" s="6" t="n"/>
    </row>
    <row r="393">
      <c r="F393" s="6" t="n"/>
      <c r="G393" s="6" t="n"/>
    </row>
    <row r="394">
      <c r="F394" s="6" t="n"/>
      <c r="G394" s="6" t="n"/>
    </row>
    <row r="395">
      <c r="F395" s="6" t="n"/>
      <c r="G395" s="6" t="n"/>
    </row>
    <row r="396">
      <c r="F396" s="6" t="n"/>
      <c r="G396" s="6" t="n"/>
    </row>
    <row r="397">
      <c r="F397" s="6" t="n"/>
      <c r="G397" s="6" t="n"/>
    </row>
    <row r="398">
      <c r="F398" s="6" t="n"/>
      <c r="G398" s="6" t="n"/>
    </row>
    <row r="399">
      <c r="F399" s="6" t="n"/>
      <c r="G399" s="6" t="n"/>
    </row>
    <row r="400">
      <c r="F400" s="6" t="n"/>
      <c r="G400" s="6" t="n"/>
    </row>
    <row r="401">
      <c r="F401" s="6" t="n"/>
      <c r="G401" s="6" t="n"/>
    </row>
    <row r="402">
      <c r="F402" s="6" t="n"/>
      <c r="G402" s="6" t="n"/>
    </row>
    <row r="403">
      <c r="F403" s="6" t="n"/>
      <c r="G403" s="6" t="n"/>
    </row>
    <row r="404">
      <c r="F404" s="6" t="n"/>
      <c r="G404" s="6" t="n"/>
    </row>
    <row r="405">
      <c r="F405" s="6" t="n"/>
      <c r="G405" s="6" t="n"/>
    </row>
    <row r="406">
      <c r="F406" s="6" t="n"/>
      <c r="G406" s="6" t="n"/>
    </row>
    <row r="407">
      <c r="F407" s="6" t="n"/>
      <c r="G407" s="6" t="n"/>
    </row>
    <row r="408">
      <c r="F408" s="6" t="n"/>
      <c r="G408" s="6" t="n"/>
    </row>
    <row r="409">
      <c r="F409" s="6" t="n"/>
      <c r="G409" s="6" t="n"/>
    </row>
    <row r="410">
      <c r="F410" s="6" t="n"/>
      <c r="G410" s="6" t="n"/>
    </row>
    <row r="411">
      <c r="F411" s="6" t="n"/>
      <c r="G411" s="6" t="n"/>
    </row>
    <row r="412">
      <c r="F412" s="6" t="n"/>
      <c r="G412" s="6" t="n"/>
    </row>
    <row r="413">
      <c r="F413" s="6" t="n"/>
      <c r="G413" s="6" t="n"/>
    </row>
    <row r="414">
      <c r="F414" s="6" t="n"/>
      <c r="G414" s="6" t="n"/>
    </row>
    <row r="415">
      <c r="F415" s="6" t="n"/>
      <c r="G415" s="6" t="n"/>
    </row>
    <row r="416">
      <c r="F416" s="6" t="n"/>
      <c r="G416" s="6" t="n"/>
    </row>
    <row r="417">
      <c r="F417" s="6" t="n"/>
      <c r="G417" s="6" t="n"/>
    </row>
    <row r="418">
      <c r="F418" s="6" t="n"/>
      <c r="G418" s="6" t="n"/>
    </row>
    <row r="419">
      <c r="F419" s="6" t="n"/>
      <c r="G419" s="6" t="n"/>
    </row>
    <row r="420">
      <c r="F420" s="6" t="n"/>
      <c r="G420" s="6" t="n"/>
    </row>
    <row r="421">
      <c r="F421" s="6" t="n"/>
      <c r="G421" s="6" t="n"/>
    </row>
    <row r="422">
      <c r="F422" s="6" t="n"/>
      <c r="G422" s="6" t="n"/>
    </row>
    <row r="423">
      <c r="F423" s="6" t="n"/>
      <c r="G423" s="6" t="n"/>
    </row>
    <row r="424">
      <c r="F424" s="6" t="n"/>
      <c r="G424" s="6" t="n"/>
    </row>
    <row r="425">
      <c r="F425" s="6" t="n"/>
      <c r="G425" s="6" t="n"/>
    </row>
    <row r="426">
      <c r="F426" s="6" t="n"/>
      <c r="G426" s="6" t="n"/>
    </row>
    <row r="427">
      <c r="F427" s="6" t="n"/>
      <c r="G427" s="6" t="n"/>
    </row>
    <row r="428">
      <c r="F428" s="6" t="n"/>
      <c r="G428" s="6" t="n"/>
    </row>
    <row r="429">
      <c r="F429" s="6" t="n"/>
      <c r="G429" s="6" t="n"/>
    </row>
    <row r="430">
      <c r="F430" s="6" t="n"/>
      <c r="G430" s="6" t="n"/>
    </row>
    <row r="431">
      <c r="F431" s="6" t="n"/>
      <c r="G431" s="6" t="n"/>
    </row>
    <row r="432">
      <c r="F432" s="6" t="n"/>
      <c r="G432" s="6" t="n"/>
    </row>
    <row r="433">
      <c r="F433" s="6" t="n"/>
      <c r="G433" s="6" t="n"/>
    </row>
    <row r="434">
      <c r="F434" s="6" t="n"/>
      <c r="G434" s="6" t="n"/>
    </row>
    <row r="435">
      <c r="F435" s="6" t="n"/>
      <c r="G435" s="6" t="n"/>
    </row>
    <row r="436">
      <c r="F436" s="6" t="n"/>
      <c r="G436" s="6" t="n"/>
    </row>
    <row r="437">
      <c r="F437" s="6" t="n"/>
      <c r="G437" s="6" t="n"/>
    </row>
    <row r="438">
      <c r="F438" s="6" t="n"/>
      <c r="G438" s="6" t="n"/>
    </row>
    <row r="439">
      <c r="F439" s="6" t="n"/>
      <c r="G439" s="6" t="n"/>
    </row>
    <row r="440">
      <c r="F440" s="6" t="n"/>
      <c r="G440" s="6" t="n"/>
    </row>
    <row r="441">
      <c r="F441" s="6" t="n"/>
      <c r="G441" s="6" t="n"/>
    </row>
    <row r="442">
      <c r="F442" s="6" t="n"/>
      <c r="G442" s="6" t="n"/>
    </row>
    <row r="443">
      <c r="F443" s="6" t="n"/>
      <c r="G443" s="6" t="n"/>
    </row>
    <row r="444">
      <c r="F444" s="6" t="n"/>
      <c r="G444" s="6" t="n"/>
    </row>
    <row r="445">
      <c r="F445" s="6" t="n"/>
      <c r="G445" s="6" t="n"/>
    </row>
    <row r="446">
      <c r="F446" s="6" t="n"/>
      <c r="G446" s="6" t="n"/>
    </row>
    <row r="447">
      <c r="F447" s="6" t="n"/>
      <c r="G447" s="6" t="n"/>
    </row>
    <row r="448">
      <c r="F448" s="6" t="n"/>
      <c r="G448" s="6" t="n"/>
    </row>
    <row r="449">
      <c r="F449" s="6" t="n"/>
      <c r="G449" s="6" t="n"/>
    </row>
    <row r="450">
      <c r="F450" s="6" t="n"/>
      <c r="G450" s="6" t="n"/>
    </row>
    <row r="451">
      <c r="F451" s="6" t="n"/>
      <c r="G451" s="6" t="n"/>
    </row>
    <row r="452">
      <c r="F452" s="6" t="n"/>
      <c r="G452" s="6" t="n"/>
    </row>
    <row r="453">
      <c r="F453" s="6" t="n"/>
      <c r="G453" s="6" t="n"/>
    </row>
    <row r="454">
      <c r="F454" s="6" t="n"/>
      <c r="G454" s="6" t="n"/>
    </row>
    <row r="455">
      <c r="F455" s="6" t="n"/>
      <c r="G455" s="6" t="n"/>
    </row>
    <row r="456">
      <c r="F456" s="6" t="n"/>
      <c r="G456" s="6" t="n"/>
    </row>
    <row r="457">
      <c r="F457" s="6" t="n"/>
      <c r="G457" s="6" t="n"/>
    </row>
    <row r="458">
      <c r="F458" s="6" t="n"/>
      <c r="G458" s="6" t="n"/>
    </row>
    <row r="459">
      <c r="F459" s="6" t="n"/>
      <c r="G459" s="6" t="n"/>
    </row>
    <row r="460">
      <c r="F460" s="6" t="n"/>
      <c r="G460" s="6" t="n"/>
    </row>
    <row r="461">
      <c r="F461" s="6" t="n"/>
      <c r="G461" s="6" t="n"/>
    </row>
    <row r="462">
      <c r="F462" s="6" t="n"/>
      <c r="G462" s="6" t="n"/>
    </row>
    <row r="463">
      <c r="F463" s="6" t="n"/>
      <c r="G463" s="6" t="n"/>
    </row>
    <row r="464">
      <c r="F464" s="6" t="n"/>
      <c r="G464" s="6" t="n"/>
    </row>
    <row r="465">
      <c r="F465" s="6" t="n"/>
      <c r="G465" s="6" t="n"/>
    </row>
    <row r="466">
      <c r="F466" s="6" t="n"/>
      <c r="G466" s="6" t="n"/>
    </row>
    <row r="467">
      <c r="F467" s="6" t="n"/>
      <c r="G467" s="6" t="n"/>
    </row>
    <row r="468">
      <c r="F468" s="6" t="n"/>
      <c r="G468" s="6" t="n"/>
    </row>
    <row r="469">
      <c r="F469" s="6" t="n"/>
      <c r="G469" s="6" t="n"/>
    </row>
    <row r="470">
      <c r="F470" s="6" t="n"/>
      <c r="G470" s="6" t="n"/>
    </row>
    <row r="471">
      <c r="F471" s="6" t="n"/>
      <c r="G471" s="6" t="n"/>
    </row>
    <row r="472">
      <c r="F472" s="6" t="n"/>
      <c r="G472" s="6" t="n"/>
    </row>
    <row r="473">
      <c r="F473" s="6" t="n"/>
      <c r="G473" s="6" t="n"/>
    </row>
    <row r="474">
      <c r="F474" s="6" t="n"/>
      <c r="G474" s="6" t="n"/>
    </row>
    <row r="475">
      <c r="F475" s="6" t="n"/>
      <c r="G475" s="6" t="n"/>
    </row>
    <row r="476">
      <c r="F476" s="6" t="n"/>
      <c r="G476" s="6" t="n"/>
    </row>
    <row r="477">
      <c r="F477" s="6" t="n"/>
      <c r="G477" s="6" t="n"/>
    </row>
    <row r="478">
      <c r="F478" s="6" t="n"/>
      <c r="G478" s="6" t="n"/>
    </row>
    <row r="479">
      <c r="F479" s="6" t="n"/>
      <c r="G479" s="6" t="n"/>
    </row>
    <row r="480">
      <c r="F480" s="6" t="n"/>
      <c r="G480" s="6" t="n"/>
    </row>
    <row r="481">
      <c r="F481" s="6" t="n"/>
      <c r="G481" s="6" t="n"/>
    </row>
    <row r="482">
      <c r="F482" s="6" t="n"/>
      <c r="G482" s="6" t="n"/>
    </row>
    <row r="483">
      <c r="F483" s="6" t="n"/>
      <c r="G483" s="6" t="n"/>
    </row>
    <row r="484">
      <c r="F484" s="6" t="n"/>
      <c r="G484" s="6" t="n"/>
    </row>
    <row r="485">
      <c r="F485" s="6" t="n"/>
      <c r="G485" s="6" t="n"/>
    </row>
    <row r="486">
      <c r="F486" s="6" t="n"/>
      <c r="G486" s="6" t="n"/>
    </row>
    <row r="487">
      <c r="F487" s="6" t="n"/>
      <c r="G487" s="6" t="n"/>
    </row>
    <row r="488">
      <c r="F488" s="6" t="n"/>
      <c r="G488" s="6" t="n"/>
    </row>
    <row r="489">
      <c r="F489" s="6" t="n"/>
      <c r="G489" s="6" t="n"/>
    </row>
    <row r="490">
      <c r="F490" s="6" t="n"/>
      <c r="G490" s="6" t="n"/>
    </row>
    <row r="491">
      <c r="F491" s="6" t="n"/>
      <c r="G491" s="6" t="n"/>
    </row>
    <row r="492">
      <c r="F492" s="6" t="n"/>
      <c r="G492" s="6" t="n"/>
    </row>
    <row r="493">
      <c r="F493" s="6" t="n"/>
      <c r="G493" s="6" t="n"/>
    </row>
    <row r="494">
      <c r="F494" s="6" t="n"/>
      <c r="G494" s="6" t="n"/>
    </row>
    <row r="495">
      <c r="F495" s="6" t="n"/>
      <c r="G495" s="6" t="n"/>
    </row>
    <row r="496">
      <c r="F496" s="6" t="n"/>
      <c r="G496" s="6" t="n"/>
    </row>
    <row r="497">
      <c r="F497" s="6" t="n"/>
      <c r="G497" s="6" t="n"/>
    </row>
    <row r="498">
      <c r="F498" s="6" t="n"/>
      <c r="G498" s="6" t="n"/>
    </row>
    <row r="499">
      <c r="F499" s="6" t="n"/>
      <c r="G499" s="6" t="n"/>
    </row>
    <row r="500">
      <c r="F500" s="6" t="n"/>
      <c r="G500" s="6" t="n"/>
    </row>
  </sheetData>
  <dataValidations count="1">
    <dataValidation sqref="H2:H500" showDropDown="0" showInputMessage="0" showErrorMessage="0" allowBlank="0" type="list">
      <formula1>"Planejado,Em execução,Concluído,Suspenso"</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J500"/>
  <sheetViews>
    <sheetView workbookViewId="0">
      <selection activeCell="A1" sqref="A1"/>
    </sheetView>
  </sheetViews>
  <sheetFormatPr baseColWidth="8" defaultRowHeight="14.25"/>
  <cols>
    <col width="18" customWidth="1" style="1" min="1" max="10"/>
  </cols>
  <sheetData>
    <row r="1" ht="24" customHeight="1" s="1">
      <c r="A1" s="4" t="inlineStr">
        <is>
          <t>ID</t>
        </is>
      </c>
      <c r="B1" s="4" t="inlineStr">
        <is>
          <t>Obra</t>
        </is>
      </c>
      <c r="C1" s="4" t="inlineStr">
        <is>
          <t>Cidade/UF</t>
        </is>
      </c>
      <c r="D1" s="4" t="inlineStr">
        <is>
          <t>Tipo</t>
        </is>
      </c>
      <c r="E1" s="4" t="inlineStr">
        <is>
          <t>Responsável</t>
        </is>
      </c>
      <c r="F1" s="4" t="inlineStr">
        <is>
          <t>Prazo</t>
        </is>
      </c>
      <c r="G1" s="4" t="inlineStr">
        <is>
          <t>% Conclusão</t>
        </is>
      </c>
      <c r="H1" s="4" t="inlineStr">
        <is>
          <t>Status</t>
        </is>
      </c>
      <c r="I1" s="4" t="inlineStr">
        <is>
          <t>Risco</t>
        </is>
      </c>
      <c r="J1" s="4" t="inlineStr">
        <is>
          <t>Observações</t>
        </is>
      </c>
    </row>
    <row r="2">
      <c r="A2" s="23" t="inlineStr">
        <is>
          <t>OBR-001</t>
        </is>
      </c>
      <c r="B2" s="23" t="inlineStr">
        <is>
          <t>Adequação de arena</t>
        </is>
      </c>
      <c r="C2" s="23" t="inlineStr">
        <is>
          <t>Rio de Janeiro/RJ</t>
        </is>
      </c>
      <c r="D2" s="23" t="inlineStr">
        <is>
          <t>Estádio</t>
        </is>
      </c>
      <c r="E2" s="23" t="inlineStr">
        <is>
          <t>Governo local</t>
        </is>
      </c>
      <c r="F2" s="6" t="n">
        <v>46446</v>
      </c>
      <c r="G2" s="16" t="n">
        <v>65</v>
      </c>
      <c r="H2" s="23" t="inlineStr">
        <is>
          <t>Em andamento</t>
        </is>
      </c>
      <c r="I2" s="23" t="inlineStr">
        <is>
          <t>Médio</t>
        </is>
      </c>
      <c r="J2" s="23" t="inlineStr">
        <is>
          <t>Exemplo</t>
        </is>
      </c>
    </row>
    <row r="3">
      <c r="A3" s="23" t="inlineStr">
        <is>
          <t>OBR-002</t>
        </is>
      </c>
      <c r="B3" s="23" t="inlineStr">
        <is>
          <t>Melhoria de acesso viário</t>
        </is>
      </c>
      <c r="C3" s="23" t="inlineStr">
        <is>
          <t>São Paulo/SP</t>
        </is>
      </c>
      <c r="D3" s="23" t="inlineStr">
        <is>
          <t>Mobilidade</t>
        </is>
      </c>
      <c r="E3" s="23" t="inlineStr">
        <is>
          <t>Prefeitura</t>
        </is>
      </c>
      <c r="F3" s="6" t="n">
        <v>46507</v>
      </c>
      <c r="G3" s="16" t="n">
        <v>40</v>
      </c>
      <c r="H3" s="23" t="inlineStr">
        <is>
          <t>Em andamento</t>
        </is>
      </c>
      <c r="I3" s="23" t="inlineStr">
        <is>
          <t>Alto</t>
        </is>
      </c>
      <c r="J3" s="23" t="inlineStr">
        <is>
          <t>Exemplo</t>
        </is>
      </c>
    </row>
    <row r="4">
      <c r="A4" s="23" t="inlineStr">
        <is>
          <t>OBR-003</t>
        </is>
      </c>
      <c r="B4" s="23" t="inlineStr">
        <is>
          <t>Centro de treinamento</t>
        </is>
      </c>
      <c r="C4" s="23" t="inlineStr">
        <is>
          <t>Recife/PE</t>
        </is>
      </c>
      <c r="D4" s="23" t="inlineStr">
        <is>
          <t>Esportivo</t>
        </is>
      </c>
      <c r="E4" s="23" t="inlineStr">
        <is>
          <t>Comitê local</t>
        </is>
      </c>
      <c r="F4" s="6" t="n">
        <v>46538</v>
      </c>
      <c r="G4" s="16" t="n">
        <v>20</v>
      </c>
      <c r="H4" s="23" t="inlineStr">
        <is>
          <t>Planejado</t>
        </is>
      </c>
      <c r="I4" s="23" t="inlineStr">
        <is>
          <t>Médio</t>
        </is>
      </c>
      <c r="J4" s="23" t="inlineStr">
        <is>
          <t>Exemplo</t>
        </is>
      </c>
    </row>
    <row r="5">
      <c r="A5" s="23" t="n"/>
      <c r="B5" s="23" t="n"/>
      <c r="C5" s="23" t="n"/>
      <c r="D5" s="23" t="n"/>
      <c r="E5" s="23" t="n"/>
      <c r="F5" s="6" t="n"/>
      <c r="G5" s="16" t="n"/>
      <c r="H5" s="23" t="n"/>
      <c r="I5" s="23" t="n"/>
      <c r="J5" s="23" t="n"/>
    </row>
    <row r="6">
      <c r="A6" s="23" t="n"/>
      <c r="B6" s="23" t="n"/>
      <c r="C6" s="23" t="n"/>
      <c r="D6" s="23" t="n"/>
      <c r="E6" s="23" t="n"/>
      <c r="F6" s="6" t="n"/>
      <c r="G6" s="16" t="n"/>
      <c r="H6" s="23" t="n"/>
      <c r="I6" s="23" t="n"/>
      <c r="J6" s="23" t="n"/>
    </row>
    <row r="7">
      <c r="A7" s="23" t="n"/>
      <c r="B7" s="23" t="n"/>
      <c r="C7" s="23" t="n"/>
      <c r="D7" s="23" t="n"/>
      <c r="E7" s="23" t="n"/>
      <c r="F7" s="6" t="n"/>
      <c r="G7" s="16" t="n"/>
      <c r="H7" s="23" t="n"/>
      <c r="I7" s="23" t="n"/>
      <c r="J7" s="23" t="n"/>
    </row>
    <row r="8">
      <c r="A8" s="23" t="n"/>
      <c r="B8" s="23" t="n"/>
      <c r="C8" s="23" t="n"/>
      <c r="D8" s="23" t="n"/>
      <c r="E8" s="23" t="n"/>
      <c r="F8" s="6" t="n"/>
      <c r="G8" s="16" t="n"/>
      <c r="H8" s="23" t="n"/>
      <c r="I8" s="23" t="n"/>
      <c r="J8" s="23" t="n"/>
    </row>
    <row r="9">
      <c r="A9" s="23" t="n"/>
      <c r="B9" s="23" t="n"/>
      <c r="C9" s="23" t="n"/>
      <c r="D9" s="23" t="n"/>
      <c r="E9" s="23" t="n"/>
      <c r="F9" s="6" t="n"/>
      <c r="G9" s="16" t="n"/>
      <c r="H9" s="23" t="n"/>
      <c r="I9" s="23" t="n"/>
      <c r="J9" s="23" t="n"/>
    </row>
    <row r="10">
      <c r="A10" s="23" t="n"/>
      <c r="B10" s="23" t="n"/>
      <c r="C10" s="23" t="n"/>
      <c r="D10" s="23" t="n"/>
      <c r="E10" s="23" t="n"/>
      <c r="F10" s="6" t="n"/>
      <c r="G10" s="16" t="n"/>
      <c r="H10" s="23" t="n"/>
      <c r="I10" s="23" t="n"/>
      <c r="J10" s="23" t="n"/>
    </row>
    <row r="11">
      <c r="A11" s="23" t="n"/>
      <c r="B11" s="23" t="n"/>
      <c r="C11" s="23" t="n"/>
      <c r="D11" s="23" t="n"/>
      <c r="E11" s="23" t="n"/>
      <c r="F11" s="6" t="n"/>
      <c r="G11" s="16" t="n"/>
      <c r="H11" s="23" t="n"/>
      <c r="I11" s="23" t="n"/>
      <c r="J11" s="23" t="n"/>
    </row>
    <row r="12">
      <c r="A12" s="23" t="n"/>
      <c r="B12" s="23" t="n"/>
      <c r="C12" s="23" t="n"/>
      <c r="D12" s="23" t="n"/>
      <c r="E12" s="23" t="n"/>
      <c r="F12" s="6" t="n"/>
      <c r="G12" s="16" t="n"/>
      <c r="H12" s="23" t="n"/>
      <c r="I12" s="23" t="n"/>
      <c r="J12" s="23" t="n"/>
    </row>
    <row r="13">
      <c r="A13" s="23" t="n"/>
      <c r="B13" s="23" t="n"/>
      <c r="C13" s="23" t="n"/>
      <c r="D13" s="23" t="n"/>
      <c r="E13" s="23" t="n"/>
      <c r="F13" s="6" t="n"/>
      <c r="G13" s="16" t="n"/>
      <c r="H13" s="23" t="n"/>
      <c r="I13" s="23" t="n"/>
      <c r="J13" s="23" t="n"/>
    </row>
    <row r="14">
      <c r="A14" s="23" t="n"/>
      <c r="B14" s="23" t="n"/>
      <c r="C14" s="23" t="n"/>
      <c r="D14" s="23" t="n"/>
      <c r="E14" s="23" t="n"/>
      <c r="F14" s="6" t="n"/>
      <c r="G14" s="16" t="n"/>
      <c r="H14" s="23" t="n"/>
      <c r="I14" s="23" t="n"/>
      <c r="J14" s="23" t="n"/>
    </row>
    <row r="15">
      <c r="A15" s="23" t="n"/>
      <c r="B15" s="23" t="n"/>
      <c r="C15" s="23" t="n"/>
      <c r="D15" s="23" t="n"/>
      <c r="E15" s="23" t="n"/>
      <c r="F15" s="6" t="n"/>
      <c r="G15" s="16" t="n"/>
      <c r="H15" s="23" t="n"/>
      <c r="I15" s="23" t="n"/>
      <c r="J15" s="23" t="n"/>
    </row>
    <row r="16">
      <c r="A16" s="23" t="n"/>
      <c r="B16" s="23" t="n"/>
      <c r="C16" s="23" t="n"/>
      <c r="D16" s="23" t="n"/>
      <c r="E16" s="23" t="n"/>
      <c r="F16" s="6" t="n"/>
      <c r="G16" s="16" t="n"/>
      <c r="H16" s="23" t="n"/>
      <c r="I16" s="23" t="n"/>
      <c r="J16" s="23" t="n"/>
    </row>
    <row r="17">
      <c r="F17" s="6" t="n"/>
      <c r="G17" s="16" t="n"/>
    </row>
    <row r="18">
      <c r="F18" s="6" t="n"/>
      <c r="G18" s="16" t="n"/>
    </row>
    <row r="19">
      <c r="F19" s="6" t="n"/>
      <c r="G19" s="16" t="n"/>
    </row>
    <row r="20">
      <c r="F20" s="6" t="n"/>
      <c r="G20" s="16" t="n"/>
    </row>
    <row r="21">
      <c r="F21" s="6" t="n"/>
      <c r="G21" s="16" t="n"/>
    </row>
    <row r="22">
      <c r="F22" s="6" t="n"/>
      <c r="G22" s="16" t="n"/>
    </row>
    <row r="23">
      <c r="F23" s="6" t="n"/>
      <c r="G23" s="16" t="n"/>
    </row>
    <row r="24">
      <c r="F24" s="6" t="n"/>
      <c r="G24" s="16" t="n"/>
    </row>
    <row r="25">
      <c r="F25" s="6" t="n"/>
      <c r="G25" s="16" t="n"/>
    </row>
    <row r="26">
      <c r="F26" s="6" t="n"/>
      <c r="G26" s="16" t="n"/>
    </row>
    <row r="27">
      <c r="F27" s="6" t="n"/>
      <c r="G27" s="16" t="n"/>
    </row>
    <row r="28">
      <c r="F28" s="6" t="n"/>
      <c r="G28" s="16" t="n"/>
    </row>
    <row r="29">
      <c r="F29" s="6" t="n"/>
      <c r="G29" s="16" t="n"/>
    </row>
    <row r="30">
      <c r="F30" s="6" t="n"/>
      <c r="G30" s="16" t="n"/>
    </row>
    <row r="31">
      <c r="F31" s="6" t="n"/>
      <c r="G31" s="16" t="n"/>
    </row>
    <row r="32">
      <c r="F32" s="6" t="n"/>
      <c r="G32" s="16" t="n"/>
    </row>
    <row r="33">
      <c r="F33" s="6" t="n"/>
      <c r="G33" s="16" t="n"/>
    </row>
    <row r="34">
      <c r="F34" s="6" t="n"/>
      <c r="G34" s="16" t="n"/>
    </row>
    <row r="35">
      <c r="F35" s="6" t="n"/>
      <c r="G35" s="16" t="n"/>
    </row>
    <row r="36">
      <c r="F36" s="6" t="n"/>
      <c r="G36" s="16" t="n"/>
    </row>
    <row r="37">
      <c r="F37" s="6" t="n"/>
      <c r="G37" s="16" t="n"/>
    </row>
    <row r="38">
      <c r="F38" s="6" t="n"/>
      <c r="G38" s="16" t="n"/>
    </row>
    <row r="39">
      <c r="F39" s="6" t="n"/>
      <c r="G39" s="16" t="n"/>
    </row>
    <row r="40">
      <c r="F40" s="6" t="n"/>
      <c r="G40" s="16" t="n"/>
    </row>
    <row r="41">
      <c r="F41" s="6" t="n"/>
      <c r="G41" s="16" t="n"/>
    </row>
    <row r="42">
      <c r="F42" s="6" t="n"/>
      <c r="G42" s="16" t="n"/>
    </row>
    <row r="43">
      <c r="F43" s="6" t="n"/>
      <c r="G43" s="16" t="n"/>
    </row>
    <row r="44">
      <c r="F44" s="6" t="n"/>
      <c r="G44" s="16" t="n"/>
    </row>
    <row r="45">
      <c r="F45" s="6" t="n"/>
      <c r="G45" s="16" t="n"/>
    </row>
    <row r="46">
      <c r="F46" s="6" t="n"/>
      <c r="G46" s="16" t="n"/>
    </row>
    <row r="47">
      <c r="F47" s="6" t="n"/>
      <c r="G47" s="16" t="n"/>
    </row>
    <row r="48">
      <c r="F48" s="6" t="n"/>
      <c r="G48" s="16" t="n"/>
    </row>
    <row r="49">
      <c r="F49" s="6" t="n"/>
      <c r="G49" s="16" t="n"/>
    </row>
    <row r="50">
      <c r="F50" s="6" t="n"/>
      <c r="G50" s="16" t="n"/>
    </row>
    <row r="51">
      <c r="F51" s="6" t="n"/>
      <c r="G51" s="16" t="n"/>
    </row>
    <row r="52">
      <c r="F52" s="6" t="n"/>
      <c r="G52" s="16" t="n"/>
    </row>
    <row r="53">
      <c r="F53" s="6" t="n"/>
      <c r="G53" s="16" t="n"/>
    </row>
    <row r="54">
      <c r="F54" s="6" t="n"/>
      <c r="G54" s="16" t="n"/>
    </row>
    <row r="55">
      <c r="F55" s="6" t="n"/>
      <c r="G55" s="16" t="n"/>
    </row>
    <row r="56">
      <c r="F56" s="6" t="n"/>
      <c r="G56" s="16" t="n"/>
    </row>
    <row r="57">
      <c r="F57" s="6" t="n"/>
      <c r="G57" s="16" t="n"/>
    </row>
    <row r="58">
      <c r="F58" s="6" t="n"/>
      <c r="G58" s="16" t="n"/>
    </row>
    <row r="59">
      <c r="F59" s="6" t="n"/>
      <c r="G59" s="16" t="n"/>
    </row>
    <row r="60">
      <c r="F60" s="6" t="n"/>
      <c r="G60" s="16" t="n"/>
    </row>
    <row r="61">
      <c r="F61" s="6" t="n"/>
      <c r="G61" s="16" t="n"/>
    </row>
    <row r="62">
      <c r="F62" s="6" t="n"/>
      <c r="G62" s="16" t="n"/>
    </row>
    <row r="63">
      <c r="F63" s="6" t="n"/>
      <c r="G63" s="16" t="n"/>
    </row>
    <row r="64">
      <c r="F64" s="6" t="n"/>
      <c r="G64" s="16" t="n"/>
    </row>
    <row r="65">
      <c r="F65" s="6" t="n"/>
      <c r="G65" s="16" t="n"/>
    </row>
    <row r="66">
      <c r="F66" s="6" t="n"/>
      <c r="G66" s="16" t="n"/>
    </row>
    <row r="67">
      <c r="F67" s="6" t="n"/>
      <c r="G67" s="16" t="n"/>
    </row>
    <row r="68">
      <c r="F68" s="6" t="n"/>
      <c r="G68" s="16" t="n"/>
    </row>
    <row r="69">
      <c r="F69" s="6" t="n"/>
      <c r="G69" s="16" t="n"/>
    </row>
    <row r="70">
      <c r="F70" s="6" t="n"/>
      <c r="G70" s="16" t="n"/>
    </row>
    <row r="71">
      <c r="F71" s="6" t="n"/>
      <c r="G71" s="16" t="n"/>
    </row>
    <row r="72">
      <c r="F72" s="6" t="n"/>
      <c r="G72" s="16" t="n"/>
    </row>
    <row r="73">
      <c r="F73" s="6" t="n"/>
      <c r="G73" s="16" t="n"/>
    </row>
    <row r="74">
      <c r="F74" s="6" t="n"/>
      <c r="G74" s="16" t="n"/>
    </row>
    <row r="75">
      <c r="F75" s="6" t="n"/>
      <c r="G75" s="16" t="n"/>
    </row>
    <row r="76">
      <c r="F76" s="6" t="n"/>
      <c r="G76" s="16" t="n"/>
    </row>
    <row r="77">
      <c r="F77" s="6" t="n"/>
      <c r="G77" s="16" t="n"/>
    </row>
    <row r="78">
      <c r="F78" s="6" t="n"/>
      <c r="G78" s="16" t="n"/>
    </row>
    <row r="79">
      <c r="F79" s="6" t="n"/>
      <c r="G79" s="16" t="n"/>
    </row>
    <row r="80">
      <c r="F80" s="6" t="n"/>
      <c r="G80" s="16" t="n"/>
    </row>
    <row r="81">
      <c r="F81" s="6" t="n"/>
      <c r="G81" s="16" t="n"/>
    </row>
    <row r="82">
      <c r="F82" s="6" t="n"/>
      <c r="G82" s="16" t="n"/>
    </row>
    <row r="83">
      <c r="F83" s="6" t="n"/>
      <c r="G83" s="16" t="n"/>
    </row>
    <row r="84">
      <c r="F84" s="6" t="n"/>
      <c r="G84" s="16" t="n"/>
    </row>
    <row r="85">
      <c r="F85" s="6" t="n"/>
      <c r="G85" s="16" t="n"/>
    </row>
    <row r="86">
      <c r="F86" s="6" t="n"/>
      <c r="G86" s="16" t="n"/>
    </row>
    <row r="87">
      <c r="F87" s="6" t="n"/>
      <c r="G87" s="16" t="n"/>
    </row>
    <row r="88">
      <c r="F88" s="6" t="n"/>
      <c r="G88" s="16" t="n"/>
    </row>
    <row r="89">
      <c r="F89" s="6" t="n"/>
      <c r="G89" s="16" t="n"/>
    </row>
    <row r="90">
      <c r="F90" s="6" t="n"/>
      <c r="G90" s="16" t="n"/>
    </row>
    <row r="91">
      <c r="F91" s="6" t="n"/>
      <c r="G91" s="16" t="n"/>
    </row>
    <row r="92">
      <c r="F92" s="6" t="n"/>
      <c r="G92" s="16" t="n"/>
    </row>
    <row r="93">
      <c r="F93" s="6" t="n"/>
      <c r="G93" s="16" t="n"/>
    </row>
    <row r="94">
      <c r="F94" s="6" t="n"/>
      <c r="G94" s="16" t="n"/>
    </row>
    <row r="95">
      <c r="F95" s="6" t="n"/>
      <c r="G95" s="16" t="n"/>
    </row>
    <row r="96">
      <c r="F96" s="6" t="n"/>
      <c r="G96" s="16" t="n"/>
    </row>
    <row r="97">
      <c r="F97" s="6" t="n"/>
      <c r="G97" s="16" t="n"/>
    </row>
    <row r="98">
      <c r="F98" s="6" t="n"/>
      <c r="G98" s="16" t="n"/>
    </row>
    <row r="99">
      <c r="F99" s="6" t="n"/>
      <c r="G99" s="16" t="n"/>
    </row>
    <row r="100">
      <c r="F100" s="6" t="n"/>
      <c r="G100" s="16" t="n"/>
    </row>
    <row r="101">
      <c r="F101" s="6" t="n"/>
      <c r="G101" s="16" t="n"/>
    </row>
    <row r="102">
      <c r="F102" s="6" t="n"/>
      <c r="G102" s="16" t="n"/>
    </row>
    <row r="103">
      <c r="F103" s="6" t="n"/>
      <c r="G103" s="16" t="n"/>
    </row>
    <row r="104">
      <c r="F104" s="6" t="n"/>
      <c r="G104" s="16" t="n"/>
    </row>
    <row r="105">
      <c r="F105" s="6" t="n"/>
      <c r="G105" s="16" t="n"/>
    </row>
    <row r="106">
      <c r="F106" s="6" t="n"/>
      <c r="G106" s="16" t="n"/>
    </row>
    <row r="107">
      <c r="F107" s="6" t="n"/>
      <c r="G107" s="16" t="n"/>
    </row>
    <row r="108">
      <c r="F108" s="6" t="n"/>
      <c r="G108" s="16" t="n"/>
    </row>
    <row r="109">
      <c r="F109" s="6" t="n"/>
      <c r="G109" s="16" t="n"/>
    </row>
    <row r="110">
      <c r="F110" s="6" t="n"/>
      <c r="G110" s="16" t="n"/>
    </row>
    <row r="111">
      <c r="F111" s="6" t="n"/>
      <c r="G111" s="16" t="n"/>
    </row>
    <row r="112">
      <c r="F112" s="6" t="n"/>
      <c r="G112" s="16" t="n"/>
    </row>
    <row r="113">
      <c r="F113" s="6" t="n"/>
      <c r="G113" s="16" t="n"/>
    </row>
    <row r="114">
      <c r="F114" s="6" t="n"/>
      <c r="G114" s="16" t="n"/>
    </row>
    <row r="115">
      <c r="F115" s="6" t="n"/>
      <c r="G115" s="16" t="n"/>
    </row>
    <row r="116">
      <c r="F116" s="6" t="n"/>
      <c r="G116" s="16" t="n"/>
    </row>
    <row r="117">
      <c r="F117" s="6" t="n"/>
      <c r="G117" s="16" t="n"/>
    </row>
    <row r="118">
      <c r="F118" s="6" t="n"/>
      <c r="G118" s="16" t="n"/>
    </row>
    <row r="119">
      <c r="F119" s="6" t="n"/>
      <c r="G119" s="16" t="n"/>
    </row>
    <row r="120">
      <c r="F120" s="6" t="n"/>
      <c r="G120" s="16" t="n"/>
    </row>
    <row r="121">
      <c r="F121" s="6" t="n"/>
      <c r="G121" s="16" t="n"/>
    </row>
    <row r="122">
      <c r="F122" s="6" t="n"/>
      <c r="G122" s="16" t="n"/>
    </row>
    <row r="123">
      <c r="F123" s="6" t="n"/>
      <c r="G123" s="16" t="n"/>
    </row>
    <row r="124">
      <c r="F124" s="6" t="n"/>
      <c r="G124" s="16" t="n"/>
    </row>
    <row r="125">
      <c r="F125" s="6" t="n"/>
      <c r="G125" s="16" t="n"/>
    </row>
    <row r="126">
      <c r="F126" s="6" t="n"/>
      <c r="G126" s="16" t="n"/>
    </row>
    <row r="127">
      <c r="F127" s="6" t="n"/>
      <c r="G127" s="16" t="n"/>
    </row>
    <row r="128">
      <c r="F128" s="6" t="n"/>
      <c r="G128" s="16" t="n"/>
    </row>
    <row r="129">
      <c r="F129" s="6" t="n"/>
      <c r="G129" s="16" t="n"/>
    </row>
    <row r="130">
      <c r="F130" s="6" t="n"/>
      <c r="G130" s="16" t="n"/>
    </row>
    <row r="131">
      <c r="F131" s="6" t="n"/>
      <c r="G131" s="16" t="n"/>
    </row>
    <row r="132">
      <c r="F132" s="6" t="n"/>
      <c r="G132" s="16" t="n"/>
    </row>
    <row r="133">
      <c r="F133" s="6" t="n"/>
      <c r="G133" s="16" t="n"/>
    </row>
    <row r="134">
      <c r="F134" s="6" t="n"/>
      <c r="G134" s="16" t="n"/>
    </row>
    <row r="135">
      <c r="F135" s="6" t="n"/>
      <c r="G135" s="16" t="n"/>
    </row>
    <row r="136">
      <c r="F136" s="6" t="n"/>
      <c r="G136" s="16" t="n"/>
    </row>
    <row r="137">
      <c r="F137" s="6" t="n"/>
      <c r="G137" s="16" t="n"/>
    </row>
    <row r="138">
      <c r="F138" s="6" t="n"/>
      <c r="G138" s="16" t="n"/>
    </row>
    <row r="139">
      <c r="F139" s="6" t="n"/>
      <c r="G139" s="16" t="n"/>
    </row>
    <row r="140">
      <c r="F140" s="6" t="n"/>
      <c r="G140" s="16" t="n"/>
    </row>
    <row r="141">
      <c r="F141" s="6" t="n"/>
      <c r="G141" s="16" t="n"/>
    </row>
    <row r="142">
      <c r="F142" s="6" t="n"/>
      <c r="G142" s="16" t="n"/>
    </row>
    <row r="143">
      <c r="F143" s="6" t="n"/>
      <c r="G143" s="16" t="n"/>
    </row>
    <row r="144">
      <c r="F144" s="6" t="n"/>
      <c r="G144" s="16" t="n"/>
    </row>
    <row r="145">
      <c r="F145" s="6" t="n"/>
      <c r="G145" s="16" t="n"/>
    </row>
    <row r="146">
      <c r="F146" s="6" t="n"/>
      <c r="G146" s="16" t="n"/>
    </row>
    <row r="147">
      <c r="F147" s="6" t="n"/>
      <c r="G147" s="16" t="n"/>
    </row>
    <row r="148">
      <c r="F148" s="6" t="n"/>
      <c r="G148" s="16" t="n"/>
    </row>
    <row r="149">
      <c r="F149" s="6" t="n"/>
      <c r="G149" s="16" t="n"/>
    </row>
    <row r="150">
      <c r="F150" s="6" t="n"/>
      <c r="G150" s="16" t="n"/>
    </row>
    <row r="151">
      <c r="F151" s="6" t="n"/>
      <c r="G151" s="16" t="n"/>
    </row>
    <row r="152">
      <c r="F152" s="6" t="n"/>
      <c r="G152" s="16" t="n"/>
    </row>
    <row r="153">
      <c r="F153" s="6" t="n"/>
      <c r="G153" s="16" t="n"/>
    </row>
    <row r="154">
      <c r="F154" s="6" t="n"/>
      <c r="G154" s="16" t="n"/>
    </row>
    <row r="155">
      <c r="F155" s="6" t="n"/>
      <c r="G155" s="16" t="n"/>
    </row>
    <row r="156">
      <c r="F156" s="6" t="n"/>
      <c r="G156" s="16" t="n"/>
    </row>
    <row r="157">
      <c r="F157" s="6" t="n"/>
      <c r="G157" s="16" t="n"/>
    </row>
    <row r="158">
      <c r="F158" s="6" t="n"/>
      <c r="G158" s="16" t="n"/>
    </row>
    <row r="159">
      <c r="F159" s="6" t="n"/>
      <c r="G159" s="16" t="n"/>
    </row>
    <row r="160">
      <c r="F160" s="6" t="n"/>
      <c r="G160" s="16" t="n"/>
    </row>
    <row r="161">
      <c r="F161" s="6" t="n"/>
      <c r="G161" s="16" t="n"/>
    </row>
    <row r="162">
      <c r="F162" s="6" t="n"/>
      <c r="G162" s="16" t="n"/>
    </row>
    <row r="163">
      <c r="F163" s="6" t="n"/>
      <c r="G163" s="16" t="n"/>
    </row>
    <row r="164">
      <c r="F164" s="6" t="n"/>
      <c r="G164" s="16" t="n"/>
    </row>
    <row r="165">
      <c r="F165" s="6" t="n"/>
      <c r="G165" s="16" t="n"/>
    </row>
    <row r="166">
      <c r="F166" s="6" t="n"/>
      <c r="G166" s="16" t="n"/>
    </row>
    <row r="167">
      <c r="F167" s="6" t="n"/>
      <c r="G167" s="16" t="n"/>
    </row>
    <row r="168">
      <c r="F168" s="6" t="n"/>
      <c r="G168" s="16" t="n"/>
    </row>
    <row r="169">
      <c r="F169" s="6" t="n"/>
      <c r="G169" s="16" t="n"/>
    </row>
    <row r="170">
      <c r="F170" s="6" t="n"/>
      <c r="G170" s="16" t="n"/>
    </row>
    <row r="171">
      <c r="F171" s="6" t="n"/>
      <c r="G171" s="16" t="n"/>
    </row>
    <row r="172">
      <c r="F172" s="6" t="n"/>
      <c r="G172" s="16" t="n"/>
    </row>
    <row r="173">
      <c r="F173" s="6" t="n"/>
      <c r="G173" s="16" t="n"/>
    </row>
    <row r="174">
      <c r="F174" s="6" t="n"/>
      <c r="G174" s="16" t="n"/>
    </row>
    <row r="175">
      <c r="F175" s="6" t="n"/>
      <c r="G175" s="16" t="n"/>
    </row>
    <row r="176">
      <c r="F176" s="6" t="n"/>
      <c r="G176" s="16" t="n"/>
    </row>
    <row r="177">
      <c r="F177" s="6" t="n"/>
      <c r="G177" s="16" t="n"/>
    </row>
    <row r="178">
      <c r="F178" s="6" t="n"/>
      <c r="G178" s="16" t="n"/>
    </row>
    <row r="179">
      <c r="F179" s="6" t="n"/>
      <c r="G179" s="16" t="n"/>
    </row>
    <row r="180">
      <c r="F180" s="6" t="n"/>
      <c r="G180" s="16" t="n"/>
    </row>
    <row r="181">
      <c r="F181" s="6" t="n"/>
      <c r="G181" s="16" t="n"/>
    </row>
    <row r="182">
      <c r="F182" s="6" t="n"/>
      <c r="G182" s="16" t="n"/>
    </row>
    <row r="183">
      <c r="F183" s="6" t="n"/>
      <c r="G183" s="16" t="n"/>
    </row>
    <row r="184">
      <c r="F184" s="6" t="n"/>
      <c r="G184" s="16" t="n"/>
    </row>
    <row r="185">
      <c r="F185" s="6" t="n"/>
      <c r="G185" s="16" t="n"/>
    </row>
    <row r="186">
      <c r="F186" s="6" t="n"/>
      <c r="G186" s="16" t="n"/>
    </row>
    <row r="187">
      <c r="F187" s="6" t="n"/>
      <c r="G187" s="16" t="n"/>
    </row>
    <row r="188">
      <c r="F188" s="6" t="n"/>
      <c r="G188" s="16" t="n"/>
    </row>
    <row r="189">
      <c r="F189" s="6" t="n"/>
      <c r="G189" s="16" t="n"/>
    </row>
    <row r="190">
      <c r="F190" s="6" t="n"/>
      <c r="G190" s="16" t="n"/>
    </row>
    <row r="191">
      <c r="F191" s="6" t="n"/>
      <c r="G191" s="16" t="n"/>
    </row>
    <row r="192">
      <c r="F192" s="6" t="n"/>
      <c r="G192" s="16" t="n"/>
    </row>
    <row r="193">
      <c r="F193" s="6" t="n"/>
      <c r="G193" s="16" t="n"/>
    </row>
    <row r="194">
      <c r="F194" s="6" t="n"/>
      <c r="G194" s="16" t="n"/>
    </row>
    <row r="195">
      <c r="F195" s="6" t="n"/>
      <c r="G195" s="16" t="n"/>
    </row>
    <row r="196">
      <c r="F196" s="6" t="n"/>
      <c r="G196" s="16" t="n"/>
    </row>
    <row r="197">
      <c r="F197" s="6" t="n"/>
      <c r="G197" s="16" t="n"/>
    </row>
    <row r="198">
      <c r="F198" s="6" t="n"/>
      <c r="G198" s="16" t="n"/>
    </row>
    <row r="199">
      <c r="F199" s="6" t="n"/>
      <c r="G199" s="16" t="n"/>
    </row>
    <row r="200">
      <c r="F200" s="6" t="n"/>
      <c r="G200" s="16" t="n"/>
    </row>
    <row r="201">
      <c r="F201" s="6" t="n"/>
      <c r="G201" s="16" t="n"/>
    </row>
    <row r="202">
      <c r="F202" s="6" t="n"/>
      <c r="G202" s="16" t="n"/>
    </row>
    <row r="203">
      <c r="F203" s="6" t="n"/>
      <c r="G203" s="16" t="n"/>
    </row>
    <row r="204">
      <c r="F204" s="6" t="n"/>
      <c r="G204" s="16" t="n"/>
    </row>
    <row r="205">
      <c r="F205" s="6" t="n"/>
      <c r="G205" s="16" t="n"/>
    </row>
    <row r="206">
      <c r="F206" s="6" t="n"/>
      <c r="G206" s="16" t="n"/>
    </row>
    <row r="207">
      <c r="F207" s="6" t="n"/>
      <c r="G207" s="16" t="n"/>
    </row>
    <row r="208">
      <c r="F208" s="6" t="n"/>
      <c r="G208" s="16" t="n"/>
    </row>
    <row r="209">
      <c r="F209" s="6" t="n"/>
      <c r="G209" s="16" t="n"/>
    </row>
    <row r="210">
      <c r="F210" s="6" t="n"/>
      <c r="G210" s="16" t="n"/>
    </row>
    <row r="211">
      <c r="F211" s="6" t="n"/>
      <c r="G211" s="16" t="n"/>
    </row>
    <row r="212">
      <c r="F212" s="6" t="n"/>
      <c r="G212" s="16" t="n"/>
    </row>
    <row r="213">
      <c r="F213" s="6" t="n"/>
      <c r="G213" s="16" t="n"/>
    </row>
    <row r="214">
      <c r="F214" s="6" t="n"/>
      <c r="G214" s="16" t="n"/>
    </row>
    <row r="215">
      <c r="F215" s="6" t="n"/>
      <c r="G215" s="16" t="n"/>
    </row>
    <row r="216">
      <c r="F216" s="6" t="n"/>
      <c r="G216" s="16" t="n"/>
    </row>
    <row r="217">
      <c r="F217" s="6" t="n"/>
      <c r="G217" s="16" t="n"/>
    </row>
    <row r="218">
      <c r="F218" s="6" t="n"/>
      <c r="G218" s="16" t="n"/>
    </row>
    <row r="219">
      <c r="F219" s="6" t="n"/>
      <c r="G219" s="16" t="n"/>
    </row>
    <row r="220">
      <c r="F220" s="6" t="n"/>
      <c r="G220" s="16" t="n"/>
    </row>
    <row r="221">
      <c r="F221" s="6" t="n"/>
      <c r="G221" s="16" t="n"/>
    </row>
    <row r="222">
      <c r="F222" s="6" t="n"/>
      <c r="G222" s="16" t="n"/>
    </row>
    <row r="223">
      <c r="F223" s="6" t="n"/>
      <c r="G223" s="16" t="n"/>
    </row>
    <row r="224">
      <c r="F224" s="6" t="n"/>
      <c r="G224" s="16" t="n"/>
    </row>
    <row r="225">
      <c r="F225" s="6" t="n"/>
      <c r="G225" s="16" t="n"/>
    </row>
    <row r="226">
      <c r="F226" s="6" t="n"/>
      <c r="G226" s="16" t="n"/>
    </row>
    <row r="227">
      <c r="F227" s="6" t="n"/>
      <c r="G227" s="16" t="n"/>
    </row>
    <row r="228">
      <c r="F228" s="6" t="n"/>
      <c r="G228" s="16" t="n"/>
    </row>
    <row r="229">
      <c r="F229" s="6" t="n"/>
      <c r="G229" s="16" t="n"/>
    </row>
    <row r="230">
      <c r="F230" s="6" t="n"/>
      <c r="G230" s="16" t="n"/>
    </row>
    <row r="231">
      <c r="F231" s="6" t="n"/>
      <c r="G231" s="16" t="n"/>
    </row>
    <row r="232">
      <c r="F232" s="6" t="n"/>
      <c r="G232" s="16" t="n"/>
    </row>
    <row r="233">
      <c r="F233" s="6" t="n"/>
      <c r="G233" s="16" t="n"/>
    </row>
    <row r="234">
      <c r="F234" s="6" t="n"/>
      <c r="G234" s="16" t="n"/>
    </row>
    <row r="235">
      <c r="F235" s="6" t="n"/>
      <c r="G235" s="16" t="n"/>
    </row>
    <row r="236">
      <c r="F236" s="6" t="n"/>
      <c r="G236" s="16" t="n"/>
    </row>
    <row r="237">
      <c r="F237" s="6" t="n"/>
      <c r="G237" s="16" t="n"/>
    </row>
    <row r="238">
      <c r="F238" s="6" t="n"/>
      <c r="G238" s="16" t="n"/>
    </row>
    <row r="239">
      <c r="F239" s="6" t="n"/>
      <c r="G239" s="16" t="n"/>
    </row>
    <row r="240">
      <c r="F240" s="6" t="n"/>
      <c r="G240" s="16" t="n"/>
    </row>
    <row r="241">
      <c r="F241" s="6" t="n"/>
      <c r="G241" s="16" t="n"/>
    </row>
    <row r="242">
      <c r="F242" s="6" t="n"/>
      <c r="G242" s="16" t="n"/>
    </row>
    <row r="243">
      <c r="F243" s="6" t="n"/>
      <c r="G243" s="16" t="n"/>
    </row>
    <row r="244">
      <c r="F244" s="6" t="n"/>
      <c r="G244" s="16" t="n"/>
    </row>
    <row r="245">
      <c r="F245" s="6" t="n"/>
      <c r="G245" s="16" t="n"/>
    </row>
    <row r="246">
      <c r="F246" s="6" t="n"/>
      <c r="G246" s="16" t="n"/>
    </row>
    <row r="247">
      <c r="F247" s="6" t="n"/>
      <c r="G247" s="16" t="n"/>
    </row>
    <row r="248">
      <c r="F248" s="6" t="n"/>
      <c r="G248" s="16" t="n"/>
    </row>
    <row r="249">
      <c r="F249" s="6" t="n"/>
      <c r="G249" s="16" t="n"/>
    </row>
    <row r="250">
      <c r="F250" s="6" t="n"/>
      <c r="G250" s="16" t="n"/>
    </row>
    <row r="251">
      <c r="F251" s="6" t="n"/>
      <c r="G251" s="16" t="n"/>
    </row>
    <row r="252">
      <c r="F252" s="6" t="n"/>
      <c r="G252" s="16" t="n"/>
    </row>
    <row r="253">
      <c r="F253" s="6" t="n"/>
      <c r="G253" s="16" t="n"/>
    </row>
    <row r="254">
      <c r="F254" s="6" t="n"/>
      <c r="G254" s="16" t="n"/>
    </row>
    <row r="255">
      <c r="F255" s="6" t="n"/>
      <c r="G255" s="16" t="n"/>
    </row>
    <row r="256">
      <c r="F256" s="6" t="n"/>
      <c r="G256" s="16" t="n"/>
    </row>
    <row r="257">
      <c r="F257" s="6" t="n"/>
      <c r="G257" s="16" t="n"/>
    </row>
    <row r="258">
      <c r="F258" s="6" t="n"/>
      <c r="G258" s="16" t="n"/>
    </row>
    <row r="259">
      <c r="F259" s="6" t="n"/>
      <c r="G259" s="16" t="n"/>
    </row>
    <row r="260">
      <c r="F260" s="6" t="n"/>
      <c r="G260" s="16" t="n"/>
    </row>
    <row r="261">
      <c r="F261" s="6" t="n"/>
      <c r="G261" s="16" t="n"/>
    </row>
    <row r="262">
      <c r="F262" s="6" t="n"/>
      <c r="G262" s="16" t="n"/>
    </row>
    <row r="263">
      <c r="F263" s="6" t="n"/>
      <c r="G263" s="16" t="n"/>
    </row>
    <row r="264">
      <c r="F264" s="6" t="n"/>
      <c r="G264" s="16" t="n"/>
    </row>
    <row r="265">
      <c r="F265" s="6" t="n"/>
      <c r="G265" s="16" t="n"/>
    </row>
    <row r="266">
      <c r="F266" s="6" t="n"/>
      <c r="G266" s="16" t="n"/>
    </row>
    <row r="267">
      <c r="F267" s="6" t="n"/>
      <c r="G267" s="16" t="n"/>
    </row>
    <row r="268">
      <c r="F268" s="6" t="n"/>
      <c r="G268" s="16" t="n"/>
    </row>
    <row r="269">
      <c r="F269" s="6" t="n"/>
      <c r="G269" s="16" t="n"/>
    </row>
    <row r="270">
      <c r="F270" s="6" t="n"/>
      <c r="G270" s="16" t="n"/>
    </row>
    <row r="271">
      <c r="F271" s="6" t="n"/>
      <c r="G271" s="16" t="n"/>
    </row>
    <row r="272">
      <c r="F272" s="6" t="n"/>
      <c r="G272" s="16" t="n"/>
    </row>
    <row r="273">
      <c r="F273" s="6" t="n"/>
      <c r="G273" s="16" t="n"/>
    </row>
    <row r="274">
      <c r="F274" s="6" t="n"/>
      <c r="G274" s="16" t="n"/>
    </row>
    <row r="275">
      <c r="F275" s="6" t="n"/>
      <c r="G275" s="16" t="n"/>
    </row>
    <row r="276">
      <c r="F276" s="6" t="n"/>
      <c r="G276" s="16" t="n"/>
    </row>
    <row r="277">
      <c r="F277" s="6" t="n"/>
      <c r="G277" s="16" t="n"/>
    </row>
    <row r="278">
      <c r="F278" s="6" t="n"/>
      <c r="G278" s="16" t="n"/>
    </row>
    <row r="279">
      <c r="F279" s="6" t="n"/>
      <c r="G279" s="16" t="n"/>
    </row>
    <row r="280">
      <c r="F280" s="6" t="n"/>
      <c r="G280" s="16" t="n"/>
    </row>
    <row r="281">
      <c r="F281" s="6" t="n"/>
      <c r="G281" s="16" t="n"/>
    </row>
    <row r="282">
      <c r="F282" s="6" t="n"/>
      <c r="G282" s="16" t="n"/>
    </row>
    <row r="283">
      <c r="F283" s="6" t="n"/>
      <c r="G283" s="16" t="n"/>
    </row>
    <row r="284">
      <c r="F284" s="6" t="n"/>
      <c r="G284" s="16" t="n"/>
    </row>
    <row r="285">
      <c r="F285" s="6" t="n"/>
      <c r="G285" s="16" t="n"/>
    </row>
    <row r="286">
      <c r="F286" s="6" t="n"/>
      <c r="G286" s="16" t="n"/>
    </row>
    <row r="287">
      <c r="F287" s="6" t="n"/>
      <c r="G287" s="16" t="n"/>
    </row>
    <row r="288">
      <c r="F288" s="6" t="n"/>
      <c r="G288" s="16" t="n"/>
    </row>
    <row r="289">
      <c r="F289" s="6" t="n"/>
      <c r="G289" s="16" t="n"/>
    </row>
    <row r="290">
      <c r="F290" s="6" t="n"/>
      <c r="G290" s="16" t="n"/>
    </row>
    <row r="291">
      <c r="F291" s="6" t="n"/>
      <c r="G291" s="16" t="n"/>
    </row>
    <row r="292">
      <c r="F292" s="6" t="n"/>
      <c r="G292" s="16" t="n"/>
    </row>
    <row r="293">
      <c r="F293" s="6" t="n"/>
      <c r="G293" s="16" t="n"/>
    </row>
    <row r="294">
      <c r="F294" s="6" t="n"/>
      <c r="G294" s="16" t="n"/>
    </row>
    <row r="295">
      <c r="F295" s="6" t="n"/>
      <c r="G295" s="16" t="n"/>
    </row>
    <row r="296">
      <c r="F296" s="6" t="n"/>
      <c r="G296" s="16" t="n"/>
    </row>
    <row r="297">
      <c r="F297" s="6" t="n"/>
      <c r="G297" s="16" t="n"/>
    </row>
    <row r="298">
      <c r="F298" s="6" t="n"/>
      <c r="G298" s="16" t="n"/>
    </row>
    <row r="299">
      <c r="F299" s="6" t="n"/>
      <c r="G299" s="16" t="n"/>
    </row>
    <row r="300">
      <c r="F300" s="6" t="n"/>
      <c r="G300" s="16" t="n"/>
    </row>
    <row r="301">
      <c r="F301" s="6" t="n"/>
      <c r="G301" s="16" t="n"/>
    </row>
    <row r="302">
      <c r="F302" s="6" t="n"/>
      <c r="G302" s="16" t="n"/>
    </row>
    <row r="303">
      <c r="F303" s="6" t="n"/>
      <c r="G303" s="16" t="n"/>
    </row>
    <row r="304">
      <c r="F304" s="6" t="n"/>
      <c r="G304" s="16" t="n"/>
    </row>
    <row r="305">
      <c r="F305" s="6" t="n"/>
      <c r="G305" s="16" t="n"/>
    </row>
    <row r="306">
      <c r="F306" s="6" t="n"/>
      <c r="G306" s="16" t="n"/>
    </row>
    <row r="307">
      <c r="F307" s="6" t="n"/>
      <c r="G307" s="16" t="n"/>
    </row>
    <row r="308">
      <c r="F308" s="6" t="n"/>
      <c r="G308" s="16" t="n"/>
    </row>
    <row r="309">
      <c r="F309" s="6" t="n"/>
      <c r="G309" s="16" t="n"/>
    </row>
    <row r="310">
      <c r="F310" s="6" t="n"/>
      <c r="G310" s="16" t="n"/>
    </row>
    <row r="311">
      <c r="F311" s="6" t="n"/>
      <c r="G311" s="16" t="n"/>
    </row>
    <row r="312">
      <c r="F312" s="6" t="n"/>
      <c r="G312" s="16" t="n"/>
    </row>
    <row r="313">
      <c r="F313" s="6" t="n"/>
      <c r="G313" s="16" t="n"/>
    </row>
    <row r="314">
      <c r="F314" s="6" t="n"/>
      <c r="G314" s="16" t="n"/>
    </row>
    <row r="315">
      <c r="F315" s="6" t="n"/>
      <c r="G315" s="16" t="n"/>
    </row>
    <row r="316">
      <c r="F316" s="6" t="n"/>
      <c r="G316" s="16" t="n"/>
    </row>
    <row r="317">
      <c r="F317" s="6" t="n"/>
      <c r="G317" s="16" t="n"/>
    </row>
    <row r="318">
      <c r="F318" s="6" t="n"/>
      <c r="G318" s="16" t="n"/>
    </row>
    <row r="319">
      <c r="F319" s="6" t="n"/>
      <c r="G319" s="16" t="n"/>
    </row>
    <row r="320">
      <c r="F320" s="6" t="n"/>
      <c r="G320" s="16" t="n"/>
    </row>
    <row r="321">
      <c r="F321" s="6" t="n"/>
      <c r="G321" s="16" t="n"/>
    </row>
    <row r="322">
      <c r="F322" s="6" t="n"/>
      <c r="G322" s="16" t="n"/>
    </row>
    <row r="323">
      <c r="F323" s="6" t="n"/>
      <c r="G323" s="16" t="n"/>
    </row>
    <row r="324">
      <c r="F324" s="6" t="n"/>
      <c r="G324" s="16" t="n"/>
    </row>
    <row r="325">
      <c r="F325" s="6" t="n"/>
      <c r="G325" s="16" t="n"/>
    </row>
    <row r="326">
      <c r="F326" s="6" t="n"/>
      <c r="G326" s="16" t="n"/>
    </row>
    <row r="327">
      <c r="F327" s="6" t="n"/>
      <c r="G327" s="16" t="n"/>
    </row>
    <row r="328">
      <c r="F328" s="6" t="n"/>
      <c r="G328" s="16" t="n"/>
    </row>
    <row r="329">
      <c r="F329" s="6" t="n"/>
      <c r="G329" s="16" t="n"/>
    </row>
    <row r="330">
      <c r="F330" s="6" t="n"/>
      <c r="G330" s="16" t="n"/>
    </row>
    <row r="331">
      <c r="F331" s="6" t="n"/>
      <c r="G331" s="16" t="n"/>
    </row>
    <row r="332">
      <c r="F332" s="6" t="n"/>
      <c r="G332" s="16" t="n"/>
    </row>
    <row r="333">
      <c r="F333" s="6" t="n"/>
      <c r="G333" s="16" t="n"/>
    </row>
    <row r="334">
      <c r="F334" s="6" t="n"/>
      <c r="G334" s="16" t="n"/>
    </row>
    <row r="335">
      <c r="F335" s="6" t="n"/>
      <c r="G335" s="16" t="n"/>
    </row>
    <row r="336">
      <c r="F336" s="6" t="n"/>
      <c r="G336" s="16" t="n"/>
    </row>
    <row r="337">
      <c r="F337" s="6" t="n"/>
      <c r="G337" s="16" t="n"/>
    </row>
    <row r="338">
      <c r="F338" s="6" t="n"/>
      <c r="G338" s="16" t="n"/>
    </row>
    <row r="339">
      <c r="F339" s="6" t="n"/>
      <c r="G339" s="16" t="n"/>
    </row>
    <row r="340">
      <c r="F340" s="6" t="n"/>
      <c r="G340" s="16" t="n"/>
    </row>
    <row r="341">
      <c r="F341" s="6" t="n"/>
      <c r="G341" s="16" t="n"/>
    </row>
    <row r="342">
      <c r="F342" s="6" t="n"/>
      <c r="G342" s="16" t="n"/>
    </row>
    <row r="343">
      <c r="F343" s="6" t="n"/>
      <c r="G343" s="16" t="n"/>
    </row>
    <row r="344">
      <c r="F344" s="6" t="n"/>
      <c r="G344" s="16" t="n"/>
    </row>
    <row r="345">
      <c r="F345" s="6" t="n"/>
      <c r="G345" s="16" t="n"/>
    </row>
    <row r="346">
      <c r="F346" s="6" t="n"/>
      <c r="G346" s="16" t="n"/>
    </row>
    <row r="347">
      <c r="F347" s="6" t="n"/>
      <c r="G347" s="16" t="n"/>
    </row>
    <row r="348">
      <c r="F348" s="6" t="n"/>
      <c r="G348" s="16" t="n"/>
    </row>
    <row r="349">
      <c r="F349" s="6" t="n"/>
      <c r="G349" s="16" t="n"/>
    </row>
    <row r="350">
      <c r="F350" s="6" t="n"/>
      <c r="G350" s="16" t="n"/>
    </row>
    <row r="351">
      <c r="F351" s="6" t="n"/>
      <c r="G351" s="16" t="n"/>
    </row>
    <row r="352">
      <c r="F352" s="6" t="n"/>
      <c r="G352" s="16" t="n"/>
    </row>
    <row r="353">
      <c r="F353" s="6" t="n"/>
      <c r="G353" s="16" t="n"/>
    </row>
    <row r="354">
      <c r="F354" s="6" t="n"/>
      <c r="G354" s="16" t="n"/>
    </row>
    <row r="355">
      <c r="F355" s="6" t="n"/>
      <c r="G355" s="16" t="n"/>
    </row>
    <row r="356">
      <c r="F356" s="6" t="n"/>
      <c r="G356" s="16" t="n"/>
    </row>
    <row r="357">
      <c r="F357" s="6" t="n"/>
      <c r="G357" s="16" t="n"/>
    </row>
    <row r="358">
      <c r="F358" s="6" t="n"/>
      <c r="G358" s="16" t="n"/>
    </row>
    <row r="359">
      <c r="F359" s="6" t="n"/>
      <c r="G359" s="16" t="n"/>
    </row>
    <row r="360">
      <c r="F360" s="6" t="n"/>
      <c r="G360" s="16" t="n"/>
    </row>
    <row r="361">
      <c r="F361" s="6" t="n"/>
      <c r="G361" s="16" t="n"/>
    </row>
    <row r="362">
      <c r="F362" s="6" t="n"/>
      <c r="G362" s="16" t="n"/>
    </row>
    <row r="363">
      <c r="F363" s="6" t="n"/>
      <c r="G363" s="16" t="n"/>
    </row>
    <row r="364">
      <c r="F364" s="6" t="n"/>
      <c r="G364" s="16" t="n"/>
    </row>
    <row r="365">
      <c r="F365" s="6" t="n"/>
      <c r="G365" s="16" t="n"/>
    </row>
    <row r="366">
      <c r="F366" s="6" t="n"/>
      <c r="G366" s="16" t="n"/>
    </row>
    <row r="367">
      <c r="F367" s="6" t="n"/>
      <c r="G367" s="16" t="n"/>
    </row>
    <row r="368">
      <c r="F368" s="6" t="n"/>
      <c r="G368" s="16" t="n"/>
    </row>
    <row r="369">
      <c r="F369" s="6" t="n"/>
      <c r="G369" s="16" t="n"/>
    </row>
    <row r="370">
      <c r="F370" s="6" t="n"/>
      <c r="G370" s="16" t="n"/>
    </row>
    <row r="371">
      <c r="F371" s="6" t="n"/>
      <c r="G371" s="16" t="n"/>
    </row>
    <row r="372">
      <c r="F372" s="6" t="n"/>
      <c r="G372" s="16" t="n"/>
    </row>
    <row r="373">
      <c r="F373" s="6" t="n"/>
      <c r="G373" s="16" t="n"/>
    </row>
    <row r="374">
      <c r="F374" s="6" t="n"/>
      <c r="G374" s="16" t="n"/>
    </row>
    <row r="375">
      <c r="F375" s="6" t="n"/>
      <c r="G375" s="16" t="n"/>
    </row>
    <row r="376">
      <c r="F376" s="6" t="n"/>
      <c r="G376" s="16" t="n"/>
    </row>
    <row r="377">
      <c r="F377" s="6" t="n"/>
      <c r="G377" s="16" t="n"/>
    </row>
    <row r="378">
      <c r="F378" s="6" t="n"/>
      <c r="G378" s="16" t="n"/>
    </row>
    <row r="379">
      <c r="F379" s="6" t="n"/>
      <c r="G379" s="16" t="n"/>
    </row>
    <row r="380">
      <c r="F380" s="6" t="n"/>
      <c r="G380" s="16" t="n"/>
    </row>
    <row r="381">
      <c r="F381" s="6" t="n"/>
      <c r="G381" s="16" t="n"/>
    </row>
    <row r="382">
      <c r="F382" s="6" t="n"/>
      <c r="G382" s="16" t="n"/>
    </row>
    <row r="383">
      <c r="F383" s="6" t="n"/>
      <c r="G383" s="16" t="n"/>
    </row>
    <row r="384">
      <c r="F384" s="6" t="n"/>
      <c r="G384" s="16" t="n"/>
    </row>
    <row r="385">
      <c r="F385" s="6" t="n"/>
      <c r="G385" s="16" t="n"/>
    </row>
    <row r="386">
      <c r="F386" s="6" t="n"/>
      <c r="G386" s="16" t="n"/>
    </row>
    <row r="387">
      <c r="F387" s="6" t="n"/>
      <c r="G387" s="16" t="n"/>
    </row>
    <row r="388">
      <c r="F388" s="6" t="n"/>
      <c r="G388" s="16" t="n"/>
    </row>
    <row r="389">
      <c r="F389" s="6" t="n"/>
      <c r="G389" s="16" t="n"/>
    </row>
    <row r="390">
      <c r="F390" s="6" t="n"/>
      <c r="G390" s="16" t="n"/>
    </row>
    <row r="391">
      <c r="F391" s="6" t="n"/>
      <c r="G391" s="16" t="n"/>
    </row>
    <row r="392">
      <c r="F392" s="6" t="n"/>
      <c r="G392" s="16" t="n"/>
    </row>
    <row r="393">
      <c r="F393" s="6" t="n"/>
      <c r="G393" s="16" t="n"/>
    </row>
    <row r="394">
      <c r="F394" s="6" t="n"/>
      <c r="G394" s="16" t="n"/>
    </row>
    <row r="395">
      <c r="F395" s="6" t="n"/>
      <c r="G395" s="16" t="n"/>
    </row>
    <row r="396">
      <c r="F396" s="6" t="n"/>
      <c r="G396" s="16" t="n"/>
    </row>
    <row r="397">
      <c r="F397" s="6" t="n"/>
      <c r="G397" s="16" t="n"/>
    </row>
    <row r="398">
      <c r="F398" s="6" t="n"/>
      <c r="G398" s="16" t="n"/>
    </row>
    <row r="399">
      <c r="F399" s="6" t="n"/>
      <c r="G399" s="16" t="n"/>
    </row>
    <row r="400">
      <c r="F400" s="6" t="n"/>
      <c r="G400" s="16" t="n"/>
    </row>
    <row r="401">
      <c r="F401" s="6" t="n"/>
      <c r="G401" s="16" t="n"/>
    </row>
    <row r="402">
      <c r="F402" s="6" t="n"/>
      <c r="G402" s="16" t="n"/>
    </row>
    <row r="403">
      <c r="F403" s="6" t="n"/>
      <c r="G403" s="16" t="n"/>
    </row>
    <row r="404">
      <c r="F404" s="6" t="n"/>
      <c r="G404" s="16" t="n"/>
    </row>
    <row r="405">
      <c r="F405" s="6" t="n"/>
      <c r="G405" s="16" t="n"/>
    </row>
    <row r="406">
      <c r="F406" s="6" t="n"/>
      <c r="G406" s="16" t="n"/>
    </row>
    <row r="407">
      <c r="F407" s="6" t="n"/>
      <c r="G407" s="16" t="n"/>
    </row>
    <row r="408">
      <c r="F408" s="6" t="n"/>
      <c r="G408" s="16" t="n"/>
    </row>
    <row r="409">
      <c r="F409" s="6" t="n"/>
      <c r="G409" s="16" t="n"/>
    </row>
    <row r="410">
      <c r="F410" s="6" t="n"/>
      <c r="G410" s="16" t="n"/>
    </row>
    <row r="411">
      <c r="F411" s="6" t="n"/>
      <c r="G411" s="16" t="n"/>
    </row>
    <row r="412">
      <c r="F412" s="6" t="n"/>
      <c r="G412" s="16" t="n"/>
    </row>
    <row r="413">
      <c r="F413" s="6" t="n"/>
      <c r="G413" s="16" t="n"/>
    </row>
    <row r="414">
      <c r="F414" s="6" t="n"/>
      <c r="G414" s="16" t="n"/>
    </row>
    <row r="415">
      <c r="F415" s="6" t="n"/>
      <c r="G415" s="16" t="n"/>
    </row>
    <row r="416">
      <c r="F416" s="6" t="n"/>
      <c r="G416" s="16" t="n"/>
    </row>
    <row r="417">
      <c r="F417" s="6" t="n"/>
      <c r="G417" s="16" t="n"/>
    </row>
    <row r="418">
      <c r="F418" s="6" t="n"/>
      <c r="G418" s="16" t="n"/>
    </row>
    <row r="419">
      <c r="F419" s="6" t="n"/>
      <c r="G419" s="16" t="n"/>
    </row>
    <row r="420">
      <c r="F420" s="6" t="n"/>
      <c r="G420" s="16" t="n"/>
    </row>
    <row r="421">
      <c r="F421" s="6" t="n"/>
      <c r="G421" s="16" t="n"/>
    </row>
    <row r="422">
      <c r="F422" s="6" t="n"/>
      <c r="G422" s="16" t="n"/>
    </row>
    <row r="423">
      <c r="F423" s="6" t="n"/>
      <c r="G423" s="16" t="n"/>
    </row>
    <row r="424">
      <c r="F424" s="6" t="n"/>
      <c r="G424" s="16" t="n"/>
    </row>
    <row r="425">
      <c r="F425" s="6" t="n"/>
      <c r="G425" s="16" t="n"/>
    </row>
    <row r="426">
      <c r="F426" s="6" t="n"/>
      <c r="G426" s="16" t="n"/>
    </row>
    <row r="427">
      <c r="F427" s="6" t="n"/>
      <c r="G427" s="16" t="n"/>
    </row>
    <row r="428">
      <c r="F428" s="6" t="n"/>
      <c r="G428" s="16" t="n"/>
    </row>
    <row r="429">
      <c r="F429" s="6" t="n"/>
      <c r="G429" s="16" t="n"/>
    </row>
    <row r="430">
      <c r="F430" s="6" t="n"/>
      <c r="G430" s="16" t="n"/>
    </row>
    <row r="431">
      <c r="F431" s="6" t="n"/>
      <c r="G431" s="16" t="n"/>
    </row>
    <row r="432">
      <c r="F432" s="6" t="n"/>
      <c r="G432" s="16" t="n"/>
    </row>
    <row r="433">
      <c r="F433" s="6" t="n"/>
      <c r="G433" s="16" t="n"/>
    </row>
    <row r="434">
      <c r="F434" s="6" t="n"/>
      <c r="G434" s="16" t="n"/>
    </row>
    <row r="435">
      <c r="F435" s="6" t="n"/>
      <c r="G435" s="16" t="n"/>
    </row>
    <row r="436">
      <c r="F436" s="6" t="n"/>
      <c r="G436" s="16" t="n"/>
    </row>
    <row r="437">
      <c r="F437" s="6" t="n"/>
      <c r="G437" s="16" t="n"/>
    </row>
    <row r="438">
      <c r="F438" s="6" t="n"/>
      <c r="G438" s="16" t="n"/>
    </row>
    <row r="439">
      <c r="F439" s="6" t="n"/>
      <c r="G439" s="16" t="n"/>
    </row>
    <row r="440">
      <c r="F440" s="6" t="n"/>
      <c r="G440" s="16" t="n"/>
    </row>
    <row r="441">
      <c r="F441" s="6" t="n"/>
      <c r="G441" s="16" t="n"/>
    </row>
    <row r="442">
      <c r="F442" s="6" t="n"/>
      <c r="G442" s="16" t="n"/>
    </row>
    <row r="443">
      <c r="F443" s="6" t="n"/>
      <c r="G443" s="16" t="n"/>
    </row>
    <row r="444">
      <c r="F444" s="6" t="n"/>
      <c r="G444" s="16" t="n"/>
    </row>
    <row r="445">
      <c r="F445" s="6" t="n"/>
      <c r="G445" s="16" t="n"/>
    </row>
    <row r="446">
      <c r="F446" s="6" t="n"/>
      <c r="G446" s="16" t="n"/>
    </row>
    <row r="447">
      <c r="F447" s="6" t="n"/>
      <c r="G447" s="16" t="n"/>
    </row>
    <row r="448">
      <c r="F448" s="6" t="n"/>
      <c r="G448" s="16" t="n"/>
    </row>
    <row r="449">
      <c r="F449" s="6" t="n"/>
      <c r="G449" s="16" t="n"/>
    </row>
    <row r="450">
      <c r="F450" s="6" t="n"/>
      <c r="G450" s="16" t="n"/>
    </row>
    <row r="451">
      <c r="F451" s="6" t="n"/>
      <c r="G451" s="16" t="n"/>
    </row>
    <row r="452">
      <c r="F452" s="6" t="n"/>
      <c r="G452" s="16" t="n"/>
    </row>
    <row r="453">
      <c r="F453" s="6" t="n"/>
      <c r="G453" s="16" t="n"/>
    </row>
    <row r="454">
      <c r="F454" s="6" t="n"/>
      <c r="G454" s="16" t="n"/>
    </row>
    <row r="455">
      <c r="F455" s="6" t="n"/>
      <c r="G455" s="16" t="n"/>
    </row>
    <row r="456">
      <c r="F456" s="6" t="n"/>
      <c r="G456" s="16" t="n"/>
    </row>
    <row r="457">
      <c r="F457" s="6" t="n"/>
      <c r="G457" s="16" t="n"/>
    </row>
    <row r="458">
      <c r="F458" s="6" t="n"/>
      <c r="G458" s="16" t="n"/>
    </row>
    <row r="459">
      <c r="F459" s="6" t="n"/>
      <c r="G459" s="16" t="n"/>
    </row>
    <row r="460">
      <c r="F460" s="6" t="n"/>
      <c r="G460" s="16" t="n"/>
    </row>
    <row r="461">
      <c r="F461" s="6" t="n"/>
      <c r="G461" s="16" t="n"/>
    </row>
    <row r="462">
      <c r="F462" s="6" t="n"/>
      <c r="G462" s="16" t="n"/>
    </row>
    <row r="463">
      <c r="F463" s="6" t="n"/>
      <c r="G463" s="16" t="n"/>
    </row>
    <row r="464">
      <c r="F464" s="6" t="n"/>
      <c r="G464" s="16" t="n"/>
    </row>
    <row r="465">
      <c r="F465" s="6" t="n"/>
      <c r="G465" s="16" t="n"/>
    </row>
    <row r="466">
      <c r="F466" s="6" t="n"/>
      <c r="G466" s="16" t="n"/>
    </row>
    <row r="467">
      <c r="F467" s="6" t="n"/>
      <c r="G467" s="16" t="n"/>
    </row>
    <row r="468">
      <c r="F468" s="6" t="n"/>
      <c r="G468" s="16" t="n"/>
    </row>
    <row r="469">
      <c r="F469" s="6" t="n"/>
      <c r="G469" s="16" t="n"/>
    </row>
    <row r="470">
      <c r="F470" s="6" t="n"/>
      <c r="G470" s="16" t="n"/>
    </row>
    <row r="471">
      <c r="F471" s="6" t="n"/>
      <c r="G471" s="16" t="n"/>
    </row>
    <row r="472">
      <c r="F472" s="6" t="n"/>
      <c r="G472" s="16" t="n"/>
    </row>
    <row r="473">
      <c r="F473" s="6" t="n"/>
      <c r="G473" s="16" t="n"/>
    </row>
    <row r="474">
      <c r="F474" s="6" t="n"/>
      <c r="G474" s="16" t="n"/>
    </row>
    <row r="475">
      <c r="F475" s="6" t="n"/>
      <c r="G475" s="16" t="n"/>
    </row>
    <row r="476">
      <c r="F476" s="6" t="n"/>
      <c r="G476" s="16" t="n"/>
    </row>
    <row r="477">
      <c r="F477" s="6" t="n"/>
      <c r="G477" s="16" t="n"/>
    </row>
    <row r="478">
      <c r="F478" s="6" t="n"/>
      <c r="G478" s="16" t="n"/>
    </row>
    <row r="479">
      <c r="F479" s="6" t="n"/>
      <c r="G479" s="16" t="n"/>
    </row>
    <row r="480">
      <c r="F480" s="6" t="n"/>
      <c r="G480" s="16" t="n"/>
    </row>
    <row r="481">
      <c r="F481" s="6" t="n"/>
      <c r="G481" s="16" t="n"/>
    </row>
    <row r="482">
      <c r="F482" s="6" t="n"/>
      <c r="G482" s="16" t="n"/>
    </row>
    <row r="483">
      <c r="F483" s="6" t="n"/>
      <c r="G483" s="16" t="n"/>
    </row>
    <row r="484">
      <c r="F484" s="6" t="n"/>
      <c r="G484" s="16" t="n"/>
    </row>
    <row r="485">
      <c r="F485" s="6" t="n"/>
      <c r="G485" s="16" t="n"/>
    </row>
    <row r="486">
      <c r="F486" s="6" t="n"/>
      <c r="G486" s="16" t="n"/>
    </row>
    <row r="487">
      <c r="F487" s="6" t="n"/>
      <c r="G487" s="16" t="n"/>
    </row>
    <row r="488">
      <c r="F488" s="6" t="n"/>
      <c r="G488" s="16" t="n"/>
    </row>
    <row r="489">
      <c r="F489" s="6" t="n"/>
      <c r="G489" s="16" t="n"/>
    </row>
    <row r="490">
      <c r="F490" s="6" t="n"/>
      <c r="G490" s="16" t="n"/>
    </row>
    <row r="491">
      <c r="F491" s="6" t="n"/>
      <c r="G491" s="16" t="n"/>
    </row>
    <row r="492">
      <c r="F492" s="6" t="n"/>
      <c r="G492" s="16" t="n"/>
    </row>
    <row r="493">
      <c r="F493" s="6" t="n"/>
      <c r="G493" s="16" t="n"/>
    </row>
    <row r="494">
      <c r="F494" s="6" t="n"/>
      <c r="G494" s="16" t="n"/>
    </row>
    <row r="495">
      <c r="F495" s="6" t="n"/>
      <c r="G495" s="16" t="n"/>
    </row>
    <row r="496">
      <c r="F496" s="6" t="n"/>
      <c r="G496" s="16" t="n"/>
    </row>
    <row r="497">
      <c r="F497" s="6" t="n"/>
      <c r="G497" s="16" t="n"/>
    </row>
    <row r="498">
      <c r="F498" s="6" t="n"/>
      <c r="G498" s="16" t="n"/>
    </row>
    <row r="499">
      <c r="F499" s="6" t="n"/>
      <c r="G499" s="16" t="n"/>
    </row>
    <row r="500">
      <c r="F500" s="6" t="n"/>
      <c r="G500" s="16" t="n"/>
    </row>
  </sheetData>
  <conditionalFormatting sqref="G2:G500">
    <cfRule type="dataBar" priority="1">
      <dataBar>
        <cfvo type="min"/>
        <cfvo type="max"/>
        <color rgb="FF2F75B5"/>
      </dataBar>
    </cfRule>
  </conditionalFormatting>
  <dataValidations count="2">
    <dataValidation sqref="H2:H500" showDropDown="0" showInputMessage="0" showErrorMessage="0" allowBlank="0" type="list">
      <formula1>"Planejado,Em andamento,Concluído,Atrasado"</formula1>
    </dataValidation>
    <dataValidation sqref="I2:I500" showDropDown="0" showInputMessage="0" showErrorMessage="0" allowBlank="0" type="list">
      <formula1>"Baixo,Médio,Alto,Crítico"</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100"/>
  <sheetViews>
    <sheetView workbookViewId="0">
      <selection activeCell="A1" sqref="A1"/>
    </sheetView>
  </sheetViews>
  <sheetFormatPr baseColWidth="8" defaultRowHeight="14.25"/>
  <cols>
    <col width="18" customWidth="1" style="1" min="1" max="9"/>
  </cols>
  <sheetData>
    <row r="1" ht="24" customHeight="1" s="1">
      <c r="A1" s="4" t="inlineStr">
        <is>
          <t>Cidade</t>
        </is>
      </c>
      <c r="B1" s="4" t="inlineStr">
        <is>
          <t>Meta</t>
        </is>
      </c>
      <c r="C1" s="4" t="inlineStr">
        <is>
          <t>Inscritos</t>
        </is>
      </c>
      <c r="D1" s="4" t="inlineStr">
        <is>
          <t>Selecionados</t>
        </is>
      </c>
      <c r="E1" s="4" t="inlineStr">
        <is>
          <t>Treinados</t>
        </is>
      </c>
      <c r="F1" s="4" t="inlineStr">
        <is>
          <t>% Meta</t>
        </is>
      </c>
      <c r="G1" s="4" t="inlineStr">
        <is>
          <t>Status</t>
        </is>
      </c>
      <c r="H1" s="4" t="inlineStr">
        <is>
          <t>Responsável</t>
        </is>
      </c>
      <c r="I1" s="4" t="inlineStr">
        <is>
          <t>Observações</t>
        </is>
      </c>
    </row>
    <row r="2">
      <c r="A2" s="23" t="inlineStr">
        <is>
          <t>Rio de Janeiro/RJ</t>
        </is>
      </c>
      <c r="B2" s="23" t="n">
        <v>1000</v>
      </c>
      <c r="C2" s="23" t="n">
        <v>0</v>
      </c>
      <c r="D2" s="23" t="n">
        <v>0</v>
      </c>
      <c r="E2" s="23" t="n">
        <v>0</v>
      </c>
      <c r="F2" s="17">
        <f>IFERROR(E2/B2,0)</f>
        <v/>
      </c>
      <c r="G2" s="23">
        <f>IF(F2&gt;=1,"Meta atingida",IF(F2&gt;=0.7,"Atenção","Crítico"))</f>
        <v/>
      </c>
      <c r="H2" s="23" t="n"/>
      <c r="I2" s="23" t="n"/>
    </row>
    <row r="3">
      <c r="A3" s="23" t="inlineStr">
        <is>
          <t>São Paulo/SP</t>
        </is>
      </c>
      <c r="B3" s="23" t="n">
        <v>1000</v>
      </c>
      <c r="C3" s="23" t="n">
        <v>0</v>
      </c>
      <c r="D3" s="23" t="n">
        <v>0</v>
      </c>
      <c r="E3" s="23" t="n">
        <v>0</v>
      </c>
      <c r="F3" s="17">
        <f>IFERROR(E3/B3,0)</f>
        <v/>
      </c>
      <c r="G3" s="23">
        <f>IF(F3&gt;=1,"Meta atingida",IF(F3&gt;=0.7,"Atenção","Crítico"))</f>
        <v/>
      </c>
      <c r="H3" s="23" t="n"/>
      <c r="I3" s="23" t="n"/>
    </row>
    <row r="4">
      <c r="A4" s="23" t="inlineStr">
        <is>
          <t>Belo Horizonte/MG</t>
        </is>
      </c>
      <c r="B4" s="23" t="n">
        <v>1000</v>
      </c>
      <c r="C4" s="23" t="n">
        <v>0</v>
      </c>
      <c r="D4" s="23" t="n">
        <v>0</v>
      </c>
      <c r="E4" s="23" t="n">
        <v>0</v>
      </c>
      <c r="F4" s="17">
        <f>IFERROR(E4/B4,0)</f>
        <v/>
      </c>
      <c r="G4" s="23">
        <f>IF(F4&gt;=1,"Meta atingida",IF(F4&gt;=0.7,"Atenção","Crítico"))</f>
        <v/>
      </c>
      <c r="H4" s="23" t="n"/>
      <c r="I4" s="23" t="n"/>
    </row>
    <row r="5">
      <c r="A5" s="23" t="inlineStr">
        <is>
          <t>Salvador/BA</t>
        </is>
      </c>
      <c r="B5" s="23" t="n">
        <v>1000</v>
      </c>
      <c r="C5" s="23" t="n">
        <v>0</v>
      </c>
      <c r="D5" s="23" t="n">
        <v>0</v>
      </c>
      <c r="E5" s="23" t="n">
        <v>0</v>
      </c>
      <c r="F5" s="17">
        <f>IFERROR(E5/B5,0)</f>
        <v/>
      </c>
      <c r="G5" s="23">
        <f>IF(F5&gt;=1,"Meta atingida",IF(F5&gt;=0.7,"Atenção","Crítico"))</f>
        <v/>
      </c>
      <c r="H5" s="23" t="n"/>
      <c r="I5" s="23" t="n"/>
    </row>
    <row r="6">
      <c r="A6" s="23" t="inlineStr">
        <is>
          <t>Recife/PE</t>
        </is>
      </c>
      <c r="B6" s="23" t="n">
        <v>1000</v>
      </c>
      <c r="C6" s="23" t="n">
        <v>0</v>
      </c>
      <c r="D6" s="23" t="n">
        <v>0</v>
      </c>
      <c r="E6" s="23" t="n">
        <v>0</v>
      </c>
      <c r="F6" s="17">
        <f>IFERROR(E6/B6,0)</f>
        <v/>
      </c>
      <c r="G6" s="23">
        <f>IF(F6&gt;=1,"Meta atingida",IF(F6&gt;=0.7,"Atenção","Crítico"))</f>
        <v/>
      </c>
      <c r="H6" s="23" t="n"/>
      <c r="I6" s="23" t="n"/>
    </row>
    <row r="7">
      <c r="A7" s="23" t="inlineStr">
        <is>
          <t>Fortaleza/CE</t>
        </is>
      </c>
      <c r="B7" s="23" t="n">
        <v>1000</v>
      </c>
      <c r="C7" s="23" t="n">
        <v>0</v>
      </c>
      <c r="D7" s="23" t="n">
        <v>0</v>
      </c>
      <c r="E7" s="23" t="n">
        <v>0</v>
      </c>
      <c r="F7" s="17">
        <f>IFERROR(E7/B7,0)</f>
        <v/>
      </c>
      <c r="G7" s="23">
        <f>IF(F7&gt;=1,"Meta atingida",IF(F7&gt;=0.7,"Atenção","Crítico"))</f>
        <v/>
      </c>
      <c r="H7" s="23" t="n"/>
      <c r="I7" s="23" t="n"/>
    </row>
    <row r="8">
      <c r="A8" s="23" t="inlineStr">
        <is>
          <t>Brasília/DF</t>
        </is>
      </c>
      <c r="B8" s="23" t="n">
        <v>1000</v>
      </c>
      <c r="C8" s="23" t="n">
        <v>0</v>
      </c>
      <c r="D8" s="23" t="n">
        <v>0</v>
      </c>
      <c r="E8" s="23" t="n">
        <v>0</v>
      </c>
      <c r="F8" s="17">
        <f>IFERROR(E8/B8,0)</f>
        <v/>
      </c>
      <c r="G8" s="23">
        <f>IF(F8&gt;=1,"Meta atingida",IF(F8&gt;=0.7,"Atenção","Crítico"))</f>
        <v/>
      </c>
      <c r="H8" s="23" t="n"/>
      <c r="I8" s="23" t="n"/>
    </row>
    <row r="9">
      <c r="A9" s="23" t="inlineStr">
        <is>
          <t>Porto Alegre/RS</t>
        </is>
      </c>
      <c r="B9" s="23" t="n">
        <v>1000</v>
      </c>
      <c r="C9" s="23" t="n">
        <v>0</v>
      </c>
      <c r="D9" s="23" t="n">
        <v>0</v>
      </c>
      <c r="E9" s="23" t="n">
        <v>0</v>
      </c>
      <c r="F9" s="17">
        <f>IFERROR(E9/B9,0)</f>
        <v/>
      </c>
      <c r="G9" s="23">
        <f>IF(F9&gt;=1,"Meta atingida",IF(F9&gt;=0.7,"Atenção","Crítico"))</f>
        <v/>
      </c>
      <c r="H9" s="23" t="n"/>
      <c r="I9" s="23" t="n"/>
    </row>
    <row r="10">
      <c r="A10" s="23" t="n"/>
      <c r="B10" s="23" t="n"/>
      <c r="C10" s="23" t="n"/>
      <c r="D10" s="23" t="n"/>
      <c r="E10" s="23" t="n"/>
      <c r="F10" s="17" t="n"/>
      <c r="G10" s="23" t="n"/>
      <c r="H10" s="23" t="n"/>
      <c r="I10" s="23" t="n"/>
    </row>
    <row r="11">
      <c r="A11" s="23" t="n"/>
      <c r="B11" s="23" t="n"/>
      <c r="C11" s="23" t="n"/>
      <c r="D11" s="23" t="n"/>
      <c r="E11" s="23" t="n"/>
      <c r="F11" s="17" t="n"/>
      <c r="G11" s="23" t="n"/>
      <c r="H11" s="23" t="n"/>
      <c r="I11" s="23" t="n"/>
    </row>
    <row r="12">
      <c r="A12" s="23" t="n"/>
      <c r="B12" s="23" t="n"/>
      <c r="C12" s="23" t="n"/>
      <c r="D12" s="23" t="n"/>
      <c r="E12" s="23" t="n"/>
      <c r="F12" s="17" t="n"/>
      <c r="G12" s="23" t="n"/>
      <c r="H12" s="23" t="n"/>
      <c r="I12" s="23" t="n"/>
    </row>
    <row r="13">
      <c r="A13" s="23" t="n"/>
      <c r="B13" s="23" t="n"/>
      <c r="C13" s="23" t="n"/>
      <c r="D13" s="23" t="n"/>
      <c r="E13" s="23" t="n"/>
      <c r="F13" s="17" t="n"/>
      <c r="G13" s="23" t="n"/>
      <c r="H13" s="23" t="n"/>
      <c r="I13" s="23" t="n"/>
    </row>
    <row r="14">
      <c r="A14" s="23" t="n"/>
      <c r="B14" s="23" t="n"/>
      <c r="C14" s="23" t="n"/>
      <c r="D14" s="23" t="n"/>
      <c r="E14" s="23" t="n"/>
      <c r="F14" s="17" t="n"/>
      <c r="G14" s="23" t="n"/>
      <c r="H14" s="23" t="n"/>
      <c r="I14" s="23" t="n"/>
    </row>
    <row r="15">
      <c r="A15" s="23" t="n"/>
      <c r="B15" s="23" t="n"/>
      <c r="C15" s="23" t="n"/>
      <c r="D15" s="23" t="n"/>
      <c r="E15" s="23" t="n"/>
      <c r="F15" s="17" t="n"/>
      <c r="G15" s="23" t="n"/>
      <c r="H15" s="23" t="n"/>
      <c r="I15" s="23" t="n"/>
    </row>
    <row r="16">
      <c r="A16" s="23" t="n"/>
      <c r="B16" s="23" t="n"/>
      <c r="C16" s="23" t="n"/>
      <c r="D16" s="23" t="n"/>
      <c r="E16" s="23" t="n"/>
      <c r="F16" s="17" t="n"/>
      <c r="G16" s="23" t="n"/>
      <c r="H16" s="23" t="n"/>
      <c r="I16" s="23" t="n"/>
    </row>
    <row r="17">
      <c r="F17" s="17" t="n"/>
    </row>
    <row r="18">
      <c r="F18" s="17" t="n"/>
    </row>
    <row r="19">
      <c r="F19" s="17" t="n"/>
    </row>
    <row r="20">
      <c r="F20" s="17" t="n"/>
    </row>
    <row r="21">
      <c r="F21" s="17" t="n"/>
    </row>
    <row r="22">
      <c r="F22" s="17" t="n"/>
    </row>
    <row r="23">
      <c r="F23" s="17" t="n"/>
    </row>
    <row r="24">
      <c r="F24" s="17" t="n"/>
    </row>
    <row r="25">
      <c r="F25" s="17" t="n"/>
    </row>
    <row r="26">
      <c r="F26" s="17" t="n"/>
    </row>
    <row r="27">
      <c r="F27" s="17" t="n"/>
    </row>
    <row r="28">
      <c r="F28" s="17" t="n"/>
    </row>
    <row r="29">
      <c r="F29" s="17" t="n"/>
    </row>
    <row r="30">
      <c r="F30" s="17" t="n"/>
    </row>
    <row r="31">
      <c r="F31" s="17" t="n"/>
    </row>
    <row r="32">
      <c r="F32" s="17" t="n"/>
    </row>
    <row r="33">
      <c r="F33" s="17" t="n"/>
    </row>
    <row r="34">
      <c r="F34" s="17" t="n"/>
    </row>
    <row r="35">
      <c r="F35" s="17" t="n"/>
    </row>
    <row r="36">
      <c r="F36" s="17" t="n"/>
    </row>
    <row r="37">
      <c r="F37" s="17" t="n"/>
    </row>
    <row r="38">
      <c r="F38" s="17" t="n"/>
    </row>
    <row r="39">
      <c r="F39" s="17" t="n"/>
    </row>
    <row r="40">
      <c r="F40" s="17" t="n"/>
    </row>
    <row r="41">
      <c r="F41" s="17" t="n"/>
    </row>
    <row r="42">
      <c r="F42" s="17" t="n"/>
    </row>
    <row r="43">
      <c r="F43" s="17" t="n"/>
    </row>
    <row r="44">
      <c r="F44" s="17" t="n"/>
    </row>
    <row r="45">
      <c r="F45" s="17" t="n"/>
    </row>
    <row r="46">
      <c r="F46" s="17" t="n"/>
    </row>
    <row r="47">
      <c r="F47" s="17" t="n"/>
    </row>
    <row r="48">
      <c r="F48" s="17" t="n"/>
    </row>
    <row r="49">
      <c r="F49" s="17" t="n"/>
    </row>
    <row r="50">
      <c r="F50" s="17" t="n"/>
    </row>
    <row r="51">
      <c r="F51" s="17" t="n"/>
    </row>
    <row r="52">
      <c r="F52" s="17" t="n"/>
    </row>
    <row r="53">
      <c r="F53" s="17" t="n"/>
    </row>
    <row r="54">
      <c r="F54" s="17" t="n"/>
    </row>
    <row r="55">
      <c r="F55" s="17" t="n"/>
    </row>
    <row r="56">
      <c r="F56" s="17" t="n"/>
    </row>
    <row r="57">
      <c r="F57" s="17" t="n"/>
    </row>
    <row r="58">
      <c r="F58" s="17" t="n"/>
    </row>
    <row r="59">
      <c r="F59" s="17" t="n"/>
    </row>
    <row r="60">
      <c r="F60" s="17" t="n"/>
    </row>
    <row r="61">
      <c r="F61" s="17" t="n"/>
    </row>
    <row r="62">
      <c r="F62" s="17" t="n"/>
    </row>
    <row r="63">
      <c r="F63" s="17" t="n"/>
    </row>
    <row r="64">
      <c r="F64" s="17" t="n"/>
    </row>
    <row r="65">
      <c r="F65" s="17" t="n"/>
    </row>
    <row r="66">
      <c r="F66" s="17" t="n"/>
    </row>
    <row r="67">
      <c r="F67" s="17" t="n"/>
    </row>
    <row r="68">
      <c r="F68" s="17" t="n"/>
    </row>
    <row r="69">
      <c r="F69" s="17" t="n"/>
    </row>
    <row r="70">
      <c r="F70" s="17" t="n"/>
    </row>
    <row r="71">
      <c r="F71" s="17" t="n"/>
    </row>
    <row r="72">
      <c r="F72" s="17" t="n"/>
    </row>
    <row r="73">
      <c r="F73" s="17" t="n"/>
    </row>
    <row r="74">
      <c r="F74" s="17" t="n"/>
    </row>
    <row r="75">
      <c r="F75" s="17" t="n"/>
    </row>
    <row r="76">
      <c r="F76" s="17" t="n"/>
    </row>
    <row r="77">
      <c r="F77" s="17" t="n"/>
    </row>
    <row r="78">
      <c r="F78" s="17" t="n"/>
    </row>
    <row r="79">
      <c r="F79" s="17" t="n"/>
    </row>
    <row r="80">
      <c r="F80" s="17" t="n"/>
    </row>
    <row r="81">
      <c r="F81" s="17" t="n"/>
    </row>
    <row r="82">
      <c r="F82" s="17" t="n"/>
    </row>
    <row r="83">
      <c r="F83" s="17" t="n"/>
    </row>
    <row r="84">
      <c r="F84" s="17" t="n"/>
    </row>
    <row r="85">
      <c r="F85" s="17" t="n"/>
    </row>
    <row r="86">
      <c r="F86" s="17" t="n"/>
    </row>
    <row r="87">
      <c r="F87" s="17" t="n"/>
    </row>
    <row r="88">
      <c r="F88" s="17" t="n"/>
    </row>
    <row r="89">
      <c r="F89" s="17" t="n"/>
    </row>
    <row r="90">
      <c r="F90" s="17" t="n"/>
    </row>
    <row r="91">
      <c r="F91" s="17" t="n"/>
    </row>
    <row r="92">
      <c r="F92" s="17" t="n"/>
    </row>
    <row r="93">
      <c r="F93" s="17" t="n"/>
    </row>
    <row r="94">
      <c r="F94" s="17" t="n"/>
    </row>
    <row r="95">
      <c r="F95" s="17" t="n"/>
    </row>
    <row r="96">
      <c r="F96" s="17" t="n"/>
    </row>
    <row r="97">
      <c r="F97" s="17" t="n"/>
    </row>
    <row r="98">
      <c r="F98" s="17" t="n"/>
    </row>
    <row r="99">
      <c r="F99" s="17" t="n"/>
    </row>
    <row r="100">
      <c r="F100" s="17" t="n"/>
    </row>
  </sheetData>
  <conditionalFormatting sqref="F2:F100">
    <cfRule type="dataBar" priority="1">
      <dataBar>
        <cfvo type="min"/>
        <cfvo type="max"/>
        <color rgb="FF70AD47"/>
      </dataBar>
    </cfRule>
  </conditionalFormatting>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500"/>
  <sheetViews>
    <sheetView workbookViewId="0">
      <selection activeCell="A1" sqref="A1"/>
    </sheetView>
  </sheetViews>
  <sheetFormatPr baseColWidth="8" defaultRowHeight="14.25"/>
  <cols>
    <col width="18" customWidth="1" style="1" min="1" max="9"/>
  </cols>
  <sheetData>
    <row r="1" ht="24" customHeight="1" s="1">
      <c r="A1" s="4" t="inlineStr">
        <is>
          <t>Período</t>
        </is>
      </c>
      <c r="B1" s="4" t="inlineStr">
        <is>
          <t>Menções</t>
        </is>
      </c>
      <c r="C1" s="4" t="inlineStr">
        <is>
          <t>Positivas</t>
        </is>
      </c>
      <c r="D1" s="4" t="inlineStr">
        <is>
          <t>Neutras</t>
        </is>
      </c>
      <c r="E1" s="4" t="inlineStr">
        <is>
          <t>Negativas</t>
        </is>
      </c>
      <c r="F1" s="4" t="inlineStr">
        <is>
          <t>Alcance</t>
        </is>
      </c>
      <c r="G1" s="4" t="inlineStr">
        <is>
          <t>Engajamento</t>
        </is>
      </c>
      <c r="H1" s="4" t="inlineStr">
        <is>
          <t>Tema Principal</t>
        </is>
      </c>
      <c r="I1" s="4" t="inlineStr">
        <is>
          <t>Observações</t>
        </is>
      </c>
    </row>
    <row r="2">
      <c r="A2" s="23" t="inlineStr">
        <is>
          <t>Jul/2026</t>
        </is>
      </c>
      <c r="B2" s="7" t="n">
        <v>1250</v>
      </c>
      <c r="C2" s="7" t="n">
        <v>780</v>
      </c>
      <c r="D2" s="7" t="n">
        <v>360</v>
      </c>
      <c r="E2" s="7" t="n">
        <v>110</v>
      </c>
      <c r="F2" s="7" t="n">
        <v>2200000</v>
      </c>
      <c r="G2" s="7" t="n">
        <v>145000</v>
      </c>
      <c r="H2" s="23" t="inlineStr">
        <is>
          <t>Anúncio de cidades</t>
        </is>
      </c>
      <c r="I2" s="23" t="inlineStr">
        <is>
          <t>Exemplo</t>
        </is>
      </c>
    </row>
    <row r="3">
      <c r="A3" s="23" t="inlineStr">
        <is>
          <t>Ago/2026</t>
        </is>
      </c>
      <c r="B3" s="7" t="n">
        <v>1640</v>
      </c>
      <c r="C3" s="7" t="n">
        <v>1020</v>
      </c>
      <c r="D3" s="7" t="n">
        <v>470</v>
      </c>
      <c r="E3" s="7" t="n">
        <v>150</v>
      </c>
      <c r="F3" s="7" t="n">
        <v>3100000</v>
      </c>
      <c r="G3" s="7" t="n">
        <v>210000</v>
      </c>
      <c r="H3" s="23" t="inlineStr">
        <is>
          <t>Eventos preparatórios</t>
        </is>
      </c>
      <c r="I3" s="23" t="inlineStr">
        <is>
          <t>Exemplo</t>
        </is>
      </c>
    </row>
    <row r="4">
      <c r="A4" s="23" t="inlineStr">
        <is>
          <t>Set/2026</t>
        </is>
      </c>
      <c r="B4" s="7" t="n">
        <v>1920</v>
      </c>
      <c r="C4" s="7" t="n">
        <v>1240</v>
      </c>
      <c r="D4" s="7" t="n">
        <v>510</v>
      </c>
      <c r="E4" s="7" t="n">
        <v>170</v>
      </c>
      <c r="F4" s="7" t="n">
        <v>3800000</v>
      </c>
      <c r="G4" s="7" t="n">
        <v>290000</v>
      </c>
      <c r="H4" s="23" t="inlineStr">
        <is>
          <t>Patrocínios</t>
        </is>
      </c>
      <c r="I4" s="23" t="inlineStr">
        <is>
          <t>Exemplo</t>
        </is>
      </c>
    </row>
    <row r="5">
      <c r="A5" s="23" t="inlineStr">
        <is>
          <t>Out/2026</t>
        </is>
      </c>
      <c r="B5" s="7" t="n">
        <v>0</v>
      </c>
      <c r="C5" s="7" t="n">
        <v>0</v>
      </c>
      <c r="D5" s="7" t="n">
        <v>0</v>
      </c>
      <c r="E5" s="7" t="n">
        <v>0</v>
      </c>
      <c r="F5" s="7" t="n">
        <v>0</v>
      </c>
      <c r="G5" s="7" t="n">
        <v>0</v>
      </c>
      <c r="H5" s="23" t="inlineStr">
        <is>
          <t>A preencher</t>
        </is>
      </c>
      <c r="I5" s="23" t="n"/>
    </row>
    <row r="6">
      <c r="A6" s="23" t="n"/>
      <c r="B6" s="7" t="n"/>
      <c r="C6" s="7" t="n"/>
      <c r="D6" s="7" t="n"/>
      <c r="E6" s="7" t="n"/>
      <c r="F6" s="7" t="n"/>
      <c r="G6" s="7" t="n"/>
      <c r="H6" s="23" t="n"/>
      <c r="I6" s="23" t="n"/>
    </row>
    <row r="7">
      <c r="A7" s="23" t="n"/>
      <c r="B7" s="7" t="n"/>
      <c r="C7" s="7" t="n"/>
      <c r="D7" s="7" t="n"/>
      <c r="E7" s="7" t="n"/>
      <c r="F7" s="7" t="n"/>
      <c r="G7" s="7" t="n"/>
      <c r="H7" s="23" t="n"/>
      <c r="I7" s="23" t="n"/>
    </row>
    <row r="8">
      <c r="A8" s="23" t="n"/>
      <c r="B8" s="7" t="n"/>
      <c r="C8" s="7" t="n"/>
      <c r="D8" s="7" t="n"/>
      <c r="E8" s="7" t="n"/>
      <c r="F8" s="7" t="n"/>
      <c r="G8" s="7" t="n"/>
      <c r="H8" s="23" t="n"/>
      <c r="I8" s="23" t="n"/>
    </row>
    <row r="9">
      <c r="A9" s="23" t="n"/>
      <c r="B9" s="7" t="n"/>
      <c r="C9" s="7" t="n"/>
      <c r="D9" s="7" t="n"/>
      <c r="E9" s="7" t="n"/>
      <c r="F9" s="7" t="n"/>
      <c r="G9" s="7" t="n"/>
      <c r="H9" s="23" t="n"/>
      <c r="I9" s="23" t="n"/>
    </row>
    <row r="10">
      <c r="A10" s="23" t="n"/>
      <c r="B10" s="7" t="n"/>
      <c r="C10" s="7" t="n"/>
      <c r="D10" s="7" t="n"/>
      <c r="E10" s="7" t="n"/>
      <c r="F10" s="7" t="n"/>
      <c r="G10" s="7" t="n"/>
      <c r="H10" s="23" t="n"/>
      <c r="I10" s="23" t="n"/>
    </row>
    <row r="11">
      <c r="A11" s="23" t="n"/>
      <c r="B11" s="7" t="n"/>
      <c r="C11" s="7" t="n"/>
      <c r="D11" s="7" t="n"/>
      <c r="E11" s="7" t="n"/>
      <c r="F11" s="7" t="n"/>
      <c r="G11" s="7" t="n"/>
      <c r="H11" s="23" t="n"/>
      <c r="I11" s="23" t="n"/>
    </row>
    <row r="12">
      <c r="A12" s="23" t="n"/>
      <c r="B12" s="7" t="n"/>
      <c r="C12" s="7" t="n"/>
      <c r="D12" s="7" t="n"/>
      <c r="E12" s="7" t="n"/>
      <c r="F12" s="7" t="n"/>
      <c r="G12" s="7" t="n"/>
      <c r="H12" s="23" t="n"/>
      <c r="I12" s="23" t="n"/>
    </row>
    <row r="13">
      <c r="A13" s="23" t="n"/>
      <c r="B13" s="7" t="n"/>
      <c r="C13" s="7" t="n"/>
      <c r="D13" s="7" t="n"/>
      <c r="E13" s="7" t="n"/>
      <c r="F13" s="7" t="n"/>
      <c r="G13" s="7" t="n"/>
      <c r="H13" s="23" t="n"/>
      <c r="I13" s="23" t="n"/>
    </row>
    <row r="14">
      <c r="A14" s="23" t="n"/>
      <c r="B14" s="7" t="n"/>
      <c r="C14" s="7" t="n"/>
      <c r="D14" s="7" t="n"/>
      <c r="E14" s="7" t="n"/>
      <c r="F14" s="7" t="n"/>
      <c r="G14" s="7" t="n"/>
      <c r="H14" s="23" t="n"/>
      <c r="I14" s="23" t="n"/>
    </row>
    <row r="15">
      <c r="A15" s="23" t="n"/>
      <c r="B15" s="7" t="n"/>
      <c r="C15" s="7" t="n"/>
      <c r="D15" s="7" t="n"/>
      <c r="E15" s="7" t="n"/>
      <c r="F15" s="7" t="n"/>
      <c r="G15" s="7" t="n"/>
      <c r="H15" s="23" t="n"/>
      <c r="I15" s="23" t="n"/>
    </row>
    <row r="16">
      <c r="A16" s="23" t="n"/>
      <c r="B16" s="7" t="n"/>
      <c r="C16" s="7" t="n"/>
      <c r="D16" s="7" t="n"/>
      <c r="E16" s="7" t="n"/>
      <c r="F16" s="7" t="n"/>
      <c r="G16" s="7" t="n"/>
      <c r="H16" s="23" t="n"/>
      <c r="I16" s="23" t="n"/>
    </row>
    <row r="17">
      <c r="B17" s="7" t="n"/>
      <c r="C17" s="7" t="n"/>
      <c r="D17" s="7" t="n"/>
      <c r="E17" s="7" t="n"/>
      <c r="F17" s="7" t="n"/>
      <c r="G17" s="7" t="n"/>
    </row>
    <row r="18">
      <c r="B18" s="7" t="n"/>
      <c r="C18" s="7" t="n"/>
      <c r="D18" s="7" t="n"/>
      <c r="E18" s="7" t="n"/>
      <c r="F18" s="7" t="n"/>
      <c r="G18" s="7" t="n"/>
    </row>
    <row r="19">
      <c r="B19" s="7" t="n"/>
      <c r="C19" s="7" t="n"/>
      <c r="D19" s="7" t="n"/>
      <c r="E19" s="7" t="n"/>
      <c r="F19" s="7" t="n"/>
      <c r="G19" s="7" t="n"/>
    </row>
    <row r="20">
      <c r="B20" s="7" t="n"/>
      <c r="C20" s="7" t="n"/>
      <c r="D20" s="7" t="n"/>
      <c r="E20" s="7" t="n"/>
      <c r="F20" s="7" t="n"/>
      <c r="G20" s="7" t="n"/>
    </row>
    <row r="21">
      <c r="B21" s="7" t="n"/>
      <c r="C21" s="7" t="n"/>
      <c r="D21" s="7" t="n"/>
      <c r="E21" s="7" t="n"/>
      <c r="F21" s="7" t="n"/>
      <c r="G21" s="7" t="n"/>
    </row>
    <row r="22">
      <c r="B22" s="7" t="n"/>
      <c r="C22" s="7" t="n"/>
      <c r="D22" s="7" t="n"/>
      <c r="E22" s="7" t="n"/>
      <c r="F22" s="7" t="n"/>
      <c r="G22" s="7" t="n"/>
    </row>
    <row r="23">
      <c r="B23" s="7" t="n"/>
      <c r="C23" s="7" t="n"/>
      <c r="D23" s="7" t="n"/>
      <c r="E23" s="7" t="n"/>
      <c r="F23" s="7" t="n"/>
      <c r="G23" s="7" t="n"/>
    </row>
    <row r="24">
      <c r="B24" s="7" t="n"/>
      <c r="C24" s="7" t="n"/>
      <c r="D24" s="7" t="n"/>
      <c r="E24" s="7" t="n"/>
      <c r="F24" s="7" t="n"/>
      <c r="G24" s="7" t="n"/>
    </row>
    <row r="25">
      <c r="B25" s="7" t="n"/>
      <c r="C25" s="7" t="n"/>
      <c r="D25" s="7" t="n"/>
      <c r="E25" s="7" t="n"/>
      <c r="F25" s="7" t="n"/>
      <c r="G25" s="7" t="n"/>
    </row>
    <row r="26">
      <c r="B26" s="7" t="n"/>
      <c r="C26" s="7" t="n"/>
      <c r="D26" s="7" t="n"/>
      <c r="E26" s="7" t="n"/>
      <c r="F26" s="7" t="n"/>
      <c r="G26" s="7" t="n"/>
    </row>
    <row r="27">
      <c r="B27" s="7" t="n"/>
      <c r="C27" s="7" t="n"/>
      <c r="D27" s="7" t="n"/>
      <c r="E27" s="7" t="n"/>
      <c r="F27" s="7" t="n"/>
      <c r="G27" s="7" t="n"/>
    </row>
    <row r="28">
      <c r="B28" s="7" t="n"/>
      <c r="C28" s="7" t="n"/>
      <c r="D28" s="7" t="n"/>
      <c r="E28" s="7" t="n"/>
      <c r="F28" s="7" t="n"/>
      <c r="G28" s="7" t="n"/>
    </row>
    <row r="29">
      <c r="B29" s="7" t="n"/>
      <c r="C29" s="7" t="n"/>
      <c r="D29" s="7" t="n"/>
      <c r="E29" s="7" t="n"/>
      <c r="F29" s="7" t="n"/>
      <c r="G29" s="7" t="n"/>
    </row>
    <row r="30">
      <c r="B30" s="7" t="n"/>
      <c r="C30" s="7" t="n"/>
      <c r="D30" s="7" t="n"/>
      <c r="E30" s="7" t="n"/>
      <c r="F30" s="7" t="n"/>
      <c r="G30" s="7" t="n"/>
    </row>
    <row r="31">
      <c r="B31" s="7" t="n"/>
      <c r="C31" s="7" t="n"/>
      <c r="D31" s="7" t="n"/>
      <c r="E31" s="7" t="n"/>
      <c r="F31" s="7" t="n"/>
      <c r="G31" s="7" t="n"/>
    </row>
    <row r="32">
      <c r="B32" s="7" t="n"/>
      <c r="C32" s="7" t="n"/>
      <c r="D32" s="7" t="n"/>
      <c r="E32" s="7" t="n"/>
      <c r="F32" s="7" t="n"/>
      <c r="G32" s="7" t="n"/>
    </row>
    <row r="33">
      <c r="B33" s="7" t="n"/>
      <c r="C33" s="7" t="n"/>
      <c r="D33" s="7" t="n"/>
      <c r="E33" s="7" t="n"/>
      <c r="F33" s="7" t="n"/>
      <c r="G33" s="7" t="n"/>
    </row>
    <row r="34">
      <c r="B34" s="7" t="n"/>
      <c r="C34" s="7" t="n"/>
      <c r="D34" s="7" t="n"/>
      <c r="E34" s="7" t="n"/>
      <c r="F34" s="7" t="n"/>
      <c r="G34" s="7" t="n"/>
    </row>
    <row r="35">
      <c r="B35" s="7" t="n"/>
      <c r="C35" s="7" t="n"/>
      <c r="D35" s="7" t="n"/>
      <c r="E35" s="7" t="n"/>
      <c r="F35" s="7" t="n"/>
      <c r="G35" s="7" t="n"/>
    </row>
    <row r="36">
      <c r="B36" s="7" t="n"/>
      <c r="C36" s="7" t="n"/>
      <c r="D36" s="7" t="n"/>
      <c r="E36" s="7" t="n"/>
      <c r="F36" s="7" t="n"/>
      <c r="G36" s="7" t="n"/>
    </row>
    <row r="37">
      <c r="B37" s="7" t="n"/>
      <c r="C37" s="7" t="n"/>
      <c r="D37" s="7" t="n"/>
      <c r="E37" s="7" t="n"/>
      <c r="F37" s="7" t="n"/>
      <c r="G37" s="7" t="n"/>
    </row>
    <row r="38">
      <c r="B38" s="7" t="n"/>
      <c r="C38" s="7" t="n"/>
      <c r="D38" s="7" t="n"/>
      <c r="E38" s="7" t="n"/>
      <c r="F38" s="7" t="n"/>
      <c r="G38" s="7" t="n"/>
    </row>
    <row r="39">
      <c r="B39" s="7" t="n"/>
      <c r="C39" s="7" t="n"/>
      <c r="D39" s="7" t="n"/>
      <c r="E39" s="7" t="n"/>
      <c r="F39" s="7" t="n"/>
      <c r="G39" s="7" t="n"/>
    </row>
    <row r="40">
      <c r="B40" s="7" t="n"/>
      <c r="C40" s="7" t="n"/>
      <c r="D40" s="7" t="n"/>
      <c r="E40" s="7" t="n"/>
      <c r="F40" s="7" t="n"/>
      <c r="G40" s="7" t="n"/>
    </row>
    <row r="41">
      <c r="B41" s="7" t="n"/>
      <c r="C41" s="7" t="n"/>
      <c r="D41" s="7" t="n"/>
      <c r="E41" s="7" t="n"/>
      <c r="F41" s="7" t="n"/>
      <c r="G41" s="7" t="n"/>
    </row>
    <row r="42">
      <c r="B42" s="7" t="n"/>
      <c r="C42" s="7" t="n"/>
      <c r="D42" s="7" t="n"/>
      <c r="E42" s="7" t="n"/>
      <c r="F42" s="7" t="n"/>
      <c r="G42" s="7" t="n"/>
    </row>
    <row r="43">
      <c r="B43" s="7" t="n"/>
      <c r="C43" s="7" t="n"/>
      <c r="D43" s="7" t="n"/>
      <c r="E43" s="7" t="n"/>
      <c r="F43" s="7" t="n"/>
      <c r="G43" s="7" t="n"/>
    </row>
    <row r="44">
      <c r="B44" s="7" t="n"/>
      <c r="C44" s="7" t="n"/>
      <c r="D44" s="7" t="n"/>
      <c r="E44" s="7" t="n"/>
      <c r="F44" s="7" t="n"/>
      <c r="G44" s="7" t="n"/>
    </row>
    <row r="45">
      <c r="B45" s="7" t="n"/>
      <c r="C45" s="7" t="n"/>
      <c r="D45" s="7" t="n"/>
      <c r="E45" s="7" t="n"/>
      <c r="F45" s="7" t="n"/>
      <c r="G45" s="7" t="n"/>
    </row>
    <row r="46">
      <c r="B46" s="7" t="n"/>
      <c r="C46" s="7" t="n"/>
      <c r="D46" s="7" t="n"/>
      <c r="E46" s="7" t="n"/>
      <c r="F46" s="7" t="n"/>
      <c r="G46" s="7" t="n"/>
    </row>
    <row r="47">
      <c r="B47" s="7" t="n"/>
      <c r="C47" s="7" t="n"/>
      <c r="D47" s="7" t="n"/>
      <c r="E47" s="7" t="n"/>
      <c r="F47" s="7" t="n"/>
      <c r="G47" s="7" t="n"/>
    </row>
    <row r="48">
      <c r="B48" s="7" t="n"/>
      <c r="C48" s="7" t="n"/>
      <c r="D48" s="7" t="n"/>
      <c r="E48" s="7" t="n"/>
      <c r="F48" s="7" t="n"/>
      <c r="G48" s="7" t="n"/>
    </row>
    <row r="49">
      <c r="B49" s="7" t="n"/>
      <c r="C49" s="7" t="n"/>
      <c r="D49" s="7" t="n"/>
      <c r="E49" s="7" t="n"/>
      <c r="F49" s="7" t="n"/>
      <c r="G49" s="7" t="n"/>
    </row>
    <row r="50">
      <c r="B50" s="7" t="n"/>
      <c r="C50" s="7" t="n"/>
      <c r="D50" s="7" t="n"/>
      <c r="E50" s="7" t="n"/>
      <c r="F50" s="7" t="n"/>
      <c r="G50" s="7" t="n"/>
    </row>
    <row r="51">
      <c r="B51" s="7" t="n"/>
      <c r="C51" s="7" t="n"/>
      <c r="D51" s="7" t="n"/>
      <c r="E51" s="7" t="n"/>
      <c r="F51" s="7" t="n"/>
      <c r="G51" s="7" t="n"/>
    </row>
    <row r="52">
      <c r="B52" s="7" t="n"/>
      <c r="C52" s="7" t="n"/>
      <c r="D52" s="7" t="n"/>
      <c r="E52" s="7" t="n"/>
      <c r="F52" s="7" t="n"/>
      <c r="G52" s="7" t="n"/>
    </row>
    <row r="53">
      <c r="B53" s="7" t="n"/>
      <c r="C53" s="7" t="n"/>
      <c r="D53" s="7" t="n"/>
      <c r="E53" s="7" t="n"/>
      <c r="F53" s="7" t="n"/>
      <c r="G53" s="7" t="n"/>
    </row>
    <row r="54">
      <c r="B54" s="7" t="n"/>
      <c r="C54" s="7" t="n"/>
      <c r="D54" s="7" t="n"/>
      <c r="E54" s="7" t="n"/>
      <c r="F54" s="7" t="n"/>
      <c r="G54" s="7" t="n"/>
    </row>
    <row r="55">
      <c r="B55" s="7" t="n"/>
      <c r="C55" s="7" t="n"/>
      <c r="D55" s="7" t="n"/>
      <c r="E55" s="7" t="n"/>
      <c r="F55" s="7" t="n"/>
      <c r="G55" s="7" t="n"/>
    </row>
    <row r="56">
      <c r="B56" s="7" t="n"/>
      <c r="C56" s="7" t="n"/>
      <c r="D56" s="7" t="n"/>
      <c r="E56" s="7" t="n"/>
      <c r="F56" s="7" t="n"/>
      <c r="G56" s="7" t="n"/>
    </row>
    <row r="57">
      <c r="B57" s="7" t="n"/>
      <c r="C57" s="7" t="n"/>
      <c r="D57" s="7" t="n"/>
      <c r="E57" s="7" t="n"/>
      <c r="F57" s="7" t="n"/>
      <c r="G57" s="7" t="n"/>
    </row>
    <row r="58">
      <c r="B58" s="7" t="n"/>
      <c r="C58" s="7" t="n"/>
      <c r="D58" s="7" t="n"/>
      <c r="E58" s="7" t="n"/>
      <c r="F58" s="7" t="n"/>
      <c r="G58" s="7" t="n"/>
    </row>
    <row r="59">
      <c r="B59" s="7" t="n"/>
      <c r="C59" s="7" t="n"/>
      <c r="D59" s="7" t="n"/>
      <c r="E59" s="7" t="n"/>
      <c r="F59" s="7" t="n"/>
      <c r="G59" s="7" t="n"/>
    </row>
    <row r="60">
      <c r="B60" s="7" t="n"/>
      <c r="C60" s="7" t="n"/>
      <c r="D60" s="7" t="n"/>
      <c r="E60" s="7" t="n"/>
      <c r="F60" s="7" t="n"/>
      <c r="G60" s="7" t="n"/>
    </row>
    <row r="61">
      <c r="B61" s="7" t="n"/>
      <c r="C61" s="7" t="n"/>
      <c r="D61" s="7" t="n"/>
      <c r="E61" s="7" t="n"/>
      <c r="F61" s="7" t="n"/>
      <c r="G61" s="7" t="n"/>
    </row>
    <row r="62">
      <c r="B62" s="7" t="n"/>
      <c r="C62" s="7" t="n"/>
      <c r="D62" s="7" t="n"/>
      <c r="E62" s="7" t="n"/>
      <c r="F62" s="7" t="n"/>
      <c r="G62" s="7" t="n"/>
    </row>
    <row r="63">
      <c r="B63" s="7" t="n"/>
      <c r="C63" s="7" t="n"/>
      <c r="D63" s="7" t="n"/>
      <c r="E63" s="7" t="n"/>
      <c r="F63" s="7" t="n"/>
      <c r="G63" s="7" t="n"/>
    </row>
    <row r="64">
      <c r="B64" s="7" t="n"/>
      <c r="C64" s="7" t="n"/>
      <c r="D64" s="7" t="n"/>
      <c r="E64" s="7" t="n"/>
      <c r="F64" s="7" t="n"/>
      <c r="G64" s="7" t="n"/>
    </row>
    <row r="65">
      <c r="B65" s="7" t="n"/>
      <c r="C65" s="7" t="n"/>
      <c r="D65" s="7" t="n"/>
      <c r="E65" s="7" t="n"/>
      <c r="F65" s="7" t="n"/>
      <c r="G65" s="7" t="n"/>
    </row>
    <row r="66">
      <c r="B66" s="7" t="n"/>
      <c r="C66" s="7" t="n"/>
      <c r="D66" s="7" t="n"/>
      <c r="E66" s="7" t="n"/>
      <c r="F66" s="7" t="n"/>
      <c r="G66" s="7" t="n"/>
    </row>
    <row r="67">
      <c r="B67" s="7" t="n"/>
      <c r="C67" s="7" t="n"/>
      <c r="D67" s="7" t="n"/>
      <c r="E67" s="7" t="n"/>
      <c r="F67" s="7" t="n"/>
      <c r="G67" s="7" t="n"/>
    </row>
    <row r="68">
      <c r="B68" s="7" t="n"/>
      <c r="C68" s="7" t="n"/>
      <c r="D68" s="7" t="n"/>
      <c r="E68" s="7" t="n"/>
      <c r="F68" s="7" t="n"/>
      <c r="G68" s="7" t="n"/>
    </row>
    <row r="69">
      <c r="B69" s="7" t="n"/>
      <c r="C69" s="7" t="n"/>
      <c r="D69" s="7" t="n"/>
      <c r="E69" s="7" t="n"/>
      <c r="F69" s="7" t="n"/>
      <c r="G69" s="7" t="n"/>
    </row>
    <row r="70">
      <c r="B70" s="7" t="n"/>
      <c r="C70" s="7" t="n"/>
      <c r="D70" s="7" t="n"/>
      <c r="E70" s="7" t="n"/>
      <c r="F70" s="7" t="n"/>
      <c r="G70" s="7" t="n"/>
    </row>
    <row r="71">
      <c r="B71" s="7" t="n"/>
      <c r="C71" s="7" t="n"/>
      <c r="D71" s="7" t="n"/>
      <c r="E71" s="7" t="n"/>
      <c r="F71" s="7" t="n"/>
      <c r="G71" s="7" t="n"/>
    </row>
    <row r="72">
      <c r="B72" s="7" t="n"/>
      <c r="C72" s="7" t="n"/>
      <c r="D72" s="7" t="n"/>
      <c r="E72" s="7" t="n"/>
      <c r="F72" s="7" t="n"/>
      <c r="G72" s="7" t="n"/>
    </row>
    <row r="73">
      <c r="B73" s="7" t="n"/>
      <c r="C73" s="7" t="n"/>
      <c r="D73" s="7" t="n"/>
      <c r="E73" s="7" t="n"/>
      <c r="F73" s="7" t="n"/>
      <c r="G73" s="7" t="n"/>
    </row>
    <row r="74">
      <c r="B74" s="7" t="n"/>
      <c r="C74" s="7" t="n"/>
      <c r="D74" s="7" t="n"/>
      <c r="E74" s="7" t="n"/>
      <c r="F74" s="7" t="n"/>
      <c r="G74" s="7" t="n"/>
    </row>
    <row r="75">
      <c r="B75" s="7" t="n"/>
      <c r="C75" s="7" t="n"/>
      <c r="D75" s="7" t="n"/>
      <c r="E75" s="7" t="n"/>
      <c r="F75" s="7" t="n"/>
      <c r="G75" s="7" t="n"/>
    </row>
    <row r="76">
      <c r="B76" s="7" t="n"/>
      <c r="C76" s="7" t="n"/>
      <c r="D76" s="7" t="n"/>
      <c r="E76" s="7" t="n"/>
      <c r="F76" s="7" t="n"/>
      <c r="G76" s="7" t="n"/>
    </row>
    <row r="77">
      <c r="B77" s="7" t="n"/>
      <c r="C77" s="7" t="n"/>
      <c r="D77" s="7" t="n"/>
      <c r="E77" s="7" t="n"/>
      <c r="F77" s="7" t="n"/>
      <c r="G77" s="7" t="n"/>
    </row>
    <row r="78">
      <c r="B78" s="7" t="n"/>
      <c r="C78" s="7" t="n"/>
      <c r="D78" s="7" t="n"/>
      <c r="E78" s="7" t="n"/>
      <c r="F78" s="7" t="n"/>
      <c r="G78" s="7" t="n"/>
    </row>
    <row r="79">
      <c r="B79" s="7" t="n"/>
      <c r="C79" s="7" t="n"/>
      <c r="D79" s="7" t="n"/>
      <c r="E79" s="7" t="n"/>
      <c r="F79" s="7" t="n"/>
      <c r="G79" s="7" t="n"/>
    </row>
    <row r="80">
      <c r="B80" s="7" t="n"/>
      <c r="C80" s="7" t="n"/>
      <c r="D80" s="7" t="n"/>
      <c r="E80" s="7" t="n"/>
      <c r="F80" s="7" t="n"/>
      <c r="G80" s="7" t="n"/>
    </row>
    <row r="81">
      <c r="B81" s="7" t="n"/>
      <c r="C81" s="7" t="n"/>
      <c r="D81" s="7" t="n"/>
      <c r="E81" s="7" t="n"/>
      <c r="F81" s="7" t="n"/>
      <c r="G81" s="7" t="n"/>
    </row>
    <row r="82">
      <c r="B82" s="7" t="n"/>
      <c r="C82" s="7" t="n"/>
      <c r="D82" s="7" t="n"/>
      <c r="E82" s="7" t="n"/>
      <c r="F82" s="7" t="n"/>
      <c r="G82" s="7" t="n"/>
    </row>
    <row r="83">
      <c r="B83" s="7" t="n"/>
      <c r="C83" s="7" t="n"/>
      <c r="D83" s="7" t="n"/>
      <c r="E83" s="7" t="n"/>
      <c r="F83" s="7" t="n"/>
      <c r="G83" s="7" t="n"/>
    </row>
    <row r="84">
      <c r="B84" s="7" t="n"/>
      <c r="C84" s="7" t="n"/>
      <c r="D84" s="7" t="n"/>
      <c r="E84" s="7" t="n"/>
      <c r="F84" s="7" t="n"/>
      <c r="G84" s="7" t="n"/>
    </row>
    <row r="85">
      <c r="B85" s="7" t="n"/>
      <c r="C85" s="7" t="n"/>
      <c r="D85" s="7" t="n"/>
      <c r="E85" s="7" t="n"/>
      <c r="F85" s="7" t="n"/>
      <c r="G85" s="7" t="n"/>
    </row>
    <row r="86">
      <c r="B86" s="7" t="n"/>
      <c r="C86" s="7" t="n"/>
      <c r="D86" s="7" t="n"/>
      <c r="E86" s="7" t="n"/>
      <c r="F86" s="7" t="n"/>
      <c r="G86" s="7" t="n"/>
    </row>
    <row r="87">
      <c r="B87" s="7" t="n"/>
      <c r="C87" s="7" t="n"/>
      <c r="D87" s="7" t="n"/>
      <c r="E87" s="7" t="n"/>
      <c r="F87" s="7" t="n"/>
      <c r="G87" s="7" t="n"/>
    </row>
    <row r="88">
      <c r="B88" s="7" t="n"/>
      <c r="C88" s="7" t="n"/>
      <c r="D88" s="7" t="n"/>
      <c r="E88" s="7" t="n"/>
      <c r="F88" s="7" t="n"/>
      <c r="G88" s="7" t="n"/>
    </row>
    <row r="89">
      <c r="B89" s="7" t="n"/>
      <c r="C89" s="7" t="n"/>
      <c r="D89" s="7" t="n"/>
      <c r="E89" s="7" t="n"/>
      <c r="F89" s="7" t="n"/>
      <c r="G89" s="7" t="n"/>
    </row>
    <row r="90">
      <c r="B90" s="7" t="n"/>
      <c r="C90" s="7" t="n"/>
      <c r="D90" s="7" t="n"/>
      <c r="E90" s="7" t="n"/>
      <c r="F90" s="7" t="n"/>
      <c r="G90" s="7" t="n"/>
    </row>
    <row r="91">
      <c r="B91" s="7" t="n"/>
      <c r="C91" s="7" t="n"/>
      <c r="D91" s="7" t="n"/>
      <c r="E91" s="7" t="n"/>
      <c r="F91" s="7" t="n"/>
      <c r="G91" s="7" t="n"/>
    </row>
    <row r="92">
      <c r="B92" s="7" t="n"/>
      <c r="C92" s="7" t="n"/>
      <c r="D92" s="7" t="n"/>
      <c r="E92" s="7" t="n"/>
      <c r="F92" s="7" t="n"/>
      <c r="G92" s="7" t="n"/>
    </row>
    <row r="93">
      <c r="B93" s="7" t="n"/>
      <c r="C93" s="7" t="n"/>
      <c r="D93" s="7" t="n"/>
      <c r="E93" s="7" t="n"/>
      <c r="F93" s="7" t="n"/>
      <c r="G93" s="7" t="n"/>
    </row>
    <row r="94">
      <c r="B94" s="7" t="n"/>
      <c r="C94" s="7" t="n"/>
      <c r="D94" s="7" t="n"/>
      <c r="E94" s="7" t="n"/>
      <c r="F94" s="7" t="n"/>
      <c r="G94" s="7" t="n"/>
    </row>
    <row r="95">
      <c r="B95" s="7" t="n"/>
      <c r="C95" s="7" t="n"/>
      <c r="D95" s="7" t="n"/>
      <c r="E95" s="7" t="n"/>
      <c r="F95" s="7" t="n"/>
      <c r="G95" s="7" t="n"/>
    </row>
    <row r="96">
      <c r="B96" s="7" t="n"/>
      <c r="C96" s="7" t="n"/>
      <c r="D96" s="7" t="n"/>
      <c r="E96" s="7" t="n"/>
      <c r="F96" s="7" t="n"/>
      <c r="G96" s="7" t="n"/>
    </row>
    <row r="97">
      <c r="B97" s="7" t="n"/>
      <c r="C97" s="7" t="n"/>
      <c r="D97" s="7" t="n"/>
      <c r="E97" s="7" t="n"/>
      <c r="F97" s="7" t="n"/>
      <c r="G97" s="7" t="n"/>
    </row>
    <row r="98">
      <c r="B98" s="7" t="n"/>
      <c r="C98" s="7" t="n"/>
      <c r="D98" s="7" t="n"/>
      <c r="E98" s="7" t="n"/>
      <c r="F98" s="7" t="n"/>
      <c r="G98" s="7" t="n"/>
    </row>
    <row r="99">
      <c r="B99" s="7" t="n"/>
      <c r="C99" s="7" t="n"/>
      <c r="D99" s="7" t="n"/>
      <c r="E99" s="7" t="n"/>
      <c r="F99" s="7" t="n"/>
      <c r="G99" s="7" t="n"/>
    </row>
    <row r="100">
      <c r="B100" s="7" t="n"/>
      <c r="C100" s="7" t="n"/>
      <c r="D100" s="7" t="n"/>
      <c r="E100" s="7" t="n"/>
      <c r="F100" s="7" t="n"/>
      <c r="G100" s="7" t="n"/>
    </row>
    <row r="101">
      <c r="B101" s="7" t="n"/>
      <c r="C101" s="7" t="n"/>
      <c r="D101" s="7" t="n"/>
      <c r="E101" s="7" t="n"/>
      <c r="F101" s="7" t="n"/>
      <c r="G101" s="7" t="n"/>
    </row>
    <row r="102">
      <c r="B102" s="7" t="n"/>
      <c r="C102" s="7" t="n"/>
      <c r="D102" s="7" t="n"/>
      <c r="E102" s="7" t="n"/>
      <c r="F102" s="7" t="n"/>
      <c r="G102" s="7" t="n"/>
    </row>
    <row r="103">
      <c r="B103" s="7" t="n"/>
      <c r="C103" s="7" t="n"/>
      <c r="D103" s="7" t="n"/>
      <c r="E103" s="7" t="n"/>
      <c r="F103" s="7" t="n"/>
      <c r="G103" s="7" t="n"/>
    </row>
    <row r="104">
      <c r="B104" s="7" t="n"/>
      <c r="C104" s="7" t="n"/>
      <c r="D104" s="7" t="n"/>
      <c r="E104" s="7" t="n"/>
      <c r="F104" s="7" t="n"/>
      <c r="G104" s="7" t="n"/>
    </row>
    <row r="105">
      <c r="B105" s="7" t="n"/>
      <c r="C105" s="7" t="n"/>
      <c r="D105" s="7" t="n"/>
      <c r="E105" s="7" t="n"/>
      <c r="F105" s="7" t="n"/>
      <c r="G105" s="7" t="n"/>
    </row>
    <row r="106">
      <c r="B106" s="7" t="n"/>
      <c r="C106" s="7" t="n"/>
      <c r="D106" s="7" t="n"/>
      <c r="E106" s="7" t="n"/>
      <c r="F106" s="7" t="n"/>
      <c r="G106" s="7" t="n"/>
    </row>
    <row r="107">
      <c r="B107" s="7" t="n"/>
      <c r="C107" s="7" t="n"/>
      <c r="D107" s="7" t="n"/>
      <c r="E107" s="7" t="n"/>
      <c r="F107" s="7" t="n"/>
      <c r="G107" s="7" t="n"/>
    </row>
    <row r="108">
      <c r="B108" s="7" t="n"/>
      <c r="C108" s="7" t="n"/>
      <c r="D108" s="7" t="n"/>
      <c r="E108" s="7" t="n"/>
      <c r="F108" s="7" t="n"/>
      <c r="G108" s="7" t="n"/>
    </row>
    <row r="109">
      <c r="B109" s="7" t="n"/>
      <c r="C109" s="7" t="n"/>
      <c r="D109" s="7" t="n"/>
      <c r="E109" s="7" t="n"/>
      <c r="F109" s="7" t="n"/>
      <c r="G109" s="7" t="n"/>
    </row>
    <row r="110">
      <c r="B110" s="7" t="n"/>
      <c r="C110" s="7" t="n"/>
      <c r="D110" s="7" t="n"/>
      <c r="E110" s="7" t="n"/>
      <c r="F110" s="7" t="n"/>
      <c r="G110" s="7" t="n"/>
    </row>
    <row r="111">
      <c r="B111" s="7" t="n"/>
      <c r="C111" s="7" t="n"/>
      <c r="D111" s="7" t="n"/>
      <c r="E111" s="7" t="n"/>
      <c r="F111" s="7" t="n"/>
      <c r="G111" s="7" t="n"/>
    </row>
    <row r="112">
      <c r="B112" s="7" t="n"/>
      <c r="C112" s="7" t="n"/>
      <c r="D112" s="7" t="n"/>
      <c r="E112" s="7" t="n"/>
      <c r="F112" s="7" t="n"/>
      <c r="G112" s="7" t="n"/>
    </row>
    <row r="113">
      <c r="B113" s="7" t="n"/>
      <c r="C113" s="7" t="n"/>
      <c r="D113" s="7" t="n"/>
      <c r="E113" s="7" t="n"/>
      <c r="F113" s="7" t="n"/>
      <c r="G113" s="7" t="n"/>
    </row>
    <row r="114">
      <c r="B114" s="7" t="n"/>
      <c r="C114" s="7" t="n"/>
      <c r="D114" s="7" t="n"/>
      <c r="E114" s="7" t="n"/>
      <c r="F114" s="7" t="n"/>
      <c r="G114" s="7" t="n"/>
    </row>
    <row r="115">
      <c r="B115" s="7" t="n"/>
      <c r="C115" s="7" t="n"/>
      <c r="D115" s="7" t="n"/>
      <c r="E115" s="7" t="n"/>
      <c r="F115" s="7" t="n"/>
      <c r="G115" s="7" t="n"/>
    </row>
    <row r="116">
      <c r="B116" s="7" t="n"/>
      <c r="C116" s="7" t="n"/>
      <c r="D116" s="7" t="n"/>
      <c r="E116" s="7" t="n"/>
      <c r="F116" s="7" t="n"/>
      <c r="G116" s="7" t="n"/>
    </row>
    <row r="117">
      <c r="B117" s="7" t="n"/>
      <c r="C117" s="7" t="n"/>
      <c r="D117" s="7" t="n"/>
      <c r="E117" s="7" t="n"/>
      <c r="F117" s="7" t="n"/>
      <c r="G117" s="7" t="n"/>
    </row>
    <row r="118">
      <c r="B118" s="7" t="n"/>
      <c r="C118" s="7" t="n"/>
      <c r="D118" s="7" t="n"/>
      <c r="E118" s="7" t="n"/>
      <c r="F118" s="7" t="n"/>
      <c r="G118" s="7" t="n"/>
    </row>
    <row r="119">
      <c r="B119" s="7" t="n"/>
      <c r="C119" s="7" t="n"/>
      <c r="D119" s="7" t="n"/>
      <c r="E119" s="7" t="n"/>
      <c r="F119" s="7" t="n"/>
      <c r="G119" s="7" t="n"/>
    </row>
    <row r="120">
      <c r="B120" s="7" t="n"/>
      <c r="C120" s="7" t="n"/>
      <c r="D120" s="7" t="n"/>
      <c r="E120" s="7" t="n"/>
      <c r="F120" s="7" t="n"/>
      <c r="G120" s="7" t="n"/>
    </row>
    <row r="121">
      <c r="B121" s="7" t="n"/>
      <c r="C121" s="7" t="n"/>
      <c r="D121" s="7" t="n"/>
      <c r="E121" s="7" t="n"/>
      <c r="F121" s="7" t="n"/>
      <c r="G121" s="7" t="n"/>
    </row>
    <row r="122">
      <c r="B122" s="7" t="n"/>
      <c r="C122" s="7" t="n"/>
      <c r="D122" s="7" t="n"/>
      <c r="E122" s="7" t="n"/>
      <c r="F122" s="7" t="n"/>
      <c r="G122" s="7" t="n"/>
    </row>
    <row r="123">
      <c r="B123" s="7" t="n"/>
      <c r="C123" s="7" t="n"/>
      <c r="D123" s="7" t="n"/>
      <c r="E123" s="7" t="n"/>
      <c r="F123" s="7" t="n"/>
      <c r="G123" s="7" t="n"/>
    </row>
    <row r="124">
      <c r="B124" s="7" t="n"/>
      <c r="C124" s="7" t="n"/>
      <c r="D124" s="7" t="n"/>
      <c r="E124" s="7" t="n"/>
      <c r="F124" s="7" t="n"/>
      <c r="G124" s="7" t="n"/>
    </row>
    <row r="125">
      <c r="B125" s="7" t="n"/>
      <c r="C125" s="7" t="n"/>
      <c r="D125" s="7" t="n"/>
      <c r="E125" s="7" t="n"/>
      <c r="F125" s="7" t="n"/>
      <c r="G125" s="7" t="n"/>
    </row>
    <row r="126">
      <c r="B126" s="7" t="n"/>
      <c r="C126" s="7" t="n"/>
      <c r="D126" s="7" t="n"/>
      <c r="E126" s="7" t="n"/>
      <c r="F126" s="7" t="n"/>
      <c r="G126" s="7" t="n"/>
    </row>
    <row r="127">
      <c r="B127" s="7" t="n"/>
      <c r="C127" s="7" t="n"/>
      <c r="D127" s="7" t="n"/>
      <c r="E127" s="7" t="n"/>
      <c r="F127" s="7" t="n"/>
      <c r="G127" s="7" t="n"/>
    </row>
    <row r="128">
      <c r="B128" s="7" t="n"/>
      <c r="C128" s="7" t="n"/>
      <c r="D128" s="7" t="n"/>
      <c r="E128" s="7" t="n"/>
      <c r="F128" s="7" t="n"/>
      <c r="G128" s="7" t="n"/>
    </row>
    <row r="129">
      <c r="B129" s="7" t="n"/>
      <c r="C129" s="7" t="n"/>
      <c r="D129" s="7" t="n"/>
      <c r="E129" s="7" t="n"/>
      <c r="F129" s="7" t="n"/>
      <c r="G129" s="7" t="n"/>
    </row>
    <row r="130">
      <c r="B130" s="7" t="n"/>
      <c r="C130" s="7" t="n"/>
      <c r="D130" s="7" t="n"/>
      <c r="E130" s="7" t="n"/>
      <c r="F130" s="7" t="n"/>
      <c r="G130" s="7" t="n"/>
    </row>
    <row r="131">
      <c r="B131" s="7" t="n"/>
      <c r="C131" s="7" t="n"/>
      <c r="D131" s="7" t="n"/>
      <c r="E131" s="7" t="n"/>
      <c r="F131" s="7" t="n"/>
      <c r="G131" s="7" t="n"/>
    </row>
    <row r="132">
      <c r="B132" s="7" t="n"/>
      <c r="C132" s="7" t="n"/>
      <c r="D132" s="7" t="n"/>
      <c r="E132" s="7" t="n"/>
      <c r="F132" s="7" t="n"/>
      <c r="G132" s="7" t="n"/>
    </row>
    <row r="133">
      <c r="B133" s="7" t="n"/>
      <c r="C133" s="7" t="n"/>
      <c r="D133" s="7" t="n"/>
      <c r="E133" s="7" t="n"/>
      <c r="F133" s="7" t="n"/>
      <c r="G133" s="7" t="n"/>
    </row>
    <row r="134">
      <c r="B134" s="7" t="n"/>
      <c r="C134" s="7" t="n"/>
      <c r="D134" s="7" t="n"/>
      <c r="E134" s="7" t="n"/>
      <c r="F134" s="7" t="n"/>
      <c r="G134" s="7" t="n"/>
    </row>
    <row r="135">
      <c r="B135" s="7" t="n"/>
      <c r="C135" s="7" t="n"/>
      <c r="D135" s="7" t="n"/>
      <c r="E135" s="7" t="n"/>
      <c r="F135" s="7" t="n"/>
      <c r="G135" s="7" t="n"/>
    </row>
    <row r="136">
      <c r="B136" s="7" t="n"/>
      <c r="C136" s="7" t="n"/>
      <c r="D136" s="7" t="n"/>
      <c r="E136" s="7" t="n"/>
      <c r="F136" s="7" t="n"/>
      <c r="G136" s="7" t="n"/>
    </row>
    <row r="137">
      <c r="B137" s="7" t="n"/>
      <c r="C137" s="7" t="n"/>
      <c r="D137" s="7" t="n"/>
      <c r="E137" s="7" t="n"/>
      <c r="F137" s="7" t="n"/>
      <c r="G137" s="7" t="n"/>
    </row>
    <row r="138">
      <c r="B138" s="7" t="n"/>
      <c r="C138" s="7" t="n"/>
      <c r="D138" s="7" t="n"/>
      <c r="E138" s="7" t="n"/>
      <c r="F138" s="7" t="n"/>
      <c r="G138" s="7" t="n"/>
    </row>
    <row r="139">
      <c r="B139" s="7" t="n"/>
      <c r="C139" s="7" t="n"/>
      <c r="D139" s="7" t="n"/>
      <c r="E139" s="7" t="n"/>
      <c r="F139" s="7" t="n"/>
      <c r="G139" s="7" t="n"/>
    </row>
    <row r="140">
      <c r="B140" s="7" t="n"/>
      <c r="C140" s="7" t="n"/>
      <c r="D140" s="7" t="n"/>
      <c r="E140" s="7" t="n"/>
      <c r="F140" s="7" t="n"/>
      <c r="G140" s="7" t="n"/>
    </row>
    <row r="141">
      <c r="B141" s="7" t="n"/>
      <c r="C141" s="7" t="n"/>
      <c r="D141" s="7" t="n"/>
      <c r="E141" s="7" t="n"/>
      <c r="F141" s="7" t="n"/>
      <c r="G141" s="7" t="n"/>
    </row>
    <row r="142">
      <c r="B142" s="7" t="n"/>
      <c r="C142" s="7" t="n"/>
      <c r="D142" s="7" t="n"/>
      <c r="E142" s="7" t="n"/>
      <c r="F142" s="7" t="n"/>
      <c r="G142" s="7" t="n"/>
    </row>
    <row r="143">
      <c r="B143" s="7" t="n"/>
      <c r="C143" s="7" t="n"/>
      <c r="D143" s="7" t="n"/>
      <c r="E143" s="7" t="n"/>
      <c r="F143" s="7" t="n"/>
      <c r="G143" s="7" t="n"/>
    </row>
    <row r="144">
      <c r="B144" s="7" t="n"/>
      <c r="C144" s="7" t="n"/>
      <c r="D144" s="7" t="n"/>
      <c r="E144" s="7" t="n"/>
      <c r="F144" s="7" t="n"/>
      <c r="G144" s="7" t="n"/>
    </row>
    <row r="145">
      <c r="B145" s="7" t="n"/>
      <c r="C145" s="7" t="n"/>
      <c r="D145" s="7" t="n"/>
      <c r="E145" s="7" t="n"/>
      <c r="F145" s="7" t="n"/>
      <c r="G145" s="7" t="n"/>
    </row>
    <row r="146">
      <c r="B146" s="7" t="n"/>
      <c r="C146" s="7" t="n"/>
      <c r="D146" s="7" t="n"/>
      <c r="E146" s="7" t="n"/>
      <c r="F146" s="7" t="n"/>
      <c r="G146" s="7" t="n"/>
    </row>
    <row r="147">
      <c r="B147" s="7" t="n"/>
      <c r="C147" s="7" t="n"/>
      <c r="D147" s="7" t="n"/>
      <c r="E147" s="7" t="n"/>
      <c r="F147" s="7" t="n"/>
      <c r="G147" s="7" t="n"/>
    </row>
    <row r="148">
      <c r="B148" s="7" t="n"/>
      <c r="C148" s="7" t="n"/>
      <c r="D148" s="7" t="n"/>
      <c r="E148" s="7" t="n"/>
      <c r="F148" s="7" t="n"/>
      <c r="G148" s="7" t="n"/>
    </row>
    <row r="149">
      <c r="B149" s="7" t="n"/>
      <c r="C149" s="7" t="n"/>
      <c r="D149" s="7" t="n"/>
      <c r="E149" s="7" t="n"/>
      <c r="F149" s="7" t="n"/>
      <c r="G149" s="7" t="n"/>
    </row>
    <row r="150">
      <c r="B150" s="7" t="n"/>
      <c r="C150" s="7" t="n"/>
      <c r="D150" s="7" t="n"/>
      <c r="E150" s="7" t="n"/>
      <c r="F150" s="7" t="n"/>
      <c r="G150" s="7" t="n"/>
    </row>
    <row r="151">
      <c r="B151" s="7" t="n"/>
      <c r="C151" s="7" t="n"/>
      <c r="D151" s="7" t="n"/>
      <c r="E151" s="7" t="n"/>
      <c r="F151" s="7" t="n"/>
      <c r="G151" s="7" t="n"/>
    </row>
    <row r="152">
      <c r="B152" s="7" t="n"/>
      <c r="C152" s="7" t="n"/>
      <c r="D152" s="7" t="n"/>
      <c r="E152" s="7" t="n"/>
      <c r="F152" s="7" t="n"/>
      <c r="G152" s="7" t="n"/>
    </row>
    <row r="153">
      <c r="B153" s="7" t="n"/>
      <c r="C153" s="7" t="n"/>
      <c r="D153" s="7" t="n"/>
      <c r="E153" s="7" t="n"/>
      <c r="F153" s="7" t="n"/>
      <c r="G153" s="7" t="n"/>
    </row>
    <row r="154">
      <c r="B154" s="7" t="n"/>
      <c r="C154" s="7" t="n"/>
      <c r="D154" s="7" t="n"/>
      <c r="E154" s="7" t="n"/>
      <c r="F154" s="7" t="n"/>
      <c r="G154" s="7" t="n"/>
    </row>
    <row r="155">
      <c r="B155" s="7" t="n"/>
      <c r="C155" s="7" t="n"/>
      <c r="D155" s="7" t="n"/>
      <c r="E155" s="7" t="n"/>
      <c r="F155" s="7" t="n"/>
      <c r="G155" s="7" t="n"/>
    </row>
    <row r="156">
      <c r="B156" s="7" t="n"/>
      <c r="C156" s="7" t="n"/>
      <c r="D156" s="7" t="n"/>
      <c r="E156" s="7" t="n"/>
      <c r="F156" s="7" t="n"/>
      <c r="G156" s="7" t="n"/>
    </row>
    <row r="157">
      <c r="B157" s="7" t="n"/>
      <c r="C157" s="7" t="n"/>
      <c r="D157" s="7" t="n"/>
      <c r="E157" s="7" t="n"/>
      <c r="F157" s="7" t="n"/>
      <c r="G157" s="7" t="n"/>
    </row>
    <row r="158">
      <c r="B158" s="7" t="n"/>
      <c r="C158" s="7" t="n"/>
      <c r="D158" s="7" t="n"/>
      <c r="E158" s="7" t="n"/>
      <c r="F158" s="7" t="n"/>
      <c r="G158" s="7" t="n"/>
    </row>
    <row r="159">
      <c r="B159" s="7" t="n"/>
      <c r="C159" s="7" t="n"/>
      <c r="D159" s="7" t="n"/>
      <c r="E159" s="7" t="n"/>
      <c r="F159" s="7" t="n"/>
      <c r="G159" s="7" t="n"/>
    </row>
    <row r="160">
      <c r="B160" s="7" t="n"/>
      <c r="C160" s="7" t="n"/>
      <c r="D160" s="7" t="n"/>
      <c r="E160" s="7" t="n"/>
      <c r="F160" s="7" t="n"/>
      <c r="G160" s="7" t="n"/>
    </row>
    <row r="161">
      <c r="B161" s="7" t="n"/>
      <c r="C161" s="7" t="n"/>
      <c r="D161" s="7" t="n"/>
      <c r="E161" s="7" t="n"/>
      <c r="F161" s="7" t="n"/>
      <c r="G161" s="7" t="n"/>
    </row>
    <row r="162">
      <c r="B162" s="7" t="n"/>
      <c r="C162" s="7" t="n"/>
      <c r="D162" s="7" t="n"/>
      <c r="E162" s="7" t="n"/>
      <c r="F162" s="7" t="n"/>
      <c r="G162" s="7" t="n"/>
    </row>
    <row r="163">
      <c r="B163" s="7" t="n"/>
      <c r="C163" s="7" t="n"/>
      <c r="D163" s="7" t="n"/>
      <c r="E163" s="7" t="n"/>
      <c r="F163" s="7" t="n"/>
      <c r="G163" s="7" t="n"/>
    </row>
    <row r="164">
      <c r="B164" s="7" t="n"/>
      <c r="C164" s="7" t="n"/>
      <c r="D164" s="7" t="n"/>
      <c r="E164" s="7" t="n"/>
      <c r="F164" s="7" t="n"/>
      <c r="G164" s="7" t="n"/>
    </row>
    <row r="165">
      <c r="B165" s="7" t="n"/>
      <c r="C165" s="7" t="n"/>
      <c r="D165" s="7" t="n"/>
      <c r="E165" s="7" t="n"/>
      <c r="F165" s="7" t="n"/>
      <c r="G165" s="7" t="n"/>
    </row>
    <row r="166">
      <c r="B166" s="7" t="n"/>
      <c r="C166" s="7" t="n"/>
      <c r="D166" s="7" t="n"/>
      <c r="E166" s="7" t="n"/>
      <c r="F166" s="7" t="n"/>
      <c r="G166" s="7" t="n"/>
    </row>
    <row r="167">
      <c r="B167" s="7" t="n"/>
      <c r="C167" s="7" t="n"/>
      <c r="D167" s="7" t="n"/>
      <c r="E167" s="7" t="n"/>
      <c r="F167" s="7" t="n"/>
      <c r="G167" s="7" t="n"/>
    </row>
    <row r="168">
      <c r="B168" s="7" t="n"/>
      <c r="C168" s="7" t="n"/>
      <c r="D168" s="7" t="n"/>
      <c r="E168" s="7" t="n"/>
      <c r="F168" s="7" t="n"/>
      <c r="G168" s="7" t="n"/>
    </row>
    <row r="169">
      <c r="B169" s="7" t="n"/>
      <c r="C169" s="7" t="n"/>
      <c r="D169" s="7" t="n"/>
      <c r="E169" s="7" t="n"/>
      <c r="F169" s="7" t="n"/>
      <c r="G169" s="7" t="n"/>
    </row>
    <row r="170">
      <c r="B170" s="7" t="n"/>
      <c r="C170" s="7" t="n"/>
      <c r="D170" s="7" t="n"/>
      <c r="E170" s="7" t="n"/>
      <c r="F170" s="7" t="n"/>
      <c r="G170" s="7" t="n"/>
    </row>
    <row r="171">
      <c r="B171" s="7" t="n"/>
      <c r="C171" s="7" t="n"/>
      <c r="D171" s="7" t="n"/>
      <c r="E171" s="7" t="n"/>
      <c r="F171" s="7" t="n"/>
      <c r="G171" s="7" t="n"/>
    </row>
    <row r="172">
      <c r="B172" s="7" t="n"/>
      <c r="C172" s="7" t="n"/>
      <c r="D172" s="7" t="n"/>
      <c r="E172" s="7" t="n"/>
      <c r="F172" s="7" t="n"/>
      <c r="G172" s="7" t="n"/>
    </row>
    <row r="173">
      <c r="B173" s="7" t="n"/>
      <c r="C173" s="7" t="n"/>
      <c r="D173" s="7" t="n"/>
      <c r="E173" s="7" t="n"/>
      <c r="F173" s="7" t="n"/>
      <c r="G173" s="7" t="n"/>
    </row>
    <row r="174">
      <c r="B174" s="7" t="n"/>
      <c r="C174" s="7" t="n"/>
      <c r="D174" s="7" t="n"/>
      <c r="E174" s="7" t="n"/>
      <c r="F174" s="7" t="n"/>
      <c r="G174" s="7" t="n"/>
    </row>
    <row r="175">
      <c r="B175" s="7" t="n"/>
      <c r="C175" s="7" t="n"/>
      <c r="D175" s="7" t="n"/>
      <c r="E175" s="7" t="n"/>
      <c r="F175" s="7" t="n"/>
      <c r="G175" s="7" t="n"/>
    </row>
    <row r="176">
      <c r="B176" s="7" t="n"/>
      <c r="C176" s="7" t="n"/>
      <c r="D176" s="7" t="n"/>
      <c r="E176" s="7" t="n"/>
      <c r="F176" s="7" t="n"/>
      <c r="G176" s="7" t="n"/>
    </row>
    <row r="177">
      <c r="B177" s="7" t="n"/>
      <c r="C177" s="7" t="n"/>
      <c r="D177" s="7" t="n"/>
      <c r="E177" s="7" t="n"/>
      <c r="F177" s="7" t="n"/>
      <c r="G177" s="7" t="n"/>
    </row>
    <row r="178">
      <c r="B178" s="7" t="n"/>
      <c r="C178" s="7" t="n"/>
      <c r="D178" s="7" t="n"/>
      <c r="E178" s="7" t="n"/>
      <c r="F178" s="7" t="n"/>
      <c r="G178" s="7" t="n"/>
    </row>
    <row r="179">
      <c r="B179" s="7" t="n"/>
      <c r="C179" s="7" t="n"/>
      <c r="D179" s="7" t="n"/>
      <c r="E179" s="7" t="n"/>
      <c r="F179" s="7" t="n"/>
      <c r="G179" s="7" t="n"/>
    </row>
    <row r="180">
      <c r="B180" s="7" t="n"/>
      <c r="C180" s="7" t="n"/>
      <c r="D180" s="7" t="n"/>
      <c r="E180" s="7" t="n"/>
      <c r="F180" s="7" t="n"/>
      <c r="G180" s="7" t="n"/>
    </row>
    <row r="181">
      <c r="B181" s="7" t="n"/>
      <c r="C181" s="7" t="n"/>
      <c r="D181" s="7" t="n"/>
      <c r="E181" s="7" t="n"/>
      <c r="F181" s="7" t="n"/>
      <c r="G181" s="7" t="n"/>
    </row>
    <row r="182">
      <c r="B182" s="7" t="n"/>
      <c r="C182" s="7" t="n"/>
      <c r="D182" s="7" t="n"/>
      <c r="E182" s="7" t="n"/>
      <c r="F182" s="7" t="n"/>
      <c r="G182" s="7" t="n"/>
    </row>
    <row r="183">
      <c r="B183" s="7" t="n"/>
      <c r="C183" s="7" t="n"/>
      <c r="D183" s="7" t="n"/>
      <c r="E183" s="7" t="n"/>
      <c r="F183" s="7" t="n"/>
      <c r="G183" s="7" t="n"/>
    </row>
    <row r="184">
      <c r="B184" s="7" t="n"/>
      <c r="C184" s="7" t="n"/>
      <c r="D184" s="7" t="n"/>
      <c r="E184" s="7" t="n"/>
      <c r="F184" s="7" t="n"/>
      <c r="G184" s="7" t="n"/>
    </row>
    <row r="185">
      <c r="B185" s="7" t="n"/>
      <c r="C185" s="7" t="n"/>
      <c r="D185" s="7" t="n"/>
      <c r="E185" s="7" t="n"/>
      <c r="F185" s="7" t="n"/>
      <c r="G185" s="7" t="n"/>
    </row>
    <row r="186">
      <c r="B186" s="7" t="n"/>
      <c r="C186" s="7" t="n"/>
      <c r="D186" s="7" t="n"/>
      <c r="E186" s="7" t="n"/>
      <c r="F186" s="7" t="n"/>
      <c r="G186" s="7" t="n"/>
    </row>
    <row r="187">
      <c r="B187" s="7" t="n"/>
      <c r="C187" s="7" t="n"/>
      <c r="D187" s="7" t="n"/>
      <c r="E187" s="7" t="n"/>
      <c r="F187" s="7" t="n"/>
      <c r="G187" s="7" t="n"/>
    </row>
    <row r="188">
      <c r="B188" s="7" t="n"/>
      <c r="C188" s="7" t="n"/>
      <c r="D188" s="7" t="n"/>
      <c r="E188" s="7" t="n"/>
      <c r="F188" s="7" t="n"/>
      <c r="G188" s="7" t="n"/>
    </row>
    <row r="189">
      <c r="B189" s="7" t="n"/>
      <c r="C189" s="7" t="n"/>
      <c r="D189" s="7" t="n"/>
      <c r="E189" s="7" t="n"/>
      <c r="F189" s="7" t="n"/>
      <c r="G189" s="7" t="n"/>
    </row>
    <row r="190">
      <c r="B190" s="7" t="n"/>
      <c r="C190" s="7" t="n"/>
      <c r="D190" s="7" t="n"/>
      <c r="E190" s="7" t="n"/>
      <c r="F190" s="7" t="n"/>
      <c r="G190" s="7" t="n"/>
    </row>
    <row r="191">
      <c r="B191" s="7" t="n"/>
      <c r="C191" s="7" t="n"/>
      <c r="D191" s="7" t="n"/>
      <c r="E191" s="7" t="n"/>
      <c r="F191" s="7" t="n"/>
      <c r="G191" s="7" t="n"/>
    </row>
    <row r="192">
      <c r="B192" s="7" t="n"/>
      <c r="C192" s="7" t="n"/>
      <c r="D192" s="7" t="n"/>
      <c r="E192" s="7" t="n"/>
      <c r="F192" s="7" t="n"/>
      <c r="G192" s="7" t="n"/>
    </row>
    <row r="193">
      <c r="B193" s="7" t="n"/>
      <c r="C193" s="7" t="n"/>
      <c r="D193" s="7" t="n"/>
      <c r="E193" s="7" t="n"/>
      <c r="F193" s="7" t="n"/>
      <c r="G193" s="7" t="n"/>
    </row>
    <row r="194">
      <c r="B194" s="7" t="n"/>
      <c r="C194" s="7" t="n"/>
      <c r="D194" s="7" t="n"/>
      <c r="E194" s="7" t="n"/>
      <c r="F194" s="7" t="n"/>
      <c r="G194" s="7" t="n"/>
    </row>
    <row r="195">
      <c r="B195" s="7" t="n"/>
      <c r="C195" s="7" t="n"/>
      <c r="D195" s="7" t="n"/>
      <c r="E195" s="7" t="n"/>
      <c r="F195" s="7" t="n"/>
      <c r="G195" s="7" t="n"/>
    </row>
    <row r="196">
      <c r="B196" s="7" t="n"/>
      <c r="C196" s="7" t="n"/>
      <c r="D196" s="7" t="n"/>
      <c r="E196" s="7" t="n"/>
      <c r="F196" s="7" t="n"/>
      <c r="G196" s="7" t="n"/>
    </row>
    <row r="197">
      <c r="B197" s="7" t="n"/>
      <c r="C197" s="7" t="n"/>
      <c r="D197" s="7" t="n"/>
      <c r="E197" s="7" t="n"/>
      <c r="F197" s="7" t="n"/>
      <c r="G197" s="7" t="n"/>
    </row>
    <row r="198">
      <c r="B198" s="7" t="n"/>
      <c r="C198" s="7" t="n"/>
      <c r="D198" s="7" t="n"/>
      <c r="E198" s="7" t="n"/>
      <c r="F198" s="7" t="n"/>
      <c r="G198" s="7" t="n"/>
    </row>
    <row r="199">
      <c r="B199" s="7" t="n"/>
      <c r="C199" s="7" t="n"/>
      <c r="D199" s="7" t="n"/>
      <c r="E199" s="7" t="n"/>
      <c r="F199" s="7" t="n"/>
      <c r="G199" s="7" t="n"/>
    </row>
    <row r="200">
      <c r="B200" s="7" t="n"/>
      <c r="C200" s="7" t="n"/>
      <c r="D200" s="7" t="n"/>
      <c r="E200" s="7" t="n"/>
      <c r="F200" s="7" t="n"/>
      <c r="G200" s="7" t="n"/>
    </row>
    <row r="201">
      <c r="B201" s="7" t="n"/>
      <c r="C201" s="7" t="n"/>
      <c r="D201" s="7" t="n"/>
      <c r="E201" s="7" t="n"/>
      <c r="F201" s="7" t="n"/>
      <c r="G201" s="7" t="n"/>
    </row>
    <row r="202">
      <c r="B202" s="7" t="n"/>
      <c r="C202" s="7" t="n"/>
      <c r="D202" s="7" t="n"/>
      <c r="E202" s="7" t="n"/>
      <c r="F202" s="7" t="n"/>
      <c r="G202" s="7" t="n"/>
    </row>
    <row r="203">
      <c r="B203" s="7" t="n"/>
      <c r="C203" s="7" t="n"/>
      <c r="D203" s="7" t="n"/>
      <c r="E203" s="7" t="n"/>
      <c r="F203" s="7" t="n"/>
      <c r="G203" s="7" t="n"/>
    </row>
    <row r="204">
      <c r="B204" s="7" t="n"/>
      <c r="C204" s="7" t="n"/>
      <c r="D204" s="7" t="n"/>
      <c r="E204" s="7" t="n"/>
      <c r="F204" s="7" t="n"/>
      <c r="G204" s="7" t="n"/>
    </row>
    <row r="205">
      <c r="B205" s="7" t="n"/>
      <c r="C205" s="7" t="n"/>
      <c r="D205" s="7" t="n"/>
      <c r="E205" s="7" t="n"/>
      <c r="F205" s="7" t="n"/>
      <c r="G205" s="7" t="n"/>
    </row>
    <row r="206">
      <c r="B206" s="7" t="n"/>
      <c r="C206" s="7" t="n"/>
      <c r="D206" s="7" t="n"/>
      <c r="E206" s="7" t="n"/>
      <c r="F206" s="7" t="n"/>
      <c r="G206" s="7" t="n"/>
    </row>
    <row r="207">
      <c r="B207" s="7" t="n"/>
      <c r="C207" s="7" t="n"/>
      <c r="D207" s="7" t="n"/>
      <c r="E207" s="7" t="n"/>
      <c r="F207" s="7" t="n"/>
      <c r="G207" s="7" t="n"/>
    </row>
    <row r="208">
      <c r="B208" s="7" t="n"/>
      <c r="C208" s="7" t="n"/>
      <c r="D208" s="7" t="n"/>
      <c r="E208" s="7" t="n"/>
      <c r="F208" s="7" t="n"/>
      <c r="G208" s="7" t="n"/>
    </row>
    <row r="209">
      <c r="B209" s="7" t="n"/>
      <c r="C209" s="7" t="n"/>
      <c r="D209" s="7" t="n"/>
      <c r="E209" s="7" t="n"/>
      <c r="F209" s="7" t="n"/>
      <c r="G209" s="7" t="n"/>
    </row>
    <row r="210">
      <c r="B210" s="7" t="n"/>
      <c r="C210" s="7" t="n"/>
      <c r="D210" s="7" t="n"/>
      <c r="E210" s="7" t="n"/>
      <c r="F210" s="7" t="n"/>
      <c r="G210" s="7" t="n"/>
    </row>
    <row r="211">
      <c r="B211" s="7" t="n"/>
      <c r="C211" s="7" t="n"/>
      <c r="D211" s="7" t="n"/>
      <c r="E211" s="7" t="n"/>
      <c r="F211" s="7" t="n"/>
      <c r="G211" s="7" t="n"/>
    </row>
    <row r="212">
      <c r="B212" s="7" t="n"/>
      <c r="C212" s="7" t="n"/>
      <c r="D212" s="7" t="n"/>
      <c r="E212" s="7" t="n"/>
      <c r="F212" s="7" t="n"/>
      <c r="G212" s="7" t="n"/>
    </row>
    <row r="213">
      <c r="B213" s="7" t="n"/>
      <c r="C213" s="7" t="n"/>
      <c r="D213" s="7" t="n"/>
      <c r="E213" s="7" t="n"/>
      <c r="F213" s="7" t="n"/>
      <c r="G213" s="7" t="n"/>
    </row>
    <row r="214">
      <c r="B214" s="7" t="n"/>
      <c r="C214" s="7" t="n"/>
      <c r="D214" s="7" t="n"/>
      <c r="E214" s="7" t="n"/>
      <c r="F214" s="7" t="n"/>
      <c r="G214" s="7" t="n"/>
    </row>
    <row r="215">
      <c r="B215" s="7" t="n"/>
      <c r="C215" s="7" t="n"/>
      <c r="D215" s="7" t="n"/>
      <c r="E215" s="7" t="n"/>
      <c r="F215" s="7" t="n"/>
      <c r="G215" s="7" t="n"/>
    </row>
    <row r="216">
      <c r="B216" s="7" t="n"/>
      <c r="C216" s="7" t="n"/>
      <c r="D216" s="7" t="n"/>
      <c r="E216" s="7" t="n"/>
      <c r="F216" s="7" t="n"/>
      <c r="G216" s="7" t="n"/>
    </row>
    <row r="217">
      <c r="B217" s="7" t="n"/>
      <c r="C217" s="7" t="n"/>
      <c r="D217" s="7" t="n"/>
      <c r="E217" s="7" t="n"/>
      <c r="F217" s="7" t="n"/>
      <c r="G217" s="7" t="n"/>
    </row>
    <row r="218">
      <c r="B218" s="7" t="n"/>
      <c r="C218" s="7" t="n"/>
      <c r="D218" s="7" t="n"/>
      <c r="E218" s="7" t="n"/>
      <c r="F218" s="7" t="n"/>
      <c r="G218" s="7" t="n"/>
    </row>
    <row r="219">
      <c r="B219" s="7" t="n"/>
      <c r="C219" s="7" t="n"/>
      <c r="D219" s="7" t="n"/>
      <c r="E219" s="7" t="n"/>
      <c r="F219" s="7" t="n"/>
      <c r="G219" s="7" t="n"/>
    </row>
    <row r="220">
      <c r="B220" s="7" t="n"/>
      <c r="C220" s="7" t="n"/>
      <c r="D220" s="7" t="n"/>
      <c r="E220" s="7" t="n"/>
      <c r="F220" s="7" t="n"/>
      <c r="G220" s="7" t="n"/>
    </row>
    <row r="221">
      <c r="B221" s="7" t="n"/>
      <c r="C221" s="7" t="n"/>
      <c r="D221" s="7" t="n"/>
      <c r="E221" s="7" t="n"/>
      <c r="F221" s="7" t="n"/>
      <c r="G221" s="7" t="n"/>
    </row>
    <row r="222">
      <c r="B222" s="7" t="n"/>
      <c r="C222" s="7" t="n"/>
      <c r="D222" s="7" t="n"/>
      <c r="E222" s="7" t="n"/>
      <c r="F222" s="7" t="n"/>
      <c r="G222" s="7" t="n"/>
    </row>
    <row r="223">
      <c r="B223" s="7" t="n"/>
      <c r="C223" s="7" t="n"/>
      <c r="D223" s="7" t="n"/>
      <c r="E223" s="7" t="n"/>
      <c r="F223" s="7" t="n"/>
      <c r="G223" s="7" t="n"/>
    </row>
    <row r="224">
      <c r="B224" s="7" t="n"/>
      <c r="C224" s="7" t="n"/>
      <c r="D224" s="7" t="n"/>
      <c r="E224" s="7" t="n"/>
      <c r="F224" s="7" t="n"/>
      <c r="G224" s="7" t="n"/>
    </row>
    <row r="225">
      <c r="B225" s="7" t="n"/>
      <c r="C225" s="7" t="n"/>
      <c r="D225" s="7" t="n"/>
      <c r="E225" s="7" t="n"/>
      <c r="F225" s="7" t="n"/>
      <c r="G225" s="7" t="n"/>
    </row>
    <row r="226">
      <c r="B226" s="7" t="n"/>
      <c r="C226" s="7" t="n"/>
      <c r="D226" s="7" t="n"/>
      <c r="E226" s="7" t="n"/>
      <c r="F226" s="7" t="n"/>
      <c r="G226" s="7" t="n"/>
    </row>
    <row r="227">
      <c r="B227" s="7" t="n"/>
      <c r="C227" s="7" t="n"/>
      <c r="D227" s="7" t="n"/>
      <c r="E227" s="7" t="n"/>
      <c r="F227" s="7" t="n"/>
      <c r="G227" s="7" t="n"/>
    </row>
    <row r="228">
      <c r="B228" s="7" t="n"/>
      <c r="C228" s="7" t="n"/>
      <c r="D228" s="7" t="n"/>
      <c r="E228" s="7" t="n"/>
      <c r="F228" s="7" t="n"/>
      <c r="G228" s="7" t="n"/>
    </row>
    <row r="229">
      <c r="B229" s="7" t="n"/>
      <c r="C229" s="7" t="n"/>
      <c r="D229" s="7" t="n"/>
      <c r="E229" s="7" t="n"/>
      <c r="F229" s="7" t="n"/>
      <c r="G229" s="7" t="n"/>
    </row>
    <row r="230">
      <c r="B230" s="7" t="n"/>
      <c r="C230" s="7" t="n"/>
      <c r="D230" s="7" t="n"/>
      <c r="E230" s="7" t="n"/>
      <c r="F230" s="7" t="n"/>
      <c r="G230" s="7" t="n"/>
    </row>
    <row r="231">
      <c r="B231" s="7" t="n"/>
      <c r="C231" s="7" t="n"/>
      <c r="D231" s="7" t="n"/>
      <c r="E231" s="7" t="n"/>
      <c r="F231" s="7" t="n"/>
      <c r="G231" s="7" t="n"/>
    </row>
    <row r="232">
      <c r="B232" s="7" t="n"/>
      <c r="C232" s="7" t="n"/>
      <c r="D232" s="7" t="n"/>
      <c r="E232" s="7" t="n"/>
      <c r="F232" s="7" t="n"/>
      <c r="G232" s="7" t="n"/>
    </row>
    <row r="233">
      <c r="B233" s="7" t="n"/>
      <c r="C233" s="7" t="n"/>
      <c r="D233" s="7" t="n"/>
      <c r="E233" s="7" t="n"/>
      <c r="F233" s="7" t="n"/>
      <c r="G233" s="7" t="n"/>
    </row>
    <row r="234">
      <c r="B234" s="7" t="n"/>
      <c r="C234" s="7" t="n"/>
      <c r="D234" s="7" t="n"/>
      <c r="E234" s="7" t="n"/>
      <c r="F234" s="7" t="n"/>
      <c r="G234" s="7" t="n"/>
    </row>
    <row r="235">
      <c r="B235" s="7" t="n"/>
      <c r="C235" s="7" t="n"/>
      <c r="D235" s="7" t="n"/>
      <c r="E235" s="7" t="n"/>
      <c r="F235" s="7" t="n"/>
      <c r="G235" s="7" t="n"/>
    </row>
    <row r="236">
      <c r="B236" s="7" t="n"/>
      <c r="C236" s="7" t="n"/>
      <c r="D236" s="7" t="n"/>
      <c r="E236" s="7" t="n"/>
      <c r="F236" s="7" t="n"/>
      <c r="G236" s="7" t="n"/>
    </row>
    <row r="237">
      <c r="B237" s="7" t="n"/>
      <c r="C237" s="7" t="n"/>
      <c r="D237" s="7" t="n"/>
      <c r="E237" s="7" t="n"/>
      <c r="F237" s="7" t="n"/>
      <c r="G237" s="7" t="n"/>
    </row>
    <row r="238">
      <c r="B238" s="7" t="n"/>
      <c r="C238" s="7" t="n"/>
      <c r="D238" s="7" t="n"/>
      <c r="E238" s="7" t="n"/>
      <c r="F238" s="7" t="n"/>
      <c r="G238" s="7" t="n"/>
    </row>
    <row r="239">
      <c r="B239" s="7" t="n"/>
      <c r="C239" s="7" t="n"/>
      <c r="D239" s="7" t="n"/>
      <c r="E239" s="7" t="n"/>
      <c r="F239" s="7" t="n"/>
      <c r="G239" s="7" t="n"/>
    </row>
    <row r="240">
      <c r="B240" s="7" t="n"/>
      <c r="C240" s="7" t="n"/>
      <c r="D240" s="7" t="n"/>
      <c r="E240" s="7" t="n"/>
      <c r="F240" s="7" t="n"/>
      <c r="G240" s="7" t="n"/>
    </row>
    <row r="241">
      <c r="B241" s="7" t="n"/>
      <c r="C241" s="7" t="n"/>
      <c r="D241" s="7" t="n"/>
      <c r="E241" s="7" t="n"/>
      <c r="F241" s="7" t="n"/>
      <c r="G241" s="7" t="n"/>
    </row>
    <row r="242">
      <c r="B242" s="7" t="n"/>
      <c r="C242" s="7" t="n"/>
      <c r="D242" s="7" t="n"/>
      <c r="E242" s="7" t="n"/>
      <c r="F242" s="7" t="n"/>
      <c r="G242" s="7" t="n"/>
    </row>
    <row r="243">
      <c r="B243" s="7" t="n"/>
      <c r="C243" s="7" t="n"/>
      <c r="D243" s="7" t="n"/>
      <c r="E243" s="7" t="n"/>
      <c r="F243" s="7" t="n"/>
      <c r="G243" s="7" t="n"/>
    </row>
    <row r="244">
      <c r="B244" s="7" t="n"/>
      <c r="C244" s="7" t="n"/>
      <c r="D244" s="7" t="n"/>
      <c r="E244" s="7" t="n"/>
      <c r="F244" s="7" t="n"/>
      <c r="G244" s="7" t="n"/>
    </row>
    <row r="245">
      <c r="B245" s="7" t="n"/>
      <c r="C245" s="7" t="n"/>
      <c r="D245" s="7" t="n"/>
      <c r="E245" s="7" t="n"/>
      <c r="F245" s="7" t="n"/>
      <c r="G245" s="7" t="n"/>
    </row>
    <row r="246">
      <c r="B246" s="7" t="n"/>
      <c r="C246" s="7" t="n"/>
      <c r="D246" s="7" t="n"/>
      <c r="E246" s="7" t="n"/>
      <c r="F246" s="7" t="n"/>
      <c r="G246" s="7" t="n"/>
    </row>
    <row r="247">
      <c r="B247" s="7" t="n"/>
      <c r="C247" s="7" t="n"/>
      <c r="D247" s="7" t="n"/>
      <c r="E247" s="7" t="n"/>
      <c r="F247" s="7" t="n"/>
      <c r="G247" s="7" t="n"/>
    </row>
    <row r="248">
      <c r="B248" s="7" t="n"/>
      <c r="C248" s="7" t="n"/>
      <c r="D248" s="7" t="n"/>
      <c r="E248" s="7" t="n"/>
      <c r="F248" s="7" t="n"/>
      <c r="G248" s="7" t="n"/>
    </row>
    <row r="249">
      <c r="B249" s="7" t="n"/>
      <c r="C249" s="7" t="n"/>
      <c r="D249" s="7" t="n"/>
      <c r="E249" s="7" t="n"/>
      <c r="F249" s="7" t="n"/>
      <c r="G249" s="7" t="n"/>
    </row>
    <row r="250">
      <c r="B250" s="7" t="n"/>
      <c r="C250" s="7" t="n"/>
      <c r="D250" s="7" t="n"/>
      <c r="E250" s="7" t="n"/>
      <c r="F250" s="7" t="n"/>
      <c r="G250" s="7" t="n"/>
    </row>
    <row r="251">
      <c r="B251" s="7" t="n"/>
      <c r="C251" s="7" t="n"/>
      <c r="D251" s="7" t="n"/>
      <c r="E251" s="7" t="n"/>
      <c r="F251" s="7" t="n"/>
      <c r="G251" s="7" t="n"/>
    </row>
    <row r="252">
      <c r="B252" s="7" t="n"/>
      <c r="C252" s="7" t="n"/>
      <c r="D252" s="7" t="n"/>
      <c r="E252" s="7" t="n"/>
      <c r="F252" s="7" t="n"/>
      <c r="G252" s="7" t="n"/>
    </row>
    <row r="253">
      <c r="B253" s="7" t="n"/>
      <c r="C253" s="7" t="n"/>
      <c r="D253" s="7" t="n"/>
      <c r="E253" s="7" t="n"/>
      <c r="F253" s="7" t="n"/>
      <c r="G253" s="7" t="n"/>
    </row>
    <row r="254">
      <c r="B254" s="7" t="n"/>
      <c r="C254" s="7" t="n"/>
      <c r="D254" s="7" t="n"/>
      <c r="E254" s="7" t="n"/>
      <c r="F254" s="7" t="n"/>
      <c r="G254" s="7" t="n"/>
    </row>
    <row r="255">
      <c r="B255" s="7" t="n"/>
      <c r="C255" s="7" t="n"/>
      <c r="D255" s="7" t="n"/>
      <c r="E255" s="7" t="n"/>
      <c r="F255" s="7" t="n"/>
      <c r="G255" s="7" t="n"/>
    </row>
    <row r="256">
      <c r="B256" s="7" t="n"/>
      <c r="C256" s="7" t="n"/>
      <c r="D256" s="7" t="n"/>
      <c r="E256" s="7" t="n"/>
      <c r="F256" s="7" t="n"/>
      <c r="G256" s="7" t="n"/>
    </row>
    <row r="257">
      <c r="B257" s="7" t="n"/>
      <c r="C257" s="7" t="n"/>
      <c r="D257" s="7" t="n"/>
      <c r="E257" s="7" t="n"/>
      <c r="F257" s="7" t="n"/>
      <c r="G257" s="7" t="n"/>
    </row>
    <row r="258">
      <c r="B258" s="7" t="n"/>
      <c r="C258" s="7" t="n"/>
      <c r="D258" s="7" t="n"/>
      <c r="E258" s="7" t="n"/>
      <c r="F258" s="7" t="n"/>
      <c r="G258" s="7" t="n"/>
    </row>
    <row r="259">
      <c r="B259" s="7" t="n"/>
      <c r="C259" s="7" t="n"/>
      <c r="D259" s="7" t="n"/>
      <c r="E259" s="7" t="n"/>
      <c r="F259" s="7" t="n"/>
      <c r="G259" s="7" t="n"/>
    </row>
    <row r="260">
      <c r="B260" s="7" t="n"/>
      <c r="C260" s="7" t="n"/>
      <c r="D260" s="7" t="n"/>
      <c r="E260" s="7" t="n"/>
      <c r="F260" s="7" t="n"/>
      <c r="G260" s="7" t="n"/>
    </row>
    <row r="261">
      <c r="B261" s="7" t="n"/>
      <c r="C261" s="7" t="n"/>
      <c r="D261" s="7" t="n"/>
      <c r="E261" s="7" t="n"/>
      <c r="F261" s="7" t="n"/>
      <c r="G261" s="7" t="n"/>
    </row>
    <row r="262">
      <c r="B262" s="7" t="n"/>
      <c r="C262" s="7" t="n"/>
      <c r="D262" s="7" t="n"/>
      <c r="E262" s="7" t="n"/>
      <c r="F262" s="7" t="n"/>
      <c r="G262" s="7" t="n"/>
    </row>
    <row r="263">
      <c r="B263" s="7" t="n"/>
      <c r="C263" s="7" t="n"/>
      <c r="D263" s="7" t="n"/>
      <c r="E263" s="7" t="n"/>
      <c r="F263" s="7" t="n"/>
      <c r="G263" s="7" t="n"/>
    </row>
    <row r="264">
      <c r="B264" s="7" t="n"/>
      <c r="C264" s="7" t="n"/>
      <c r="D264" s="7" t="n"/>
      <c r="E264" s="7" t="n"/>
      <c r="F264" s="7" t="n"/>
      <c r="G264" s="7" t="n"/>
    </row>
    <row r="265">
      <c r="B265" s="7" t="n"/>
      <c r="C265" s="7" t="n"/>
      <c r="D265" s="7" t="n"/>
      <c r="E265" s="7" t="n"/>
      <c r="F265" s="7" t="n"/>
      <c r="G265" s="7" t="n"/>
    </row>
    <row r="266">
      <c r="B266" s="7" t="n"/>
      <c r="C266" s="7" t="n"/>
      <c r="D266" s="7" t="n"/>
      <c r="E266" s="7" t="n"/>
      <c r="F266" s="7" t="n"/>
      <c r="G266" s="7" t="n"/>
    </row>
    <row r="267">
      <c r="B267" s="7" t="n"/>
      <c r="C267" s="7" t="n"/>
      <c r="D267" s="7" t="n"/>
      <c r="E267" s="7" t="n"/>
      <c r="F267" s="7" t="n"/>
      <c r="G267" s="7" t="n"/>
    </row>
    <row r="268">
      <c r="B268" s="7" t="n"/>
      <c r="C268" s="7" t="n"/>
      <c r="D268" s="7" t="n"/>
      <c r="E268" s="7" t="n"/>
      <c r="F268" s="7" t="n"/>
      <c r="G268" s="7" t="n"/>
    </row>
    <row r="269">
      <c r="B269" s="7" t="n"/>
      <c r="C269" s="7" t="n"/>
      <c r="D269" s="7" t="n"/>
      <c r="E269" s="7" t="n"/>
      <c r="F269" s="7" t="n"/>
      <c r="G269" s="7" t="n"/>
    </row>
    <row r="270">
      <c r="B270" s="7" t="n"/>
      <c r="C270" s="7" t="n"/>
      <c r="D270" s="7" t="n"/>
      <c r="E270" s="7" t="n"/>
      <c r="F270" s="7" t="n"/>
      <c r="G270" s="7" t="n"/>
    </row>
    <row r="271">
      <c r="B271" s="7" t="n"/>
      <c r="C271" s="7" t="n"/>
      <c r="D271" s="7" t="n"/>
      <c r="E271" s="7" t="n"/>
      <c r="F271" s="7" t="n"/>
      <c r="G271" s="7" t="n"/>
    </row>
    <row r="272">
      <c r="B272" s="7" t="n"/>
      <c r="C272" s="7" t="n"/>
      <c r="D272" s="7" t="n"/>
      <c r="E272" s="7" t="n"/>
      <c r="F272" s="7" t="n"/>
      <c r="G272" s="7" t="n"/>
    </row>
    <row r="273">
      <c r="B273" s="7" t="n"/>
      <c r="C273" s="7" t="n"/>
      <c r="D273" s="7" t="n"/>
      <c r="E273" s="7" t="n"/>
      <c r="F273" s="7" t="n"/>
      <c r="G273" s="7" t="n"/>
    </row>
    <row r="274">
      <c r="B274" s="7" t="n"/>
      <c r="C274" s="7" t="n"/>
      <c r="D274" s="7" t="n"/>
      <c r="E274" s="7" t="n"/>
      <c r="F274" s="7" t="n"/>
      <c r="G274" s="7" t="n"/>
    </row>
    <row r="275">
      <c r="B275" s="7" t="n"/>
      <c r="C275" s="7" t="n"/>
      <c r="D275" s="7" t="n"/>
      <c r="E275" s="7" t="n"/>
      <c r="F275" s="7" t="n"/>
      <c r="G275" s="7" t="n"/>
    </row>
    <row r="276">
      <c r="B276" s="7" t="n"/>
      <c r="C276" s="7" t="n"/>
      <c r="D276" s="7" t="n"/>
      <c r="E276" s="7" t="n"/>
      <c r="F276" s="7" t="n"/>
      <c r="G276" s="7" t="n"/>
    </row>
    <row r="277">
      <c r="B277" s="7" t="n"/>
      <c r="C277" s="7" t="n"/>
      <c r="D277" s="7" t="n"/>
      <c r="E277" s="7" t="n"/>
      <c r="F277" s="7" t="n"/>
      <c r="G277" s="7" t="n"/>
    </row>
    <row r="278">
      <c r="B278" s="7" t="n"/>
      <c r="C278" s="7" t="n"/>
      <c r="D278" s="7" t="n"/>
      <c r="E278" s="7" t="n"/>
      <c r="F278" s="7" t="n"/>
      <c r="G278" s="7" t="n"/>
    </row>
    <row r="279">
      <c r="B279" s="7" t="n"/>
      <c r="C279" s="7" t="n"/>
      <c r="D279" s="7" t="n"/>
      <c r="E279" s="7" t="n"/>
      <c r="F279" s="7" t="n"/>
      <c r="G279" s="7" t="n"/>
    </row>
    <row r="280">
      <c r="B280" s="7" t="n"/>
      <c r="C280" s="7" t="n"/>
      <c r="D280" s="7" t="n"/>
      <c r="E280" s="7" t="n"/>
      <c r="F280" s="7" t="n"/>
      <c r="G280" s="7" t="n"/>
    </row>
    <row r="281">
      <c r="B281" s="7" t="n"/>
      <c r="C281" s="7" t="n"/>
      <c r="D281" s="7" t="n"/>
      <c r="E281" s="7" t="n"/>
      <c r="F281" s="7" t="n"/>
      <c r="G281" s="7" t="n"/>
    </row>
    <row r="282">
      <c r="B282" s="7" t="n"/>
      <c r="C282" s="7" t="n"/>
      <c r="D282" s="7" t="n"/>
      <c r="E282" s="7" t="n"/>
      <c r="F282" s="7" t="n"/>
      <c r="G282" s="7" t="n"/>
    </row>
    <row r="283">
      <c r="B283" s="7" t="n"/>
      <c r="C283" s="7" t="n"/>
      <c r="D283" s="7" t="n"/>
      <c r="E283" s="7" t="n"/>
      <c r="F283" s="7" t="n"/>
      <c r="G283" s="7" t="n"/>
    </row>
    <row r="284">
      <c r="B284" s="7" t="n"/>
      <c r="C284" s="7" t="n"/>
      <c r="D284" s="7" t="n"/>
      <c r="E284" s="7" t="n"/>
      <c r="F284" s="7" t="n"/>
      <c r="G284" s="7" t="n"/>
    </row>
    <row r="285">
      <c r="B285" s="7" t="n"/>
      <c r="C285" s="7" t="n"/>
      <c r="D285" s="7" t="n"/>
      <c r="E285" s="7" t="n"/>
      <c r="F285" s="7" t="n"/>
      <c r="G285" s="7" t="n"/>
    </row>
    <row r="286">
      <c r="B286" s="7" t="n"/>
      <c r="C286" s="7" t="n"/>
      <c r="D286" s="7" t="n"/>
      <c r="E286" s="7" t="n"/>
      <c r="F286" s="7" t="n"/>
      <c r="G286" s="7" t="n"/>
    </row>
    <row r="287">
      <c r="B287" s="7" t="n"/>
      <c r="C287" s="7" t="n"/>
      <c r="D287" s="7" t="n"/>
      <c r="E287" s="7" t="n"/>
      <c r="F287" s="7" t="n"/>
      <c r="G287" s="7" t="n"/>
    </row>
    <row r="288">
      <c r="B288" s="7" t="n"/>
      <c r="C288" s="7" t="n"/>
      <c r="D288" s="7" t="n"/>
      <c r="E288" s="7" t="n"/>
      <c r="F288" s="7" t="n"/>
      <c r="G288" s="7" t="n"/>
    </row>
    <row r="289">
      <c r="B289" s="7" t="n"/>
      <c r="C289" s="7" t="n"/>
      <c r="D289" s="7" t="n"/>
      <c r="E289" s="7" t="n"/>
      <c r="F289" s="7" t="n"/>
      <c r="G289" s="7" t="n"/>
    </row>
    <row r="290">
      <c r="B290" s="7" t="n"/>
      <c r="C290" s="7" t="n"/>
      <c r="D290" s="7" t="n"/>
      <c r="E290" s="7" t="n"/>
      <c r="F290" s="7" t="n"/>
      <c r="G290" s="7" t="n"/>
    </row>
    <row r="291">
      <c r="B291" s="7" t="n"/>
      <c r="C291" s="7" t="n"/>
      <c r="D291" s="7" t="n"/>
      <c r="E291" s="7" t="n"/>
      <c r="F291" s="7" t="n"/>
      <c r="G291" s="7" t="n"/>
    </row>
    <row r="292">
      <c r="B292" s="7" t="n"/>
      <c r="C292" s="7" t="n"/>
      <c r="D292" s="7" t="n"/>
      <c r="E292" s="7" t="n"/>
      <c r="F292" s="7" t="n"/>
      <c r="G292" s="7" t="n"/>
    </row>
    <row r="293">
      <c r="B293" s="7" t="n"/>
      <c r="C293" s="7" t="n"/>
      <c r="D293" s="7" t="n"/>
      <c r="E293" s="7" t="n"/>
      <c r="F293" s="7" t="n"/>
      <c r="G293" s="7" t="n"/>
    </row>
    <row r="294">
      <c r="B294" s="7" t="n"/>
      <c r="C294" s="7" t="n"/>
      <c r="D294" s="7" t="n"/>
      <c r="E294" s="7" t="n"/>
      <c r="F294" s="7" t="n"/>
      <c r="G294" s="7" t="n"/>
    </row>
    <row r="295">
      <c r="B295" s="7" t="n"/>
      <c r="C295" s="7" t="n"/>
      <c r="D295" s="7" t="n"/>
      <c r="E295" s="7" t="n"/>
      <c r="F295" s="7" t="n"/>
      <c r="G295" s="7" t="n"/>
    </row>
    <row r="296">
      <c r="B296" s="7" t="n"/>
      <c r="C296" s="7" t="n"/>
      <c r="D296" s="7" t="n"/>
      <c r="E296" s="7" t="n"/>
      <c r="F296" s="7" t="n"/>
      <c r="G296" s="7" t="n"/>
    </row>
    <row r="297">
      <c r="B297" s="7" t="n"/>
      <c r="C297" s="7" t="n"/>
      <c r="D297" s="7" t="n"/>
      <c r="E297" s="7" t="n"/>
      <c r="F297" s="7" t="n"/>
      <c r="G297" s="7" t="n"/>
    </row>
    <row r="298">
      <c r="B298" s="7" t="n"/>
      <c r="C298" s="7" t="n"/>
      <c r="D298" s="7" t="n"/>
      <c r="E298" s="7" t="n"/>
      <c r="F298" s="7" t="n"/>
      <c r="G298" s="7" t="n"/>
    </row>
    <row r="299">
      <c r="B299" s="7" t="n"/>
      <c r="C299" s="7" t="n"/>
      <c r="D299" s="7" t="n"/>
      <c r="E299" s="7" t="n"/>
      <c r="F299" s="7" t="n"/>
      <c r="G299" s="7" t="n"/>
    </row>
    <row r="300">
      <c r="B300" s="7" t="n"/>
      <c r="C300" s="7" t="n"/>
      <c r="D300" s="7" t="n"/>
      <c r="E300" s="7" t="n"/>
      <c r="F300" s="7" t="n"/>
      <c r="G300" s="7" t="n"/>
    </row>
    <row r="301">
      <c r="B301" s="7" t="n"/>
      <c r="C301" s="7" t="n"/>
      <c r="D301" s="7" t="n"/>
      <c r="E301" s="7" t="n"/>
      <c r="F301" s="7" t="n"/>
      <c r="G301" s="7" t="n"/>
    </row>
    <row r="302">
      <c r="B302" s="7" t="n"/>
      <c r="C302" s="7" t="n"/>
      <c r="D302" s="7" t="n"/>
      <c r="E302" s="7" t="n"/>
      <c r="F302" s="7" t="n"/>
      <c r="G302" s="7" t="n"/>
    </row>
    <row r="303">
      <c r="B303" s="7" t="n"/>
      <c r="C303" s="7" t="n"/>
      <c r="D303" s="7" t="n"/>
      <c r="E303" s="7" t="n"/>
      <c r="F303" s="7" t="n"/>
      <c r="G303" s="7" t="n"/>
    </row>
    <row r="304">
      <c r="B304" s="7" t="n"/>
      <c r="C304" s="7" t="n"/>
      <c r="D304" s="7" t="n"/>
      <c r="E304" s="7" t="n"/>
      <c r="F304" s="7" t="n"/>
      <c r="G304" s="7" t="n"/>
    </row>
    <row r="305">
      <c r="B305" s="7" t="n"/>
      <c r="C305" s="7" t="n"/>
      <c r="D305" s="7" t="n"/>
      <c r="E305" s="7" t="n"/>
      <c r="F305" s="7" t="n"/>
      <c r="G305" s="7" t="n"/>
    </row>
    <row r="306">
      <c r="B306" s="7" t="n"/>
      <c r="C306" s="7" t="n"/>
      <c r="D306" s="7" t="n"/>
      <c r="E306" s="7" t="n"/>
      <c r="F306" s="7" t="n"/>
      <c r="G306" s="7" t="n"/>
    </row>
    <row r="307">
      <c r="B307" s="7" t="n"/>
      <c r="C307" s="7" t="n"/>
      <c r="D307" s="7" t="n"/>
      <c r="E307" s="7" t="n"/>
      <c r="F307" s="7" t="n"/>
      <c r="G307" s="7" t="n"/>
    </row>
    <row r="308">
      <c r="B308" s="7" t="n"/>
      <c r="C308" s="7" t="n"/>
      <c r="D308" s="7" t="n"/>
      <c r="E308" s="7" t="n"/>
      <c r="F308" s="7" t="n"/>
      <c r="G308" s="7" t="n"/>
    </row>
    <row r="309">
      <c r="B309" s="7" t="n"/>
      <c r="C309" s="7" t="n"/>
      <c r="D309" s="7" t="n"/>
      <c r="E309" s="7" t="n"/>
      <c r="F309" s="7" t="n"/>
      <c r="G309" s="7" t="n"/>
    </row>
    <row r="310">
      <c r="B310" s="7" t="n"/>
      <c r="C310" s="7" t="n"/>
      <c r="D310" s="7" t="n"/>
      <c r="E310" s="7" t="n"/>
      <c r="F310" s="7" t="n"/>
      <c r="G310" s="7" t="n"/>
    </row>
    <row r="311">
      <c r="B311" s="7" t="n"/>
      <c r="C311" s="7" t="n"/>
      <c r="D311" s="7" t="n"/>
      <c r="E311" s="7" t="n"/>
      <c r="F311" s="7" t="n"/>
      <c r="G311" s="7" t="n"/>
    </row>
    <row r="312">
      <c r="B312" s="7" t="n"/>
      <c r="C312" s="7" t="n"/>
      <c r="D312" s="7" t="n"/>
      <c r="E312" s="7" t="n"/>
      <c r="F312" s="7" t="n"/>
      <c r="G312" s="7" t="n"/>
    </row>
    <row r="313">
      <c r="B313" s="7" t="n"/>
      <c r="C313" s="7" t="n"/>
      <c r="D313" s="7" t="n"/>
      <c r="E313" s="7" t="n"/>
      <c r="F313" s="7" t="n"/>
      <c r="G313" s="7" t="n"/>
    </row>
    <row r="314">
      <c r="B314" s="7" t="n"/>
      <c r="C314" s="7" t="n"/>
      <c r="D314" s="7" t="n"/>
      <c r="E314" s="7" t="n"/>
      <c r="F314" s="7" t="n"/>
      <c r="G314" s="7" t="n"/>
    </row>
    <row r="315">
      <c r="B315" s="7" t="n"/>
      <c r="C315" s="7" t="n"/>
      <c r="D315" s="7" t="n"/>
      <c r="E315" s="7" t="n"/>
      <c r="F315" s="7" t="n"/>
      <c r="G315" s="7" t="n"/>
    </row>
    <row r="316">
      <c r="B316" s="7" t="n"/>
      <c r="C316" s="7" t="n"/>
      <c r="D316" s="7" t="n"/>
      <c r="E316" s="7" t="n"/>
      <c r="F316" s="7" t="n"/>
      <c r="G316" s="7" t="n"/>
    </row>
    <row r="317">
      <c r="B317" s="7" t="n"/>
      <c r="C317" s="7" t="n"/>
      <c r="D317" s="7" t="n"/>
      <c r="E317" s="7" t="n"/>
      <c r="F317" s="7" t="n"/>
      <c r="G317" s="7" t="n"/>
    </row>
    <row r="318">
      <c r="B318" s="7" t="n"/>
      <c r="C318" s="7" t="n"/>
      <c r="D318" s="7" t="n"/>
      <c r="E318" s="7" t="n"/>
      <c r="F318" s="7" t="n"/>
      <c r="G318" s="7" t="n"/>
    </row>
    <row r="319">
      <c r="B319" s="7" t="n"/>
      <c r="C319" s="7" t="n"/>
      <c r="D319" s="7" t="n"/>
      <c r="E319" s="7" t="n"/>
      <c r="F319" s="7" t="n"/>
      <c r="G319" s="7" t="n"/>
    </row>
    <row r="320">
      <c r="B320" s="7" t="n"/>
      <c r="C320" s="7" t="n"/>
      <c r="D320" s="7" t="n"/>
      <c r="E320" s="7" t="n"/>
      <c r="F320" s="7" t="n"/>
      <c r="G320" s="7" t="n"/>
    </row>
    <row r="321">
      <c r="B321" s="7" t="n"/>
      <c r="C321" s="7" t="n"/>
      <c r="D321" s="7" t="n"/>
      <c r="E321" s="7" t="n"/>
      <c r="F321" s="7" t="n"/>
      <c r="G321" s="7" t="n"/>
    </row>
    <row r="322">
      <c r="B322" s="7" t="n"/>
      <c r="C322" s="7" t="n"/>
      <c r="D322" s="7" t="n"/>
      <c r="E322" s="7" t="n"/>
      <c r="F322" s="7" t="n"/>
      <c r="G322" s="7" t="n"/>
    </row>
    <row r="323">
      <c r="B323" s="7" t="n"/>
      <c r="C323" s="7" t="n"/>
      <c r="D323" s="7" t="n"/>
      <c r="E323" s="7" t="n"/>
      <c r="F323" s="7" t="n"/>
      <c r="G323" s="7" t="n"/>
    </row>
    <row r="324">
      <c r="B324" s="7" t="n"/>
      <c r="C324" s="7" t="n"/>
      <c r="D324" s="7" t="n"/>
      <c r="E324" s="7" t="n"/>
      <c r="F324" s="7" t="n"/>
      <c r="G324" s="7" t="n"/>
    </row>
    <row r="325">
      <c r="B325" s="7" t="n"/>
      <c r="C325" s="7" t="n"/>
      <c r="D325" s="7" t="n"/>
      <c r="E325" s="7" t="n"/>
      <c r="F325" s="7" t="n"/>
      <c r="G325" s="7" t="n"/>
    </row>
    <row r="326">
      <c r="B326" s="7" t="n"/>
      <c r="C326" s="7" t="n"/>
      <c r="D326" s="7" t="n"/>
      <c r="E326" s="7" t="n"/>
      <c r="F326" s="7" t="n"/>
      <c r="G326" s="7" t="n"/>
    </row>
    <row r="327">
      <c r="B327" s="7" t="n"/>
      <c r="C327" s="7" t="n"/>
      <c r="D327" s="7" t="n"/>
      <c r="E327" s="7" t="n"/>
      <c r="F327" s="7" t="n"/>
      <c r="G327" s="7" t="n"/>
    </row>
    <row r="328">
      <c r="B328" s="7" t="n"/>
      <c r="C328" s="7" t="n"/>
      <c r="D328" s="7" t="n"/>
      <c r="E328" s="7" t="n"/>
      <c r="F328" s="7" t="n"/>
      <c r="G328" s="7" t="n"/>
    </row>
    <row r="329">
      <c r="B329" s="7" t="n"/>
      <c r="C329" s="7" t="n"/>
      <c r="D329" s="7" t="n"/>
      <c r="E329" s="7" t="n"/>
      <c r="F329" s="7" t="n"/>
      <c r="G329" s="7" t="n"/>
    </row>
    <row r="330">
      <c r="B330" s="7" t="n"/>
      <c r="C330" s="7" t="n"/>
      <c r="D330" s="7" t="n"/>
      <c r="E330" s="7" t="n"/>
      <c r="F330" s="7" t="n"/>
      <c r="G330" s="7" t="n"/>
    </row>
    <row r="331">
      <c r="B331" s="7" t="n"/>
      <c r="C331" s="7" t="n"/>
      <c r="D331" s="7" t="n"/>
      <c r="E331" s="7" t="n"/>
      <c r="F331" s="7" t="n"/>
      <c r="G331" s="7" t="n"/>
    </row>
    <row r="332">
      <c r="B332" s="7" t="n"/>
      <c r="C332" s="7" t="n"/>
      <c r="D332" s="7" t="n"/>
      <c r="E332" s="7" t="n"/>
      <c r="F332" s="7" t="n"/>
      <c r="G332" s="7" t="n"/>
    </row>
    <row r="333">
      <c r="B333" s="7" t="n"/>
      <c r="C333" s="7" t="n"/>
      <c r="D333" s="7" t="n"/>
      <c r="E333" s="7" t="n"/>
      <c r="F333" s="7" t="n"/>
      <c r="G333" s="7" t="n"/>
    </row>
    <row r="334">
      <c r="B334" s="7" t="n"/>
      <c r="C334" s="7" t="n"/>
      <c r="D334" s="7" t="n"/>
      <c r="E334" s="7" t="n"/>
      <c r="F334" s="7" t="n"/>
      <c r="G334" s="7" t="n"/>
    </row>
    <row r="335">
      <c r="B335" s="7" t="n"/>
      <c r="C335" s="7" t="n"/>
      <c r="D335" s="7" t="n"/>
      <c r="E335" s="7" t="n"/>
      <c r="F335" s="7" t="n"/>
      <c r="G335" s="7" t="n"/>
    </row>
    <row r="336">
      <c r="B336" s="7" t="n"/>
      <c r="C336" s="7" t="n"/>
      <c r="D336" s="7" t="n"/>
      <c r="E336" s="7" t="n"/>
      <c r="F336" s="7" t="n"/>
      <c r="G336" s="7" t="n"/>
    </row>
    <row r="337">
      <c r="B337" s="7" t="n"/>
      <c r="C337" s="7" t="n"/>
      <c r="D337" s="7" t="n"/>
      <c r="E337" s="7" t="n"/>
      <c r="F337" s="7" t="n"/>
      <c r="G337" s="7" t="n"/>
    </row>
    <row r="338">
      <c r="B338" s="7" t="n"/>
      <c r="C338" s="7" t="n"/>
      <c r="D338" s="7" t="n"/>
      <c r="E338" s="7" t="n"/>
      <c r="F338" s="7" t="n"/>
      <c r="G338" s="7" t="n"/>
    </row>
    <row r="339">
      <c r="B339" s="7" t="n"/>
      <c r="C339" s="7" t="n"/>
      <c r="D339" s="7" t="n"/>
      <c r="E339" s="7" t="n"/>
      <c r="F339" s="7" t="n"/>
      <c r="G339" s="7" t="n"/>
    </row>
    <row r="340">
      <c r="B340" s="7" t="n"/>
      <c r="C340" s="7" t="n"/>
      <c r="D340" s="7" t="n"/>
      <c r="E340" s="7" t="n"/>
      <c r="F340" s="7" t="n"/>
      <c r="G340" s="7" t="n"/>
    </row>
    <row r="341">
      <c r="B341" s="7" t="n"/>
      <c r="C341" s="7" t="n"/>
      <c r="D341" s="7" t="n"/>
      <c r="E341" s="7" t="n"/>
      <c r="F341" s="7" t="n"/>
      <c r="G341" s="7" t="n"/>
    </row>
    <row r="342">
      <c r="B342" s="7" t="n"/>
      <c r="C342" s="7" t="n"/>
      <c r="D342" s="7" t="n"/>
      <c r="E342" s="7" t="n"/>
      <c r="F342" s="7" t="n"/>
      <c r="G342" s="7" t="n"/>
    </row>
    <row r="343">
      <c r="B343" s="7" t="n"/>
      <c r="C343" s="7" t="n"/>
      <c r="D343" s="7" t="n"/>
      <c r="E343" s="7" t="n"/>
      <c r="F343" s="7" t="n"/>
      <c r="G343" s="7" t="n"/>
    </row>
    <row r="344">
      <c r="B344" s="7" t="n"/>
      <c r="C344" s="7" t="n"/>
      <c r="D344" s="7" t="n"/>
      <c r="E344" s="7" t="n"/>
      <c r="F344" s="7" t="n"/>
      <c r="G344" s="7" t="n"/>
    </row>
    <row r="345">
      <c r="B345" s="7" t="n"/>
      <c r="C345" s="7" t="n"/>
      <c r="D345" s="7" t="n"/>
      <c r="E345" s="7" t="n"/>
      <c r="F345" s="7" t="n"/>
      <c r="G345" s="7" t="n"/>
    </row>
    <row r="346">
      <c r="B346" s="7" t="n"/>
      <c r="C346" s="7" t="n"/>
      <c r="D346" s="7" t="n"/>
      <c r="E346" s="7" t="n"/>
      <c r="F346" s="7" t="n"/>
      <c r="G346" s="7" t="n"/>
    </row>
    <row r="347">
      <c r="B347" s="7" t="n"/>
      <c r="C347" s="7" t="n"/>
      <c r="D347" s="7" t="n"/>
      <c r="E347" s="7" t="n"/>
      <c r="F347" s="7" t="n"/>
      <c r="G347" s="7" t="n"/>
    </row>
    <row r="348">
      <c r="B348" s="7" t="n"/>
      <c r="C348" s="7" t="n"/>
      <c r="D348" s="7" t="n"/>
      <c r="E348" s="7" t="n"/>
      <c r="F348" s="7" t="n"/>
      <c r="G348" s="7" t="n"/>
    </row>
    <row r="349">
      <c r="B349" s="7" t="n"/>
      <c r="C349" s="7" t="n"/>
      <c r="D349" s="7" t="n"/>
      <c r="E349" s="7" t="n"/>
      <c r="F349" s="7" t="n"/>
      <c r="G349" s="7" t="n"/>
    </row>
    <row r="350">
      <c r="B350" s="7" t="n"/>
      <c r="C350" s="7" t="n"/>
      <c r="D350" s="7" t="n"/>
      <c r="E350" s="7" t="n"/>
      <c r="F350" s="7" t="n"/>
      <c r="G350" s="7" t="n"/>
    </row>
    <row r="351">
      <c r="B351" s="7" t="n"/>
      <c r="C351" s="7" t="n"/>
      <c r="D351" s="7" t="n"/>
      <c r="E351" s="7" t="n"/>
      <c r="F351" s="7" t="n"/>
      <c r="G351" s="7" t="n"/>
    </row>
    <row r="352">
      <c r="B352" s="7" t="n"/>
      <c r="C352" s="7" t="n"/>
      <c r="D352" s="7" t="n"/>
      <c r="E352" s="7" t="n"/>
      <c r="F352" s="7" t="n"/>
      <c r="G352" s="7" t="n"/>
    </row>
    <row r="353">
      <c r="B353" s="7" t="n"/>
      <c r="C353" s="7" t="n"/>
      <c r="D353" s="7" t="n"/>
      <c r="E353" s="7" t="n"/>
      <c r="F353" s="7" t="n"/>
      <c r="G353" s="7" t="n"/>
    </row>
    <row r="354">
      <c r="B354" s="7" t="n"/>
      <c r="C354" s="7" t="n"/>
      <c r="D354" s="7" t="n"/>
      <c r="E354" s="7" t="n"/>
      <c r="F354" s="7" t="n"/>
      <c r="G354" s="7" t="n"/>
    </row>
    <row r="355">
      <c r="B355" s="7" t="n"/>
      <c r="C355" s="7" t="n"/>
      <c r="D355" s="7" t="n"/>
      <c r="E355" s="7" t="n"/>
      <c r="F355" s="7" t="n"/>
      <c r="G355" s="7" t="n"/>
    </row>
    <row r="356">
      <c r="B356" s="7" t="n"/>
      <c r="C356" s="7" t="n"/>
      <c r="D356" s="7" t="n"/>
      <c r="E356" s="7" t="n"/>
      <c r="F356" s="7" t="n"/>
      <c r="G356" s="7" t="n"/>
    </row>
    <row r="357">
      <c r="B357" s="7" t="n"/>
      <c r="C357" s="7" t="n"/>
      <c r="D357" s="7" t="n"/>
      <c r="E357" s="7" t="n"/>
      <c r="F357" s="7" t="n"/>
      <c r="G357" s="7" t="n"/>
    </row>
    <row r="358">
      <c r="B358" s="7" t="n"/>
      <c r="C358" s="7" t="n"/>
      <c r="D358" s="7" t="n"/>
      <c r="E358" s="7" t="n"/>
      <c r="F358" s="7" t="n"/>
      <c r="G358" s="7" t="n"/>
    </row>
    <row r="359">
      <c r="B359" s="7" t="n"/>
      <c r="C359" s="7" t="n"/>
      <c r="D359" s="7" t="n"/>
      <c r="E359" s="7" t="n"/>
      <c r="F359" s="7" t="n"/>
      <c r="G359" s="7" t="n"/>
    </row>
    <row r="360">
      <c r="B360" s="7" t="n"/>
      <c r="C360" s="7" t="n"/>
      <c r="D360" s="7" t="n"/>
      <c r="E360" s="7" t="n"/>
      <c r="F360" s="7" t="n"/>
      <c r="G360" s="7" t="n"/>
    </row>
    <row r="361">
      <c r="B361" s="7" t="n"/>
      <c r="C361" s="7" t="n"/>
      <c r="D361" s="7" t="n"/>
      <c r="E361" s="7" t="n"/>
      <c r="F361" s="7" t="n"/>
      <c r="G361" s="7" t="n"/>
    </row>
    <row r="362">
      <c r="B362" s="7" t="n"/>
      <c r="C362" s="7" t="n"/>
      <c r="D362" s="7" t="n"/>
      <c r="E362" s="7" t="n"/>
      <c r="F362" s="7" t="n"/>
      <c r="G362" s="7" t="n"/>
    </row>
    <row r="363">
      <c r="B363" s="7" t="n"/>
      <c r="C363" s="7" t="n"/>
      <c r="D363" s="7" t="n"/>
      <c r="E363" s="7" t="n"/>
      <c r="F363" s="7" t="n"/>
      <c r="G363" s="7" t="n"/>
    </row>
    <row r="364">
      <c r="B364" s="7" t="n"/>
      <c r="C364" s="7" t="n"/>
      <c r="D364" s="7" t="n"/>
      <c r="E364" s="7" t="n"/>
      <c r="F364" s="7" t="n"/>
      <c r="G364" s="7" t="n"/>
    </row>
    <row r="365">
      <c r="B365" s="7" t="n"/>
      <c r="C365" s="7" t="n"/>
      <c r="D365" s="7" t="n"/>
      <c r="E365" s="7" t="n"/>
      <c r="F365" s="7" t="n"/>
      <c r="G365" s="7" t="n"/>
    </row>
    <row r="366">
      <c r="B366" s="7" t="n"/>
      <c r="C366" s="7" t="n"/>
      <c r="D366" s="7" t="n"/>
      <c r="E366" s="7" t="n"/>
      <c r="F366" s="7" t="n"/>
      <c r="G366" s="7" t="n"/>
    </row>
    <row r="367">
      <c r="B367" s="7" t="n"/>
      <c r="C367" s="7" t="n"/>
      <c r="D367" s="7" t="n"/>
      <c r="E367" s="7" t="n"/>
      <c r="F367" s="7" t="n"/>
      <c r="G367" s="7" t="n"/>
    </row>
    <row r="368">
      <c r="B368" s="7" t="n"/>
      <c r="C368" s="7" t="n"/>
      <c r="D368" s="7" t="n"/>
      <c r="E368" s="7" t="n"/>
      <c r="F368" s="7" t="n"/>
      <c r="G368" s="7" t="n"/>
    </row>
    <row r="369">
      <c r="B369" s="7" t="n"/>
      <c r="C369" s="7" t="n"/>
      <c r="D369" s="7" t="n"/>
      <c r="E369" s="7" t="n"/>
      <c r="F369" s="7" t="n"/>
      <c r="G369" s="7" t="n"/>
    </row>
    <row r="370">
      <c r="B370" s="7" t="n"/>
      <c r="C370" s="7" t="n"/>
      <c r="D370" s="7" t="n"/>
      <c r="E370" s="7" t="n"/>
      <c r="F370" s="7" t="n"/>
      <c r="G370" s="7" t="n"/>
    </row>
    <row r="371">
      <c r="B371" s="7" t="n"/>
      <c r="C371" s="7" t="n"/>
      <c r="D371" s="7" t="n"/>
      <c r="E371" s="7" t="n"/>
      <c r="F371" s="7" t="n"/>
      <c r="G371" s="7" t="n"/>
    </row>
    <row r="372">
      <c r="B372" s="7" t="n"/>
      <c r="C372" s="7" t="n"/>
      <c r="D372" s="7" t="n"/>
      <c r="E372" s="7" t="n"/>
      <c r="F372" s="7" t="n"/>
      <c r="G372" s="7" t="n"/>
    </row>
    <row r="373">
      <c r="B373" s="7" t="n"/>
      <c r="C373" s="7" t="n"/>
      <c r="D373" s="7" t="n"/>
      <c r="E373" s="7" t="n"/>
      <c r="F373" s="7" t="n"/>
      <c r="G373" s="7" t="n"/>
    </row>
    <row r="374">
      <c r="B374" s="7" t="n"/>
      <c r="C374" s="7" t="n"/>
      <c r="D374" s="7" t="n"/>
      <c r="E374" s="7" t="n"/>
      <c r="F374" s="7" t="n"/>
      <c r="G374" s="7" t="n"/>
    </row>
    <row r="375">
      <c r="B375" s="7" t="n"/>
      <c r="C375" s="7" t="n"/>
      <c r="D375" s="7" t="n"/>
      <c r="E375" s="7" t="n"/>
      <c r="F375" s="7" t="n"/>
      <c r="G375" s="7" t="n"/>
    </row>
    <row r="376">
      <c r="B376" s="7" t="n"/>
      <c r="C376" s="7" t="n"/>
      <c r="D376" s="7" t="n"/>
      <c r="E376" s="7" t="n"/>
      <c r="F376" s="7" t="n"/>
      <c r="G376" s="7" t="n"/>
    </row>
    <row r="377">
      <c r="B377" s="7" t="n"/>
      <c r="C377" s="7" t="n"/>
      <c r="D377" s="7" t="n"/>
      <c r="E377" s="7" t="n"/>
      <c r="F377" s="7" t="n"/>
      <c r="G377" s="7" t="n"/>
    </row>
    <row r="378">
      <c r="B378" s="7" t="n"/>
      <c r="C378" s="7" t="n"/>
      <c r="D378" s="7" t="n"/>
      <c r="E378" s="7" t="n"/>
      <c r="F378" s="7" t="n"/>
      <c r="G378" s="7" t="n"/>
    </row>
    <row r="379">
      <c r="B379" s="7" t="n"/>
      <c r="C379" s="7" t="n"/>
      <c r="D379" s="7" t="n"/>
      <c r="E379" s="7" t="n"/>
      <c r="F379" s="7" t="n"/>
      <c r="G379" s="7" t="n"/>
    </row>
    <row r="380">
      <c r="B380" s="7" t="n"/>
      <c r="C380" s="7" t="n"/>
      <c r="D380" s="7" t="n"/>
      <c r="E380" s="7" t="n"/>
      <c r="F380" s="7" t="n"/>
      <c r="G380" s="7" t="n"/>
    </row>
    <row r="381">
      <c r="B381" s="7" t="n"/>
      <c r="C381" s="7" t="n"/>
      <c r="D381" s="7" t="n"/>
      <c r="E381" s="7" t="n"/>
      <c r="F381" s="7" t="n"/>
      <c r="G381" s="7" t="n"/>
    </row>
    <row r="382">
      <c r="B382" s="7" t="n"/>
      <c r="C382" s="7" t="n"/>
      <c r="D382" s="7" t="n"/>
      <c r="E382" s="7" t="n"/>
      <c r="F382" s="7" t="n"/>
      <c r="G382" s="7" t="n"/>
    </row>
    <row r="383">
      <c r="B383" s="7" t="n"/>
      <c r="C383" s="7" t="n"/>
      <c r="D383" s="7" t="n"/>
      <c r="E383" s="7" t="n"/>
      <c r="F383" s="7" t="n"/>
      <c r="G383" s="7" t="n"/>
    </row>
    <row r="384">
      <c r="B384" s="7" t="n"/>
      <c r="C384" s="7" t="n"/>
      <c r="D384" s="7" t="n"/>
      <c r="E384" s="7" t="n"/>
      <c r="F384" s="7" t="n"/>
      <c r="G384" s="7" t="n"/>
    </row>
    <row r="385">
      <c r="B385" s="7" t="n"/>
      <c r="C385" s="7" t="n"/>
      <c r="D385" s="7" t="n"/>
      <c r="E385" s="7" t="n"/>
      <c r="F385" s="7" t="n"/>
      <c r="G385" s="7" t="n"/>
    </row>
    <row r="386">
      <c r="B386" s="7" t="n"/>
      <c r="C386" s="7" t="n"/>
      <c r="D386" s="7" t="n"/>
      <c r="E386" s="7" t="n"/>
      <c r="F386" s="7" t="n"/>
      <c r="G386" s="7" t="n"/>
    </row>
    <row r="387">
      <c r="B387" s="7" t="n"/>
      <c r="C387" s="7" t="n"/>
      <c r="D387" s="7" t="n"/>
      <c r="E387" s="7" t="n"/>
      <c r="F387" s="7" t="n"/>
      <c r="G387" s="7" t="n"/>
    </row>
    <row r="388">
      <c r="B388" s="7" t="n"/>
      <c r="C388" s="7" t="n"/>
      <c r="D388" s="7" t="n"/>
      <c r="E388" s="7" t="n"/>
      <c r="F388" s="7" t="n"/>
      <c r="G388" s="7" t="n"/>
    </row>
    <row r="389">
      <c r="B389" s="7" t="n"/>
      <c r="C389" s="7" t="n"/>
      <c r="D389" s="7" t="n"/>
      <c r="E389" s="7" t="n"/>
      <c r="F389" s="7" t="n"/>
      <c r="G389" s="7" t="n"/>
    </row>
    <row r="390">
      <c r="B390" s="7" t="n"/>
      <c r="C390" s="7" t="n"/>
      <c r="D390" s="7" t="n"/>
      <c r="E390" s="7" t="n"/>
      <c r="F390" s="7" t="n"/>
      <c r="G390" s="7" t="n"/>
    </row>
    <row r="391">
      <c r="B391" s="7" t="n"/>
      <c r="C391" s="7" t="n"/>
      <c r="D391" s="7" t="n"/>
      <c r="E391" s="7" t="n"/>
      <c r="F391" s="7" t="n"/>
      <c r="G391" s="7" t="n"/>
    </row>
    <row r="392">
      <c r="B392" s="7" t="n"/>
      <c r="C392" s="7" t="n"/>
      <c r="D392" s="7" t="n"/>
      <c r="E392" s="7" t="n"/>
      <c r="F392" s="7" t="n"/>
      <c r="G392" s="7" t="n"/>
    </row>
    <row r="393">
      <c r="B393" s="7" t="n"/>
      <c r="C393" s="7" t="n"/>
      <c r="D393" s="7" t="n"/>
      <c r="E393" s="7" t="n"/>
      <c r="F393" s="7" t="n"/>
      <c r="G393" s="7" t="n"/>
    </row>
    <row r="394">
      <c r="B394" s="7" t="n"/>
      <c r="C394" s="7" t="n"/>
      <c r="D394" s="7" t="n"/>
      <c r="E394" s="7" t="n"/>
      <c r="F394" s="7" t="n"/>
      <c r="G394" s="7" t="n"/>
    </row>
    <row r="395">
      <c r="B395" s="7" t="n"/>
      <c r="C395" s="7" t="n"/>
      <c r="D395" s="7" t="n"/>
      <c r="E395" s="7" t="n"/>
      <c r="F395" s="7" t="n"/>
      <c r="G395" s="7" t="n"/>
    </row>
    <row r="396">
      <c r="B396" s="7" t="n"/>
      <c r="C396" s="7" t="n"/>
      <c r="D396" s="7" t="n"/>
      <c r="E396" s="7" t="n"/>
      <c r="F396" s="7" t="n"/>
      <c r="G396" s="7" t="n"/>
    </row>
    <row r="397">
      <c r="B397" s="7" t="n"/>
      <c r="C397" s="7" t="n"/>
      <c r="D397" s="7" t="n"/>
      <c r="E397" s="7" t="n"/>
      <c r="F397" s="7" t="n"/>
      <c r="G397" s="7" t="n"/>
    </row>
    <row r="398">
      <c r="B398" s="7" t="n"/>
      <c r="C398" s="7" t="n"/>
      <c r="D398" s="7" t="n"/>
      <c r="E398" s="7" t="n"/>
      <c r="F398" s="7" t="n"/>
      <c r="G398" s="7" t="n"/>
    </row>
    <row r="399">
      <c r="B399" s="7" t="n"/>
      <c r="C399" s="7" t="n"/>
      <c r="D399" s="7" t="n"/>
      <c r="E399" s="7" t="n"/>
      <c r="F399" s="7" t="n"/>
      <c r="G399" s="7" t="n"/>
    </row>
    <row r="400">
      <c r="B400" s="7" t="n"/>
      <c r="C400" s="7" t="n"/>
      <c r="D400" s="7" t="n"/>
      <c r="E400" s="7" t="n"/>
      <c r="F400" s="7" t="n"/>
      <c r="G400" s="7" t="n"/>
    </row>
    <row r="401">
      <c r="B401" s="7" t="n"/>
      <c r="C401" s="7" t="n"/>
      <c r="D401" s="7" t="n"/>
      <c r="E401" s="7" t="n"/>
      <c r="F401" s="7" t="n"/>
      <c r="G401" s="7" t="n"/>
    </row>
    <row r="402">
      <c r="B402" s="7" t="n"/>
      <c r="C402" s="7" t="n"/>
      <c r="D402" s="7" t="n"/>
      <c r="E402" s="7" t="n"/>
      <c r="F402" s="7" t="n"/>
      <c r="G402" s="7" t="n"/>
    </row>
    <row r="403">
      <c r="B403" s="7" t="n"/>
      <c r="C403" s="7" t="n"/>
      <c r="D403" s="7" t="n"/>
      <c r="E403" s="7" t="n"/>
      <c r="F403" s="7" t="n"/>
      <c r="G403" s="7" t="n"/>
    </row>
    <row r="404">
      <c r="B404" s="7" t="n"/>
      <c r="C404" s="7" t="n"/>
      <c r="D404" s="7" t="n"/>
      <c r="E404" s="7" t="n"/>
      <c r="F404" s="7" t="n"/>
      <c r="G404" s="7" t="n"/>
    </row>
    <row r="405">
      <c r="B405" s="7" t="n"/>
      <c r="C405" s="7" t="n"/>
      <c r="D405" s="7" t="n"/>
      <c r="E405" s="7" t="n"/>
      <c r="F405" s="7" t="n"/>
      <c r="G405" s="7" t="n"/>
    </row>
    <row r="406">
      <c r="B406" s="7" t="n"/>
      <c r="C406" s="7" t="n"/>
      <c r="D406" s="7" t="n"/>
      <c r="E406" s="7" t="n"/>
      <c r="F406" s="7" t="n"/>
      <c r="G406" s="7" t="n"/>
    </row>
    <row r="407">
      <c r="B407" s="7" t="n"/>
      <c r="C407" s="7" t="n"/>
      <c r="D407" s="7" t="n"/>
      <c r="E407" s="7" t="n"/>
      <c r="F407" s="7" t="n"/>
      <c r="G407" s="7" t="n"/>
    </row>
    <row r="408">
      <c r="B408" s="7" t="n"/>
      <c r="C408" s="7" t="n"/>
      <c r="D408" s="7" t="n"/>
      <c r="E408" s="7" t="n"/>
      <c r="F408" s="7" t="n"/>
      <c r="G408" s="7" t="n"/>
    </row>
    <row r="409">
      <c r="B409" s="7" t="n"/>
      <c r="C409" s="7" t="n"/>
      <c r="D409" s="7" t="n"/>
      <c r="E409" s="7" t="n"/>
      <c r="F409" s="7" t="n"/>
      <c r="G409" s="7" t="n"/>
    </row>
    <row r="410">
      <c r="B410" s="7" t="n"/>
      <c r="C410" s="7" t="n"/>
      <c r="D410" s="7" t="n"/>
      <c r="E410" s="7" t="n"/>
      <c r="F410" s="7" t="n"/>
      <c r="G410" s="7" t="n"/>
    </row>
    <row r="411">
      <c r="B411" s="7" t="n"/>
      <c r="C411" s="7" t="n"/>
      <c r="D411" s="7" t="n"/>
      <c r="E411" s="7" t="n"/>
      <c r="F411" s="7" t="n"/>
      <c r="G411" s="7" t="n"/>
    </row>
    <row r="412">
      <c r="B412" s="7" t="n"/>
      <c r="C412" s="7" t="n"/>
      <c r="D412" s="7" t="n"/>
      <c r="E412" s="7" t="n"/>
      <c r="F412" s="7" t="n"/>
      <c r="G412" s="7" t="n"/>
    </row>
    <row r="413">
      <c r="B413" s="7" t="n"/>
      <c r="C413" s="7" t="n"/>
      <c r="D413" s="7" t="n"/>
      <c r="E413" s="7" t="n"/>
      <c r="F413" s="7" t="n"/>
      <c r="G413" s="7" t="n"/>
    </row>
    <row r="414">
      <c r="B414" s="7" t="n"/>
      <c r="C414" s="7" t="n"/>
      <c r="D414" s="7" t="n"/>
      <c r="E414" s="7" t="n"/>
      <c r="F414" s="7" t="n"/>
      <c r="G414" s="7" t="n"/>
    </row>
    <row r="415">
      <c r="B415" s="7" t="n"/>
      <c r="C415" s="7" t="n"/>
      <c r="D415" s="7" t="n"/>
      <c r="E415" s="7" t="n"/>
      <c r="F415" s="7" t="n"/>
      <c r="G415" s="7" t="n"/>
    </row>
    <row r="416">
      <c r="B416" s="7" t="n"/>
      <c r="C416" s="7" t="n"/>
      <c r="D416" s="7" t="n"/>
      <c r="E416" s="7" t="n"/>
      <c r="F416" s="7" t="n"/>
      <c r="G416" s="7" t="n"/>
    </row>
    <row r="417">
      <c r="B417" s="7" t="n"/>
      <c r="C417" s="7" t="n"/>
      <c r="D417" s="7" t="n"/>
      <c r="E417" s="7" t="n"/>
      <c r="F417" s="7" t="n"/>
      <c r="G417" s="7" t="n"/>
    </row>
    <row r="418">
      <c r="B418" s="7" t="n"/>
      <c r="C418" s="7" t="n"/>
      <c r="D418" s="7" t="n"/>
      <c r="E418" s="7" t="n"/>
      <c r="F418" s="7" t="n"/>
      <c r="G418" s="7" t="n"/>
    </row>
    <row r="419">
      <c r="B419" s="7" t="n"/>
      <c r="C419" s="7" t="n"/>
      <c r="D419" s="7" t="n"/>
      <c r="E419" s="7" t="n"/>
      <c r="F419" s="7" t="n"/>
      <c r="G419" s="7" t="n"/>
    </row>
    <row r="420">
      <c r="B420" s="7" t="n"/>
      <c r="C420" s="7" t="n"/>
      <c r="D420" s="7" t="n"/>
      <c r="E420" s="7" t="n"/>
      <c r="F420" s="7" t="n"/>
      <c r="G420" s="7" t="n"/>
    </row>
    <row r="421">
      <c r="B421" s="7" t="n"/>
      <c r="C421" s="7" t="n"/>
      <c r="D421" s="7" t="n"/>
      <c r="E421" s="7" t="n"/>
      <c r="F421" s="7" t="n"/>
      <c r="G421" s="7" t="n"/>
    </row>
    <row r="422">
      <c r="B422" s="7" t="n"/>
      <c r="C422" s="7" t="n"/>
      <c r="D422" s="7" t="n"/>
      <c r="E422" s="7" t="n"/>
      <c r="F422" s="7" t="n"/>
      <c r="G422" s="7" t="n"/>
    </row>
    <row r="423">
      <c r="B423" s="7" t="n"/>
      <c r="C423" s="7" t="n"/>
      <c r="D423" s="7" t="n"/>
      <c r="E423" s="7" t="n"/>
      <c r="F423" s="7" t="n"/>
      <c r="G423" s="7" t="n"/>
    </row>
    <row r="424">
      <c r="B424" s="7" t="n"/>
      <c r="C424" s="7" t="n"/>
      <c r="D424" s="7" t="n"/>
      <c r="E424" s="7" t="n"/>
      <c r="F424" s="7" t="n"/>
      <c r="G424" s="7" t="n"/>
    </row>
    <row r="425">
      <c r="B425" s="7" t="n"/>
      <c r="C425" s="7" t="n"/>
      <c r="D425" s="7" t="n"/>
      <c r="E425" s="7" t="n"/>
      <c r="F425" s="7" t="n"/>
      <c r="G425" s="7" t="n"/>
    </row>
    <row r="426">
      <c r="B426" s="7" t="n"/>
      <c r="C426" s="7" t="n"/>
      <c r="D426" s="7" t="n"/>
      <c r="E426" s="7" t="n"/>
      <c r="F426" s="7" t="n"/>
      <c r="G426" s="7" t="n"/>
    </row>
    <row r="427">
      <c r="B427" s="7" t="n"/>
      <c r="C427" s="7" t="n"/>
      <c r="D427" s="7" t="n"/>
      <c r="E427" s="7" t="n"/>
      <c r="F427" s="7" t="n"/>
      <c r="G427" s="7" t="n"/>
    </row>
    <row r="428">
      <c r="B428" s="7" t="n"/>
      <c r="C428" s="7" t="n"/>
      <c r="D428" s="7" t="n"/>
      <c r="E428" s="7" t="n"/>
      <c r="F428" s="7" t="n"/>
      <c r="G428" s="7" t="n"/>
    </row>
    <row r="429">
      <c r="B429" s="7" t="n"/>
      <c r="C429" s="7" t="n"/>
      <c r="D429" s="7" t="n"/>
      <c r="E429" s="7" t="n"/>
      <c r="F429" s="7" t="n"/>
      <c r="G429" s="7" t="n"/>
    </row>
    <row r="430">
      <c r="B430" s="7" t="n"/>
      <c r="C430" s="7" t="n"/>
      <c r="D430" s="7" t="n"/>
      <c r="E430" s="7" t="n"/>
      <c r="F430" s="7" t="n"/>
      <c r="G430" s="7" t="n"/>
    </row>
    <row r="431">
      <c r="B431" s="7" t="n"/>
      <c r="C431" s="7" t="n"/>
      <c r="D431" s="7" t="n"/>
      <c r="E431" s="7" t="n"/>
      <c r="F431" s="7" t="n"/>
      <c r="G431" s="7" t="n"/>
    </row>
    <row r="432">
      <c r="B432" s="7" t="n"/>
      <c r="C432" s="7" t="n"/>
      <c r="D432" s="7" t="n"/>
      <c r="E432" s="7" t="n"/>
      <c r="F432" s="7" t="n"/>
      <c r="G432" s="7" t="n"/>
    </row>
    <row r="433">
      <c r="B433" s="7" t="n"/>
      <c r="C433" s="7" t="n"/>
      <c r="D433" s="7" t="n"/>
      <c r="E433" s="7" t="n"/>
      <c r="F433" s="7" t="n"/>
      <c r="G433" s="7" t="n"/>
    </row>
    <row r="434">
      <c r="B434" s="7" t="n"/>
      <c r="C434" s="7" t="n"/>
      <c r="D434" s="7" t="n"/>
      <c r="E434" s="7" t="n"/>
      <c r="F434" s="7" t="n"/>
      <c r="G434" s="7" t="n"/>
    </row>
    <row r="435">
      <c r="B435" s="7" t="n"/>
      <c r="C435" s="7" t="n"/>
      <c r="D435" s="7" t="n"/>
      <c r="E435" s="7" t="n"/>
      <c r="F435" s="7" t="n"/>
      <c r="G435" s="7" t="n"/>
    </row>
    <row r="436">
      <c r="B436" s="7" t="n"/>
      <c r="C436" s="7" t="n"/>
      <c r="D436" s="7" t="n"/>
      <c r="E436" s="7" t="n"/>
      <c r="F436" s="7" t="n"/>
      <c r="G436" s="7" t="n"/>
    </row>
    <row r="437">
      <c r="B437" s="7" t="n"/>
      <c r="C437" s="7" t="n"/>
      <c r="D437" s="7" t="n"/>
      <c r="E437" s="7" t="n"/>
      <c r="F437" s="7" t="n"/>
      <c r="G437" s="7" t="n"/>
    </row>
    <row r="438">
      <c r="B438" s="7" t="n"/>
      <c r="C438" s="7" t="n"/>
      <c r="D438" s="7" t="n"/>
      <c r="E438" s="7" t="n"/>
      <c r="F438" s="7" t="n"/>
      <c r="G438" s="7" t="n"/>
    </row>
    <row r="439">
      <c r="B439" s="7" t="n"/>
      <c r="C439" s="7" t="n"/>
      <c r="D439" s="7" t="n"/>
      <c r="E439" s="7" t="n"/>
      <c r="F439" s="7" t="n"/>
      <c r="G439" s="7" t="n"/>
    </row>
    <row r="440">
      <c r="B440" s="7" t="n"/>
      <c r="C440" s="7" t="n"/>
      <c r="D440" s="7" t="n"/>
      <c r="E440" s="7" t="n"/>
      <c r="F440" s="7" t="n"/>
      <c r="G440" s="7" t="n"/>
    </row>
    <row r="441">
      <c r="B441" s="7" t="n"/>
      <c r="C441" s="7" t="n"/>
      <c r="D441" s="7" t="n"/>
      <c r="E441" s="7" t="n"/>
      <c r="F441" s="7" t="n"/>
      <c r="G441" s="7" t="n"/>
    </row>
    <row r="442">
      <c r="B442" s="7" t="n"/>
      <c r="C442" s="7" t="n"/>
      <c r="D442" s="7" t="n"/>
      <c r="E442" s="7" t="n"/>
      <c r="F442" s="7" t="n"/>
      <c r="G442" s="7" t="n"/>
    </row>
    <row r="443">
      <c r="B443" s="7" t="n"/>
      <c r="C443" s="7" t="n"/>
      <c r="D443" s="7" t="n"/>
      <c r="E443" s="7" t="n"/>
      <c r="F443" s="7" t="n"/>
      <c r="G443" s="7" t="n"/>
    </row>
    <row r="444">
      <c r="B444" s="7" t="n"/>
      <c r="C444" s="7" t="n"/>
      <c r="D444" s="7" t="n"/>
      <c r="E444" s="7" t="n"/>
      <c r="F444" s="7" t="n"/>
      <c r="G444" s="7" t="n"/>
    </row>
    <row r="445">
      <c r="B445" s="7" t="n"/>
      <c r="C445" s="7" t="n"/>
      <c r="D445" s="7" t="n"/>
      <c r="E445" s="7" t="n"/>
      <c r="F445" s="7" t="n"/>
      <c r="G445" s="7" t="n"/>
    </row>
    <row r="446">
      <c r="B446" s="7" t="n"/>
      <c r="C446" s="7" t="n"/>
      <c r="D446" s="7" t="n"/>
      <c r="E446" s="7" t="n"/>
      <c r="F446" s="7" t="n"/>
      <c r="G446" s="7" t="n"/>
    </row>
    <row r="447">
      <c r="B447" s="7" t="n"/>
      <c r="C447" s="7" t="n"/>
      <c r="D447" s="7" t="n"/>
      <c r="E447" s="7" t="n"/>
      <c r="F447" s="7" t="n"/>
      <c r="G447" s="7" t="n"/>
    </row>
    <row r="448">
      <c r="B448" s="7" t="n"/>
      <c r="C448" s="7" t="n"/>
      <c r="D448" s="7" t="n"/>
      <c r="E448" s="7" t="n"/>
      <c r="F448" s="7" t="n"/>
      <c r="G448" s="7" t="n"/>
    </row>
    <row r="449">
      <c r="B449" s="7" t="n"/>
      <c r="C449" s="7" t="n"/>
      <c r="D449" s="7" t="n"/>
      <c r="E449" s="7" t="n"/>
      <c r="F449" s="7" t="n"/>
      <c r="G449" s="7" t="n"/>
    </row>
    <row r="450">
      <c r="B450" s="7" t="n"/>
      <c r="C450" s="7" t="n"/>
      <c r="D450" s="7" t="n"/>
      <c r="E450" s="7" t="n"/>
      <c r="F450" s="7" t="n"/>
      <c r="G450" s="7" t="n"/>
    </row>
    <row r="451">
      <c r="B451" s="7" t="n"/>
      <c r="C451" s="7" t="n"/>
      <c r="D451" s="7" t="n"/>
      <c r="E451" s="7" t="n"/>
      <c r="F451" s="7" t="n"/>
      <c r="G451" s="7" t="n"/>
    </row>
    <row r="452">
      <c r="B452" s="7" t="n"/>
      <c r="C452" s="7" t="n"/>
      <c r="D452" s="7" t="n"/>
      <c r="E452" s="7" t="n"/>
      <c r="F452" s="7" t="n"/>
      <c r="G452" s="7" t="n"/>
    </row>
    <row r="453">
      <c r="B453" s="7" t="n"/>
      <c r="C453" s="7" t="n"/>
      <c r="D453" s="7" t="n"/>
      <c r="E453" s="7" t="n"/>
      <c r="F453" s="7" t="n"/>
      <c r="G453" s="7" t="n"/>
    </row>
    <row r="454">
      <c r="B454" s="7" t="n"/>
      <c r="C454" s="7" t="n"/>
      <c r="D454" s="7" t="n"/>
      <c r="E454" s="7" t="n"/>
      <c r="F454" s="7" t="n"/>
      <c r="G454" s="7" t="n"/>
    </row>
    <row r="455">
      <c r="B455" s="7" t="n"/>
      <c r="C455" s="7" t="n"/>
      <c r="D455" s="7" t="n"/>
      <c r="E455" s="7" t="n"/>
      <c r="F455" s="7" t="n"/>
      <c r="G455" s="7" t="n"/>
    </row>
    <row r="456">
      <c r="B456" s="7" t="n"/>
      <c r="C456" s="7" t="n"/>
      <c r="D456" s="7" t="n"/>
      <c r="E456" s="7" t="n"/>
      <c r="F456" s="7" t="n"/>
      <c r="G456" s="7" t="n"/>
    </row>
    <row r="457">
      <c r="B457" s="7" t="n"/>
      <c r="C457" s="7" t="n"/>
      <c r="D457" s="7" t="n"/>
      <c r="E457" s="7" t="n"/>
      <c r="F457" s="7" t="n"/>
      <c r="G457" s="7" t="n"/>
    </row>
    <row r="458">
      <c r="B458" s="7" t="n"/>
      <c r="C458" s="7" t="n"/>
      <c r="D458" s="7" t="n"/>
      <c r="E458" s="7" t="n"/>
      <c r="F458" s="7" t="n"/>
      <c r="G458" s="7" t="n"/>
    </row>
    <row r="459">
      <c r="B459" s="7" t="n"/>
      <c r="C459" s="7" t="n"/>
      <c r="D459" s="7" t="n"/>
      <c r="E459" s="7" t="n"/>
      <c r="F459" s="7" t="n"/>
      <c r="G459" s="7" t="n"/>
    </row>
    <row r="460">
      <c r="B460" s="7" t="n"/>
      <c r="C460" s="7" t="n"/>
      <c r="D460" s="7" t="n"/>
      <c r="E460" s="7" t="n"/>
      <c r="F460" s="7" t="n"/>
      <c r="G460" s="7" t="n"/>
    </row>
    <row r="461">
      <c r="B461" s="7" t="n"/>
      <c r="C461" s="7" t="n"/>
      <c r="D461" s="7" t="n"/>
      <c r="E461" s="7" t="n"/>
      <c r="F461" s="7" t="n"/>
      <c r="G461" s="7" t="n"/>
    </row>
    <row r="462">
      <c r="B462" s="7" t="n"/>
      <c r="C462" s="7" t="n"/>
      <c r="D462" s="7" t="n"/>
      <c r="E462" s="7" t="n"/>
      <c r="F462" s="7" t="n"/>
      <c r="G462" s="7" t="n"/>
    </row>
    <row r="463">
      <c r="B463" s="7" t="n"/>
      <c r="C463" s="7" t="n"/>
      <c r="D463" s="7" t="n"/>
      <c r="E463" s="7" t="n"/>
      <c r="F463" s="7" t="n"/>
      <c r="G463" s="7" t="n"/>
    </row>
    <row r="464">
      <c r="B464" s="7" t="n"/>
      <c r="C464" s="7" t="n"/>
      <c r="D464" s="7" t="n"/>
      <c r="E464" s="7" t="n"/>
      <c r="F464" s="7" t="n"/>
      <c r="G464" s="7" t="n"/>
    </row>
    <row r="465">
      <c r="B465" s="7" t="n"/>
      <c r="C465" s="7" t="n"/>
      <c r="D465" s="7" t="n"/>
      <c r="E465" s="7" t="n"/>
      <c r="F465" s="7" t="n"/>
      <c r="G465" s="7" t="n"/>
    </row>
    <row r="466">
      <c r="B466" s="7" t="n"/>
      <c r="C466" s="7" t="n"/>
      <c r="D466" s="7" t="n"/>
      <c r="E466" s="7" t="n"/>
      <c r="F466" s="7" t="n"/>
      <c r="G466" s="7" t="n"/>
    </row>
    <row r="467">
      <c r="B467" s="7" t="n"/>
      <c r="C467" s="7" t="n"/>
      <c r="D467" s="7" t="n"/>
      <c r="E467" s="7" t="n"/>
      <c r="F467" s="7" t="n"/>
      <c r="G467" s="7" t="n"/>
    </row>
    <row r="468">
      <c r="B468" s="7" t="n"/>
      <c r="C468" s="7" t="n"/>
      <c r="D468" s="7" t="n"/>
      <c r="E468" s="7" t="n"/>
      <c r="F468" s="7" t="n"/>
      <c r="G468" s="7" t="n"/>
    </row>
    <row r="469">
      <c r="B469" s="7" t="n"/>
      <c r="C469" s="7" t="n"/>
      <c r="D469" s="7" t="n"/>
      <c r="E469" s="7" t="n"/>
      <c r="F469" s="7" t="n"/>
      <c r="G469" s="7" t="n"/>
    </row>
    <row r="470">
      <c r="B470" s="7" t="n"/>
      <c r="C470" s="7" t="n"/>
      <c r="D470" s="7" t="n"/>
      <c r="E470" s="7" t="n"/>
      <c r="F470" s="7" t="n"/>
      <c r="G470" s="7" t="n"/>
    </row>
    <row r="471">
      <c r="B471" s="7" t="n"/>
      <c r="C471" s="7" t="n"/>
      <c r="D471" s="7" t="n"/>
      <c r="E471" s="7" t="n"/>
      <c r="F471" s="7" t="n"/>
      <c r="G471" s="7" t="n"/>
    </row>
    <row r="472">
      <c r="B472" s="7" t="n"/>
      <c r="C472" s="7" t="n"/>
      <c r="D472" s="7" t="n"/>
      <c r="E472" s="7" t="n"/>
      <c r="F472" s="7" t="n"/>
      <c r="G472" s="7" t="n"/>
    </row>
    <row r="473">
      <c r="B473" s="7" t="n"/>
      <c r="C473" s="7" t="n"/>
      <c r="D473" s="7" t="n"/>
      <c r="E473" s="7" t="n"/>
      <c r="F473" s="7" t="n"/>
      <c r="G473" s="7" t="n"/>
    </row>
    <row r="474">
      <c r="B474" s="7" t="n"/>
      <c r="C474" s="7" t="n"/>
      <c r="D474" s="7" t="n"/>
      <c r="E474" s="7" t="n"/>
      <c r="F474" s="7" t="n"/>
      <c r="G474" s="7" t="n"/>
    </row>
    <row r="475">
      <c r="B475" s="7" t="n"/>
      <c r="C475" s="7" t="n"/>
      <c r="D475" s="7" t="n"/>
      <c r="E475" s="7" t="n"/>
      <c r="F475" s="7" t="n"/>
      <c r="G475" s="7" t="n"/>
    </row>
    <row r="476">
      <c r="B476" s="7" t="n"/>
      <c r="C476" s="7" t="n"/>
      <c r="D476" s="7" t="n"/>
      <c r="E476" s="7" t="n"/>
      <c r="F476" s="7" t="n"/>
      <c r="G476" s="7" t="n"/>
    </row>
    <row r="477">
      <c r="B477" s="7" t="n"/>
      <c r="C477" s="7" t="n"/>
      <c r="D477" s="7" t="n"/>
      <c r="E477" s="7" t="n"/>
      <c r="F477" s="7" t="n"/>
      <c r="G477" s="7" t="n"/>
    </row>
    <row r="478">
      <c r="B478" s="7" t="n"/>
      <c r="C478" s="7" t="n"/>
      <c r="D478" s="7" t="n"/>
      <c r="E478" s="7" t="n"/>
      <c r="F478" s="7" t="n"/>
      <c r="G478" s="7" t="n"/>
    </row>
    <row r="479">
      <c r="B479" s="7" t="n"/>
      <c r="C479" s="7" t="n"/>
      <c r="D479" s="7" t="n"/>
      <c r="E479" s="7" t="n"/>
      <c r="F479" s="7" t="n"/>
      <c r="G479" s="7" t="n"/>
    </row>
    <row r="480">
      <c r="B480" s="7" t="n"/>
      <c r="C480" s="7" t="n"/>
      <c r="D480" s="7" t="n"/>
      <c r="E480" s="7" t="n"/>
      <c r="F480" s="7" t="n"/>
      <c r="G480" s="7" t="n"/>
    </row>
    <row r="481">
      <c r="B481" s="7" t="n"/>
      <c r="C481" s="7" t="n"/>
      <c r="D481" s="7" t="n"/>
      <c r="E481" s="7" t="n"/>
      <c r="F481" s="7" t="n"/>
      <c r="G481" s="7" t="n"/>
    </row>
    <row r="482">
      <c r="B482" s="7" t="n"/>
      <c r="C482" s="7" t="n"/>
      <c r="D482" s="7" t="n"/>
      <c r="E482" s="7" t="n"/>
      <c r="F482" s="7" t="n"/>
      <c r="G482" s="7" t="n"/>
    </row>
    <row r="483">
      <c r="B483" s="7" t="n"/>
      <c r="C483" s="7" t="n"/>
      <c r="D483" s="7" t="n"/>
      <c r="E483" s="7" t="n"/>
      <c r="F483" s="7" t="n"/>
      <c r="G483" s="7" t="n"/>
    </row>
    <row r="484">
      <c r="B484" s="7" t="n"/>
      <c r="C484" s="7" t="n"/>
      <c r="D484" s="7" t="n"/>
      <c r="E484" s="7" t="n"/>
      <c r="F484" s="7" t="n"/>
      <c r="G484" s="7" t="n"/>
    </row>
    <row r="485">
      <c r="B485" s="7" t="n"/>
      <c r="C485" s="7" t="n"/>
      <c r="D485" s="7" t="n"/>
      <c r="E485" s="7" t="n"/>
      <c r="F485" s="7" t="n"/>
      <c r="G485" s="7" t="n"/>
    </row>
    <row r="486">
      <c r="B486" s="7" t="n"/>
      <c r="C486" s="7" t="n"/>
      <c r="D486" s="7" t="n"/>
      <c r="E486" s="7" t="n"/>
      <c r="F486" s="7" t="n"/>
      <c r="G486" s="7" t="n"/>
    </row>
    <row r="487">
      <c r="B487" s="7" t="n"/>
      <c r="C487" s="7" t="n"/>
      <c r="D487" s="7" t="n"/>
      <c r="E487" s="7" t="n"/>
      <c r="F487" s="7" t="n"/>
      <c r="G487" s="7" t="n"/>
    </row>
    <row r="488">
      <c r="B488" s="7" t="n"/>
      <c r="C488" s="7" t="n"/>
      <c r="D488" s="7" t="n"/>
      <c r="E488" s="7" t="n"/>
      <c r="F488" s="7" t="n"/>
      <c r="G488" s="7" t="n"/>
    </row>
    <row r="489">
      <c r="B489" s="7" t="n"/>
      <c r="C489" s="7" t="n"/>
      <c r="D489" s="7" t="n"/>
      <c r="E489" s="7" t="n"/>
      <c r="F489" s="7" t="n"/>
      <c r="G489" s="7" t="n"/>
    </row>
    <row r="490">
      <c r="B490" s="7" t="n"/>
      <c r="C490" s="7" t="n"/>
      <c r="D490" s="7" t="n"/>
      <c r="E490" s="7" t="n"/>
      <c r="F490" s="7" t="n"/>
      <c r="G490" s="7" t="n"/>
    </row>
    <row r="491">
      <c r="B491" s="7" t="n"/>
      <c r="C491" s="7" t="n"/>
      <c r="D491" s="7" t="n"/>
      <c r="E491" s="7" t="n"/>
      <c r="F491" s="7" t="n"/>
      <c r="G491" s="7" t="n"/>
    </row>
    <row r="492">
      <c r="B492" s="7" t="n"/>
      <c r="C492" s="7" t="n"/>
      <c r="D492" s="7" t="n"/>
      <c r="E492" s="7" t="n"/>
      <c r="F492" s="7" t="n"/>
      <c r="G492" s="7" t="n"/>
    </row>
    <row r="493">
      <c r="B493" s="7" t="n"/>
      <c r="C493" s="7" t="n"/>
      <c r="D493" s="7" t="n"/>
      <c r="E493" s="7" t="n"/>
      <c r="F493" s="7" t="n"/>
      <c r="G493" s="7" t="n"/>
    </row>
    <row r="494">
      <c r="B494" s="7" t="n"/>
      <c r="C494" s="7" t="n"/>
      <c r="D494" s="7" t="n"/>
      <c r="E494" s="7" t="n"/>
      <c r="F494" s="7" t="n"/>
      <c r="G494" s="7" t="n"/>
    </row>
    <row r="495">
      <c r="B495" s="7" t="n"/>
      <c r="C495" s="7" t="n"/>
      <c r="D495" s="7" t="n"/>
      <c r="E495" s="7" t="n"/>
      <c r="F495" s="7" t="n"/>
      <c r="G495" s="7" t="n"/>
    </row>
    <row r="496">
      <c r="B496" s="7" t="n"/>
      <c r="C496" s="7" t="n"/>
      <c r="D496" s="7" t="n"/>
      <c r="E496" s="7" t="n"/>
      <c r="F496" s="7" t="n"/>
      <c r="G496" s="7" t="n"/>
    </row>
    <row r="497">
      <c r="B497" s="7" t="n"/>
      <c r="C497" s="7" t="n"/>
      <c r="D497" s="7" t="n"/>
      <c r="E497" s="7" t="n"/>
      <c r="F497" s="7" t="n"/>
      <c r="G497" s="7" t="n"/>
    </row>
    <row r="498">
      <c r="B498" s="7" t="n"/>
      <c r="C498" s="7" t="n"/>
      <c r="D498" s="7" t="n"/>
      <c r="E498" s="7" t="n"/>
      <c r="F498" s="7" t="n"/>
      <c r="G498" s="7" t="n"/>
    </row>
    <row r="499">
      <c r="B499" s="7" t="n"/>
      <c r="C499" s="7" t="n"/>
      <c r="D499" s="7" t="n"/>
      <c r="E499" s="7" t="n"/>
      <c r="F499" s="7" t="n"/>
      <c r="G499" s="7" t="n"/>
    </row>
    <row r="500">
      <c r="B500" s="7" t="n"/>
      <c r="C500" s="7" t="n"/>
      <c r="D500" s="7" t="n"/>
      <c r="E500" s="7" t="n"/>
      <c r="F500" s="7" t="n"/>
      <c r="G500" s="7" t="n"/>
    </row>
  </sheetData>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1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4.25"/>
  <cols>
    <col width="19" customWidth="1" style="1" min="1" max="10"/>
  </cols>
  <sheetData>
    <row r="1" ht="24" customHeight="1" s="1">
      <c r="A1" s="4" t="inlineStr">
        <is>
          <t>ID</t>
        </is>
      </c>
      <c r="B1" s="4" t="inlineStr">
        <is>
          <t>Risco</t>
        </is>
      </c>
      <c r="C1" s="4" t="inlineStr">
        <is>
          <t>Área</t>
        </is>
      </c>
      <c r="D1" s="4" t="inlineStr">
        <is>
          <t>Cidade/UF</t>
        </is>
      </c>
      <c r="E1" s="4" t="inlineStr">
        <is>
          <t>Probabilidade</t>
        </is>
      </c>
      <c r="F1" s="4" t="inlineStr">
        <is>
          <t>Impacto</t>
        </is>
      </c>
      <c r="G1" s="4" t="inlineStr">
        <is>
          <t>Nível</t>
        </is>
      </c>
      <c r="H1" s="4" t="inlineStr">
        <is>
          <t>Responsável</t>
        </is>
      </c>
      <c r="I1" s="4" t="inlineStr">
        <is>
          <t>Plano de Mitigação</t>
        </is>
      </c>
      <c r="J1" s="4" t="inlineStr">
        <is>
          <t>Status</t>
        </is>
      </c>
    </row>
    <row r="2">
      <c r="A2" s="23" t="inlineStr">
        <is>
          <t>RSK-001</t>
        </is>
      </c>
      <c r="B2" s="23" t="inlineStr">
        <is>
          <t>Atraso em obra</t>
        </is>
      </c>
      <c r="C2" s="23" t="inlineStr">
        <is>
          <t>Infraestrutura</t>
        </is>
      </c>
      <c r="D2" s="23" t="inlineStr">
        <is>
          <t>São Paulo/SP</t>
        </is>
      </c>
      <c r="E2" s="23" t="inlineStr">
        <is>
          <t>Alta</t>
        </is>
      </c>
      <c r="F2" s="23" t="inlineStr">
        <is>
          <t>Alto</t>
        </is>
      </c>
      <c r="G2" s="23" t="inlineStr">
        <is>
          <t>Crítico</t>
        </is>
      </c>
      <c r="H2" s="23" t="inlineStr">
        <is>
          <t>Gestor local</t>
        </is>
      </c>
      <c r="I2" s="23" t="inlineStr">
        <is>
          <t>Plano de contingência</t>
        </is>
      </c>
      <c r="J2" s="23" t="inlineStr">
        <is>
          <t>Aberto</t>
        </is>
      </c>
    </row>
    <row r="3">
      <c r="A3" s="23" t="inlineStr">
        <is>
          <t>RSK-002</t>
        </is>
      </c>
      <c r="B3" s="23" t="inlineStr">
        <is>
          <t>Baixa adesão voluntária</t>
        </is>
      </c>
      <c r="C3" s="23" t="inlineStr">
        <is>
          <t>Voluntariado</t>
        </is>
      </c>
      <c r="D3" s="23" t="inlineStr">
        <is>
          <t>Recife/PE</t>
        </is>
      </c>
      <c r="E3" s="23" t="inlineStr">
        <is>
          <t>Média</t>
        </is>
      </c>
      <c r="F3" s="23" t="inlineStr">
        <is>
          <t>Médio</t>
        </is>
      </c>
      <c r="G3" s="23" t="inlineStr">
        <is>
          <t>Médio</t>
        </is>
      </c>
      <c r="H3" s="23" t="inlineStr">
        <is>
          <t>Coordenação</t>
        </is>
      </c>
      <c r="I3" s="23" t="inlineStr">
        <is>
          <t>Campanha de recrutamento</t>
        </is>
      </c>
      <c r="J3" s="23" t="inlineStr">
        <is>
          <t>Aberto</t>
        </is>
      </c>
    </row>
    <row r="4">
      <c r="A4" s="23" t="inlineStr">
        <is>
          <t>RSK-003</t>
        </is>
      </c>
      <c r="B4" s="23" t="inlineStr">
        <is>
          <t>Evento sem licença</t>
        </is>
      </c>
      <c r="C4" s="23" t="inlineStr">
        <is>
          <t>Operação</t>
        </is>
      </c>
      <c r="D4" s="23" t="inlineStr">
        <is>
          <t>Rio de Janeiro/RJ</t>
        </is>
      </c>
      <c r="E4" s="23" t="inlineStr">
        <is>
          <t>Baixa</t>
        </is>
      </c>
      <c r="F4" s="23" t="inlineStr">
        <is>
          <t>Alto</t>
        </is>
      </c>
      <c r="G4" s="23" t="inlineStr">
        <is>
          <t>Alto</t>
        </is>
      </c>
      <c r="H4" s="23" t="inlineStr">
        <is>
          <t>Produção</t>
        </is>
      </c>
      <c r="I4" s="23" t="inlineStr">
        <is>
          <t>Checklist legal</t>
        </is>
      </c>
      <c r="J4" s="23" t="inlineStr">
        <is>
          <t>Monitorado</t>
        </is>
      </c>
    </row>
    <row r="5">
      <c r="A5" s="23" t="inlineStr">
        <is>
          <t>RSK-004</t>
        </is>
      </c>
      <c r="B5" s="23" t="inlineStr">
        <is>
          <t>Cobertura negativa</t>
        </is>
      </c>
      <c r="C5" s="23" t="inlineStr">
        <is>
          <t>Comunicação</t>
        </is>
      </c>
      <c r="D5" s="23" t="inlineStr">
        <is>
          <t>Brasil</t>
        </is>
      </c>
      <c r="E5" s="23" t="inlineStr">
        <is>
          <t>Média</t>
        </is>
      </c>
      <c r="F5" s="23" t="inlineStr">
        <is>
          <t>Médio</t>
        </is>
      </c>
      <c r="G5" s="23" t="inlineStr">
        <is>
          <t>Médio</t>
        </is>
      </c>
      <c r="H5" s="23" t="inlineStr">
        <is>
          <t>Imprensa</t>
        </is>
      </c>
      <c r="I5" s="23" t="inlineStr">
        <is>
          <t>Plano de resposta</t>
        </is>
      </c>
      <c r="J5" s="23" t="inlineStr">
        <is>
          <t>Monitorado</t>
        </is>
      </c>
    </row>
  </sheetData>
  <conditionalFormatting sqref="G2:G500">
    <cfRule type="expression" priority="1" dxfId="0">
      <formula>G2="Crítico"</formula>
    </cfRule>
  </conditionalFormatting>
  <dataValidations count="3">
    <dataValidation sqref="E2:E500" showDropDown="0" showInputMessage="0" showErrorMessage="0" allowBlank="0" type="list">
      <formula1>"Baixa,Média,Alta"</formula1>
    </dataValidation>
    <dataValidation sqref="F2:G500" showDropDown="0" showInputMessage="0" showErrorMessage="0" allowBlank="0" type="list">
      <formula1>"Baixo,Médio,Alto,Crítico"</formula1>
    </dataValidation>
    <dataValidation sqref="J2:J500" showDropDown="0" showInputMessage="0" showErrorMessage="0" allowBlank="0" type="list">
      <formula1>"Aberto,Monitorado,Mitigado,Encerrado"</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4.25"/>
  <cols>
    <col width="22" customWidth="1" style="1" min="1" max="4"/>
  </cols>
  <sheetData>
    <row r="1" ht="24" customHeight="1" s="1">
      <c r="A1" s="4" t="inlineStr">
        <is>
          <t>UF</t>
        </is>
      </c>
      <c r="B1" s="4" t="inlineStr">
        <is>
          <t>Região</t>
        </is>
      </c>
      <c r="C1" s="4" t="inlineStr">
        <is>
          <t>Status Evento</t>
        </is>
      </c>
      <c r="D1" s="4" t="inlineStr">
        <is>
          <t>Categoria</t>
        </is>
      </c>
    </row>
    <row r="2">
      <c r="A2" s="23" t="inlineStr">
        <is>
          <t>AC</t>
        </is>
      </c>
      <c r="B2" s="23" t="inlineStr">
        <is>
          <t>Norte</t>
        </is>
      </c>
      <c r="C2" s="23" t="inlineStr">
        <is>
          <t>Planejado</t>
        </is>
      </c>
      <c r="D2" s="23" t="inlineStr">
        <is>
          <t>Fan Fest</t>
        </is>
      </c>
    </row>
    <row r="3">
      <c r="A3" s="23" t="inlineStr">
        <is>
          <t>AL</t>
        </is>
      </c>
      <c r="B3" s="23" t="inlineStr">
        <is>
          <t>Nordeste</t>
        </is>
      </c>
      <c r="C3" s="23" t="inlineStr">
        <is>
          <t>Confirmado</t>
        </is>
      </c>
      <c r="D3" s="23" t="inlineStr">
        <is>
          <t>Workshop</t>
        </is>
      </c>
    </row>
    <row r="4">
      <c r="A4" s="23" t="inlineStr">
        <is>
          <t>AP</t>
        </is>
      </c>
      <c r="B4" s="23" t="inlineStr">
        <is>
          <t>Norte</t>
        </is>
      </c>
      <c r="C4" s="23" t="inlineStr">
        <is>
          <t>Em execução</t>
        </is>
      </c>
      <c r="D4" s="23" t="inlineStr">
        <is>
          <t>Clínica esportiva</t>
        </is>
      </c>
    </row>
    <row r="5">
      <c r="A5" s="23" t="inlineStr">
        <is>
          <t>AM</t>
        </is>
      </c>
      <c r="B5" s="23" t="inlineStr">
        <is>
          <t>Norte</t>
        </is>
      </c>
      <c r="C5" s="23" t="inlineStr">
        <is>
          <t>Realizado</t>
        </is>
      </c>
      <c r="D5" s="23" t="inlineStr">
        <is>
          <t>Seminário</t>
        </is>
      </c>
    </row>
    <row r="6">
      <c r="A6" s="23" t="inlineStr">
        <is>
          <t>BA</t>
        </is>
      </c>
      <c r="B6" s="23" t="inlineStr">
        <is>
          <t>Nordeste</t>
        </is>
      </c>
      <c r="C6" s="23" t="inlineStr">
        <is>
          <t>Cancelado</t>
        </is>
      </c>
      <c r="D6" s="23" t="inlineStr">
        <is>
          <t>Ativação patrocinador</t>
        </is>
      </c>
    </row>
    <row r="7">
      <c r="A7" s="23" t="inlineStr">
        <is>
          <t>CE</t>
        </is>
      </c>
      <c r="B7" s="23" t="inlineStr">
        <is>
          <t>Nordeste</t>
        </is>
      </c>
      <c r="C7" s="23" t="n"/>
      <c r="D7" s="23" t="inlineStr">
        <is>
          <t>Legado</t>
        </is>
      </c>
    </row>
    <row r="8">
      <c r="A8" s="23" t="inlineStr">
        <is>
          <t>DF</t>
        </is>
      </c>
      <c r="B8" s="23" t="inlineStr">
        <is>
          <t>Centro-Oeste</t>
        </is>
      </c>
      <c r="C8" s="23" t="n"/>
      <c r="D8" s="23" t="inlineStr">
        <is>
          <t>Outro</t>
        </is>
      </c>
    </row>
    <row r="9">
      <c r="A9" s="23" t="inlineStr">
        <is>
          <t>ES</t>
        </is>
      </c>
      <c r="B9" s="23" t="inlineStr">
        <is>
          <t>Sudeste</t>
        </is>
      </c>
      <c r="C9" s="23" t="n"/>
      <c r="D9" s="23" t="n"/>
    </row>
    <row r="10">
      <c r="A10" s="23" t="inlineStr">
        <is>
          <t>GO</t>
        </is>
      </c>
      <c r="B10" s="23" t="inlineStr">
        <is>
          <t>Centro-Oeste</t>
        </is>
      </c>
      <c r="C10" s="23" t="n"/>
      <c r="D10" s="23" t="n"/>
    </row>
    <row r="11">
      <c r="A11" s="23" t="inlineStr">
        <is>
          <t>MA</t>
        </is>
      </c>
      <c r="B11" s="23" t="inlineStr">
        <is>
          <t>Nordeste</t>
        </is>
      </c>
      <c r="C11" s="23" t="n"/>
      <c r="D11" s="23" t="n"/>
    </row>
    <row r="12">
      <c r="A12" s="23" t="inlineStr">
        <is>
          <t>MT</t>
        </is>
      </c>
      <c r="B12" s="23" t="inlineStr">
        <is>
          <t>Centro-Oeste</t>
        </is>
      </c>
      <c r="C12" s="23" t="n"/>
      <c r="D12" s="23" t="n"/>
    </row>
    <row r="13">
      <c r="A13" s="23" t="inlineStr">
        <is>
          <t>MS</t>
        </is>
      </c>
      <c r="B13" s="23" t="inlineStr">
        <is>
          <t>Centro-Oeste</t>
        </is>
      </c>
      <c r="C13" s="23" t="n"/>
      <c r="D13" s="23" t="n"/>
    </row>
    <row r="14">
      <c r="A14" s="23" t="inlineStr">
        <is>
          <t>MG</t>
        </is>
      </c>
      <c r="B14" s="23" t="inlineStr">
        <is>
          <t>Sudeste</t>
        </is>
      </c>
      <c r="C14" s="23" t="n"/>
      <c r="D14" s="23" t="n"/>
    </row>
    <row r="15">
      <c r="A15" s="23" t="inlineStr">
        <is>
          <t>PA</t>
        </is>
      </c>
      <c r="B15" s="23" t="inlineStr">
        <is>
          <t>Norte</t>
        </is>
      </c>
      <c r="C15" s="23" t="n"/>
      <c r="D15" s="23" t="n"/>
    </row>
    <row r="16">
      <c r="A16" s="23" t="inlineStr">
        <is>
          <t>PB</t>
        </is>
      </c>
      <c r="B16" s="23" t="inlineStr">
        <is>
          <t>Nordeste</t>
        </is>
      </c>
      <c r="C16" s="23" t="n"/>
      <c r="D16" s="23" t="n"/>
    </row>
    <row r="17">
      <c r="A17" s="23" t="inlineStr">
        <is>
          <t>PR</t>
        </is>
      </c>
      <c r="B17" s="23" t="inlineStr">
        <is>
          <t>Sul</t>
        </is>
      </c>
    </row>
    <row r="18">
      <c r="A18" s="23" t="inlineStr">
        <is>
          <t>PE</t>
        </is>
      </c>
      <c r="B18" s="23" t="inlineStr">
        <is>
          <t>Nordeste</t>
        </is>
      </c>
    </row>
    <row r="19">
      <c r="A19" s="23" t="inlineStr">
        <is>
          <t>PI</t>
        </is>
      </c>
      <c r="B19" s="23" t="inlineStr">
        <is>
          <t>Nordeste</t>
        </is>
      </c>
    </row>
    <row r="20">
      <c r="A20" s="23" t="inlineStr">
        <is>
          <t>RJ</t>
        </is>
      </c>
      <c r="B20" s="23" t="inlineStr">
        <is>
          <t>Sudeste</t>
        </is>
      </c>
    </row>
    <row r="21">
      <c r="A21" s="23" t="inlineStr">
        <is>
          <t>RN</t>
        </is>
      </c>
      <c r="B21" s="23" t="inlineStr">
        <is>
          <t>Nordeste</t>
        </is>
      </c>
    </row>
    <row r="22">
      <c r="A22" s="23" t="inlineStr">
        <is>
          <t>RS</t>
        </is>
      </c>
      <c r="B22" s="23" t="inlineStr">
        <is>
          <t>Sul</t>
        </is>
      </c>
    </row>
    <row r="23">
      <c r="A23" s="23" t="inlineStr">
        <is>
          <t>RO</t>
        </is>
      </c>
      <c r="B23" s="23" t="inlineStr">
        <is>
          <t>Norte</t>
        </is>
      </c>
    </row>
    <row r="24">
      <c r="A24" s="23" t="inlineStr">
        <is>
          <t>RR</t>
        </is>
      </c>
      <c r="B24" s="23" t="inlineStr">
        <is>
          <t>Norte</t>
        </is>
      </c>
    </row>
    <row r="25">
      <c r="A25" s="23" t="inlineStr">
        <is>
          <t>SC</t>
        </is>
      </c>
      <c r="B25" s="23" t="inlineStr">
        <is>
          <t>Sul</t>
        </is>
      </c>
    </row>
    <row r="26">
      <c r="A26" s="23" t="inlineStr">
        <is>
          <t>SP</t>
        </is>
      </c>
      <c r="B26" s="23" t="inlineStr">
        <is>
          <t>Sudeste</t>
        </is>
      </c>
    </row>
    <row r="27">
      <c r="A27" s="23" t="inlineStr">
        <is>
          <t>SE</t>
        </is>
      </c>
      <c r="B27" s="23" t="inlineStr">
        <is>
          <t>Nordeste</t>
        </is>
      </c>
    </row>
    <row r="28">
      <c r="A28" s="23" t="inlineStr">
        <is>
          <t>TO</t>
        </is>
      </c>
      <c r="B28" s="23" t="inlineStr">
        <is>
          <t>Norte</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4.25"/>
  <cols>
    <col width="26" customWidth="1" style="1" min="1" max="1"/>
    <col width="42" customWidth="1" style="1" min="2" max="2"/>
    <col width="26" customWidth="1" style="1" min="3" max="5"/>
    <col width="34" customWidth="1" style="1" min="6" max="6"/>
  </cols>
  <sheetData>
    <row r="1" ht="24" customHeight="1" s="1">
      <c r="A1" s="26" t="inlineStr">
        <is>
          <t>MANUAL RÁPIDO | RADAR BRASIL 2027 V5</t>
        </is>
      </c>
      <c r="B1" s="23" t="n"/>
      <c r="C1" s="23" t="n"/>
      <c r="D1" s="23" t="n"/>
      <c r="E1" s="23" t="n"/>
      <c r="F1" s="23" t="n"/>
    </row>
    <row r="2">
      <c r="A2" s="23" t="n"/>
      <c r="B2" s="23" t="n"/>
      <c r="C2" s="23" t="n"/>
      <c r="D2" s="23" t="n"/>
      <c r="E2" s="23" t="n"/>
      <c r="F2" s="23" t="n"/>
    </row>
    <row r="4" ht="15" customHeight="1" s="1">
      <c r="A4" s="4" t="inlineStr">
        <is>
          <t>Etapa</t>
        </is>
      </c>
      <c r="B4" s="4" t="inlineStr">
        <is>
          <t>O que fazer</t>
        </is>
      </c>
      <c r="C4" s="4" t="inlineStr">
        <is>
          <t>Aba principal</t>
        </is>
      </c>
      <c r="D4" s="4" t="inlineStr">
        <is>
          <t>Periodicidade</t>
        </is>
      </c>
      <c r="E4" s="4" t="inlineStr">
        <is>
          <t>Responsável</t>
        </is>
      </c>
      <c r="F4" s="4" t="inlineStr">
        <is>
          <t>Observação</t>
        </is>
      </c>
    </row>
    <row r="5">
      <c r="A5" s="23" t="inlineStr">
        <is>
          <t>1</t>
        </is>
      </c>
      <c r="B5" s="23" t="inlineStr">
        <is>
          <t>Cadastrar ou atualizar eventos</t>
        </is>
      </c>
      <c r="C5" s="23" t="inlineStr">
        <is>
          <t>02_Eventos</t>
        </is>
      </c>
      <c r="D5" s="23" t="inlineStr">
        <is>
          <t>Semanal</t>
        </is>
      </c>
      <c r="E5" s="23" t="inlineStr">
        <is>
          <t>Equipe de inteligência</t>
        </is>
      </c>
      <c r="F5" s="23" t="inlineStr">
        <is>
          <t>Preencher links e coordenadas</t>
        </is>
      </c>
    </row>
    <row r="6">
      <c r="A6" s="23" t="inlineStr">
        <is>
          <t>2</t>
        </is>
      </c>
      <c r="B6" s="23" t="inlineStr">
        <is>
          <t>Revisar agenda futura</t>
        </is>
      </c>
      <c r="C6" s="23" t="inlineStr">
        <is>
          <t>03_Agenda</t>
        </is>
      </c>
      <c r="D6" s="23" t="inlineStr">
        <is>
          <t>Semanal</t>
        </is>
      </c>
      <c r="E6" s="23" t="inlineStr">
        <is>
          <t>Coordenação</t>
        </is>
      </c>
      <c r="F6" s="23" t="inlineStr">
        <is>
          <t>Alimentada automaticamente</t>
        </is>
      </c>
    </row>
    <row r="7">
      <c r="A7" s="23" t="inlineStr">
        <is>
          <t>3</t>
        </is>
      </c>
      <c r="B7" s="23" t="inlineStr">
        <is>
          <t>Atualizar indicadores IAC e INP</t>
        </is>
      </c>
      <c r="C7" s="23" t="inlineStr">
        <is>
          <t>04_Radar_IAC / 05_Radar_INP</t>
        </is>
      </c>
      <c r="D7" s="23" t="inlineStr">
        <is>
          <t>Mensal</t>
        </is>
      </c>
      <c r="E7" s="23" t="inlineStr">
        <is>
          <t>Analistas</t>
        </is>
      </c>
      <c r="F7" s="23" t="inlineStr">
        <is>
          <t>Ajustar notas qualitativas</t>
        </is>
      </c>
    </row>
    <row r="8">
      <c r="A8" s="23" t="inlineStr">
        <is>
          <t>4</t>
        </is>
      </c>
      <c r="B8" s="23" t="inlineStr">
        <is>
          <t>Registrar notícias e mídia</t>
        </is>
      </c>
      <c r="C8" s="23" t="inlineStr">
        <is>
          <t>06_Noticias / 13_Midia</t>
        </is>
      </c>
      <c r="D8" s="23" t="inlineStr">
        <is>
          <t>Diária</t>
        </is>
      </c>
      <c r="E8" s="23" t="inlineStr">
        <is>
          <t>Comunicação</t>
        </is>
      </c>
      <c r="F8" s="23" t="inlineStr">
        <is>
          <t>Salvar URL da fonte</t>
        </is>
      </c>
    </row>
    <row r="9">
      <c r="A9" s="23" t="inlineStr">
        <is>
          <t>5</t>
        </is>
      </c>
      <c r="B9" s="23" t="inlineStr">
        <is>
          <t>Atualizar obras, legado e riscos</t>
        </is>
      </c>
      <c r="C9" s="23" t="inlineStr">
        <is>
          <t>10_Legado / 11_Obras / 14_Riscos</t>
        </is>
      </c>
      <c r="D9" s="23" t="inlineStr">
        <is>
          <t>Quinzenal</t>
        </is>
      </c>
      <c r="E9" s="23" t="inlineStr">
        <is>
          <t>PMO</t>
        </is>
      </c>
      <c r="F9" s="23" t="inlineStr">
        <is>
          <t>Priorizar itens críticos</t>
        </is>
      </c>
    </row>
    <row r="10">
      <c r="A10" s="23" t="inlineStr">
        <is>
          <t>6</t>
        </is>
      </c>
      <c r="B10" s="23" t="inlineStr">
        <is>
          <t>Apresentar painel executivo</t>
        </is>
      </c>
      <c r="C10" s="23" t="inlineStr">
        <is>
          <t>01_Dashboard</t>
        </is>
      </c>
      <c r="D10" s="23" t="inlineStr">
        <is>
          <t>Mensal</t>
        </is>
      </c>
      <c r="E10" s="23" t="inlineStr">
        <is>
          <t>Diretoria</t>
        </is>
      </c>
      <c r="F10" s="23" t="inlineStr">
        <is>
          <t>Atualizar arquivo antes da reunião</t>
        </is>
      </c>
    </row>
  </sheetData>
  <mergeCells count="1">
    <mergeCell ref="A1:F2"/>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4.25"/>
  <sheetData>
    <row r="1" ht="15" customHeight="1" s="1">
      <c r="A1" s="18" t="inlineStr">
        <is>
          <t>Município</t>
        </is>
      </c>
      <c r="B1" s="18" t="inlineStr">
        <is>
          <t>UF</t>
        </is>
      </c>
      <c r="C1" s="18" t="inlineStr">
        <is>
          <t>Região</t>
        </is>
      </c>
      <c r="D1" s="18" t="inlineStr">
        <is>
          <t>Latitude</t>
        </is>
      </c>
      <c r="E1" s="18" t="inlineStr">
        <is>
          <t>Longitude</t>
        </is>
      </c>
      <c r="F1" s="18" t="inlineStr">
        <is>
          <t>Cidade-Sede</t>
        </is>
      </c>
      <c r="G1" s="18" t="inlineStr">
        <is>
          <t>Distância Estimada (km)</t>
        </is>
      </c>
      <c r="H1" s="18" t="inlineStr">
        <is>
          <t>Aeroporto Principal</t>
        </is>
      </c>
      <c r="I1" s="18" t="inlineStr">
        <is>
          <t>Potencial de Ativação</t>
        </is>
      </c>
      <c r="J1" s="18" t="inlineStr">
        <is>
          <t>Observações</t>
        </is>
      </c>
    </row>
    <row r="2">
      <c r="A2" s="23" t="inlineStr">
        <is>
          <t>Rio de Janeiro</t>
        </is>
      </c>
      <c r="B2" s="23" t="inlineStr">
        <is>
          <t>RJ</t>
        </is>
      </c>
      <c r="C2" s="23" t="inlineStr">
        <is>
          <t>Sudeste</t>
        </is>
      </c>
      <c r="D2" s="23" t="n">
        <v>-22.9068</v>
      </c>
      <c r="E2" s="23" t="n">
        <v>-43.1729</v>
      </c>
      <c r="F2" s="23" t="inlineStr">
        <is>
          <t>Sim</t>
        </is>
      </c>
      <c r="G2" s="23" t="n">
        <v>0</v>
      </c>
      <c r="H2" s="23" t="inlineStr">
        <is>
          <t>GIG/SDU</t>
        </is>
      </c>
      <c r="I2" s="23" t="inlineStr">
        <is>
          <t>Muito Alto</t>
        </is>
      </c>
      <c r="J2" s="23" t="inlineStr">
        <is>
          <t>Cidade-sede</t>
        </is>
      </c>
    </row>
    <row r="3">
      <c r="A3" s="23" t="inlineStr">
        <is>
          <t>São Paulo</t>
        </is>
      </c>
      <c r="B3" s="23" t="inlineStr">
        <is>
          <t>SP</t>
        </is>
      </c>
      <c r="C3" s="23" t="inlineStr">
        <is>
          <t>Sudeste</t>
        </is>
      </c>
      <c r="D3" s="23" t="n">
        <v>-23.5505</v>
      </c>
      <c r="E3" s="23" t="n">
        <v>-46.6333</v>
      </c>
      <c r="F3" s="23" t="inlineStr">
        <is>
          <t>Sim</t>
        </is>
      </c>
      <c r="G3" s="23" t="n">
        <v>0</v>
      </c>
      <c r="H3" s="23" t="inlineStr">
        <is>
          <t>GRU/CGH</t>
        </is>
      </c>
      <c r="I3" s="23" t="inlineStr">
        <is>
          <t>Muito Alto</t>
        </is>
      </c>
      <c r="J3" s="23" t="inlineStr">
        <is>
          <t>Cidade-sede</t>
        </is>
      </c>
    </row>
    <row r="4">
      <c r="A4" s="23" t="inlineStr">
        <is>
          <t>Belo Horizonte</t>
        </is>
      </c>
      <c r="B4" s="23" t="inlineStr">
        <is>
          <t>MG</t>
        </is>
      </c>
      <c r="C4" s="23" t="inlineStr">
        <is>
          <t>Sudeste</t>
        </is>
      </c>
      <c r="D4" s="23" t="n">
        <v>-19.9167</v>
      </c>
      <c r="E4" s="23" t="n">
        <v>-43.9345</v>
      </c>
      <c r="F4" s="23" t="inlineStr">
        <is>
          <t>Sim</t>
        </is>
      </c>
      <c r="G4" s="23" t="n">
        <v>0</v>
      </c>
      <c r="H4" s="23" t="inlineStr">
        <is>
          <t>CNF</t>
        </is>
      </c>
      <c r="I4" s="23" t="inlineStr">
        <is>
          <t>Alto</t>
        </is>
      </c>
      <c r="J4" s="23" t="inlineStr">
        <is>
          <t>Cidade-sede</t>
        </is>
      </c>
    </row>
    <row r="5">
      <c r="A5" s="23" t="inlineStr">
        <is>
          <t>Salvador</t>
        </is>
      </c>
      <c r="B5" s="23" t="inlineStr">
        <is>
          <t>BA</t>
        </is>
      </c>
      <c r="C5" s="23" t="inlineStr">
        <is>
          <t>Nordeste</t>
        </is>
      </c>
      <c r="D5" s="23" t="n">
        <v>-12.9777</v>
      </c>
      <c r="E5" s="23" t="n">
        <v>-38.5016</v>
      </c>
      <c r="F5" s="23" t="inlineStr">
        <is>
          <t>Sim</t>
        </is>
      </c>
      <c r="G5" s="23" t="n">
        <v>0</v>
      </c>
      <c r="H5" s="23" t="inlineStr">
        <is>
          <t>SSA</t>
        </is>
      </c>
      <c r="I5" s="23" t="inlineStr">
        <is>
          <t>Alto</t>
        </is>
      </c>
      <c r="J5" s="23" t="inlineStr">
        <is>
          <t>Cidade-sede</t>
        </is>
      </c>
    </row>
    <row r="6">
      <c r="A6" s="23" t="inlineStr">
        <is>
          <t>Recife</t>
        </is>
      </c>
      <c r="B6" s="23" t="inlineStr">
        <is>
          <t>PE</t>
        </is>
      </c>
      <c r="C6" s="23" t="inlineStr">
        <is>
          <t>Nordeste</t>
        </is>
      </c>
      <c r="D6" s="23" t="n">
        <v>-8.047599999999999</v>
      </c>
      <c r="E6" s="23" t="n">
        <v>-34.877</v>
      </c>
      <c r="F6" s="23" t="inlineStr">
        <is>
          <t>Sim</t>
        </is>
      </c>
      <c r="G6" s="23" t="n">
        <v>0</v>
      </c>
      <c r="H6" s="23" t="inlineStr">
        <is>
          <t>REC</t>
        </is>
      </c>
      <c r="I6" s="23" t="inlineStr">
        <is>
          <t>Alto</t>
        </is>
      </c>
      <c r="J6" s="23" t="inlineStr">
        <is>
          <t>Cidade-sede</t>
        </is>
      </c>
    </row>
    <row r="7">
      <c r="A7" s="23" t="inlineStr">
        <is>
          <t>Fortaleza</t>
        </is>
      </c>
      <c r="B7" s="23" t="inlineStr">
        <is>
          <t>CE</t>
        </is>
      </c>
      <c r="C7" s="23" t="inlineStr">
        <is>
          <t>Nordeste</t>
        </is>
      </c>
      <c r="D7" s="23" t="n">
        <v>-3.7319</v>
      </c>
      <c r="E7" s="23" t="n">
        <v>-38.5267</v>
      </c>
      <c r="F7" s="23" t="inlineStr">
        <is>
          <t>Sim</t>
        </is>
      </c>
      <c r="G7" s="23" t="n">
        <v>0</v>
      </c>
      <c r="H7" s="23" t="inlineStr">
        <is>
          <t>FOR</t>
        </is>
      </c>
      <c r="I7" s="23" t="inlineStr">
        <is>
          <t>Alto</t>
        </is>
      </c>
      <c r="J7" s="23" t="inlineStr">
        <is>
          <t>Cidade-sede</t>
        </is>
      </c>
    </row>
    <row r="8">
      <c r="A8" s="23" t="inlineStr">
        <is>
          <t>Brasília</t>
        </is>
      </c>
      <c r="B8" s="23" t="inlineStr">
        <is>
          <t>DF</t>
        </is>
      </c>
      <c r="C8" s="23" t="inlineStr">
        <is>
          <t>Centro-Oeste</t>
        </is>
      </c>
      <c r="D8" s="23" t="n">
        <v>-15.7939</v>
      </c>
      <c r="E8" s="23" t="n">
        <v>-47.8828</v>
      </c>
      <c r="F8" s="23" t="inlineStr">
        <is>
          <t>Sim</t>
        </is>
      </c>
      <c r="G8" s="23" t="n">
        <v>0</v>
      </c>
      <c r="H8" s="23" t="inlineStr">
        <is>
          <t>BSB</t>
        </is>
      </c>
      <c r="I8" s="23" t="inlineStr">
        <is>
          <t>Alto</t>
        </is>
      </c>
      <c r="J8" s="23" t="inlineStr">
        <is>
          <t>Cidade-sede</t>
        </is>
      </c>
    </row>
    <row r="9">
      <c r="A9" s="23" t="inlineStr">
        <is>
          <t>Porto Alegre</t>
        </is>
      </c>
      <c r="B9" s="23" t="inlineStr">
        <is>
          <t>RS</t>
        </is>
      </c>
      <c r="C9" s="23" t="inlineStr">
        <is>
          <t>Sul</t>
        </is>
      </c>
      <c r="D9" s="23" t="n">
        <v>-30.0346</v>
      </c>
      <c r="E9" s="23" t="n">
        <v>-51.2177</v>
      </c>
      <c r="F9" s="23" t="inlineStr">
        <is>
          <t>Sim</t>
        </is>
      </c>
      <c r="G9" s="23" t="n">
        <v>0</v>
      </c>
      <c r="H9" s="23" t="inlineStr">
        <is>
          <t>POA</t>
        </is>
      </c>
      <c r="I9" s="23" t="inlineStr">
        <is>
          <t>Alto</t>
        </is>
      </c>
      <c r="J9" s="23" t="inlineStr">
        <is>
          <t>Cidade-sede</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4.25"/>
  <sheetData>
    <row r="1" ht="20.25" customHeight="1" s="1">
      <c r="A1" s="19" t="inlineStr">
        <is>
          <t>Guia de Integração Power BI</t>
        </is>
      </c>
    </row>
    <row r="3">
      <c r="A3" s="23" t="inlineStr">
        <is>
          <t>Importe as abas de Eventos, Mapa_Base, IAC, INP e Base_Geografica.</t>
        </is>
      </c>
    </row>
    <row r="4">
      <c r="A4" s="23" t="inlineStr">
        <is>
          <t>Relacione Cidade e UF.</t>
        </is>
      </c>
    </row>
    <row r="5">
      <c r="A5" s="23" t="inlineStr">
        <is>
          <t>Defina Latitude e Longitude como categorias geográficas.</t>
        </is>
      </c>
    </row>
    <row r="6">
      <c r="A6" s="23" t="inlineStr">
        <is>
          <t>Crie mapas, rankings e segmentações.</t>
        </is>
      </c>
    </row>
    <row r="7">
      <c r="A7" s="23" t="inlineStr">
        <is>
          <t>Publique no Power BI Service.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2026-09-08T10:46:05Z</dcterms:created>
  <dcterms:modified xsi:type="dcterms:W3CDTF">2026-10-21T04:34:59Z</dcterms:modified>
</cp:coreProperties>
</file>